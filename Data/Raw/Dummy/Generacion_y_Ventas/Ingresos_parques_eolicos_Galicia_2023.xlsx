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e83755b5f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mensual" sheetId="1" r:id="R69220b21e71a4fa9"/>
    <x:sheet xmlns:r="http://schemas.openxmlformats.org/officeDocument/2006/relationships" name="Supuestos_y_fuentes" sheetId="2" r:id="R009fcdd0980c4888"/>
  </x:sheets>
</x:workbook>
</file>

<file path=xl/sharedStrings.xml><?xml version="1.0" encoding="utf-8"?>
<x:sst xmlns:x="http://schemas.openxmlformats.org/spreadsheetml/2006/main">
  <x:si>
    <x:t xml:space="preserve">Año</x:t>
  </x:si>
  <x:si>
    <x:t xml:space="preserve">Mes</x:t>
  </x:si>
  <x:si>
    <x:t xml:space="preserve">Clave_Registro</x:t>
  </x:si>
  <x:si>
    <x:t xml:space="preserve">Nombre_parque</x:t>
  </x:si>
  <x:si>
    <x:t xml:space="preserve">energia_generada_gwh</x:t>
  </x:si>
  <x:si>
    <x:t xml:space="preserve">energia_vendida_gwh</x:t>
  </x:si>
  <x:si>
    <x:t xml:space="preserve">potencia_instalada_mw</x:t>
  </x:si>
  <x:si>
    <x:t xml:space="preserve">precio_mercado_mwh_euro</x:t>
  </x:si>
  <x:si>
    <x:t xml:space="preserve">ingresos_estimados_euro</x:t>
  </x:si>
  <x:si>
    <x:t xml:space="preserve">base_2024_aux</x:t>
  </x:si>
  <x:si>
    <x:t xml:space="preserve">Supuesto / fuente</x:t>
  </x:si>
  <x:si>
    <x:t xml:space="preserve">Detalle</x:t>
  </x:si>
  <x:si>
    <x:t xml:space="preserve">Criterio</x:t>
  </x:si>
  <x:si>
    <x:t xml:space="preserve">Fuente</x:t>
  </x:si>
  <x:si>
    <x:t xml:space="preserve">2023</x:t>
  </x:si>
  <x:si>
    <x:t xml:space="preserve">2024</x:t>
  </x:si>
  <x:si>
    <x:t xml:space="preserve">Granularidad</x:t>
  </x:si>
  <x:si>
    <x:t xml:space="preserve">Generación</x:t>
  </x:si>
  <x:si>
    <x:t xml:space="preserve">Fichero Galicia_InformeInstalaciones_04092026_eolica(1).xlsx</x:t>
  </x:si>
  <x:si>
    <x:t xml:space="preserve">Energía vendida</x:t>
  </x:si>
  <x:si>
    <x:t xml:space="preserve">Precio mercado</x:t>
  </x:si>
  <x:si>
    <x:t xml:space="preserve">Precio medio aritmético mensual del mercado diario español (OMIE), 2023</x:t>
  </x:si>
  <x:si>
    <x:t xml:space="preserve">Precio medio aritmético mensual del mercado diario español en 2024.</x:t>
  </x:si>
  <x:si>
    <x:t xml:space="preserve">https://www.omie.es/sites/default/files/2025-02/informe-anual-es.pdf</x:t>
  </x:si>
  <x:si>
    <x:t xml:space="preserve">Ingresos estimados</x:t>
  </x:si>
  <x:si>
    <x:t xml:space="preserve">energia_vendida_gwh × 1.000 × precio_mercado_mwh_euro</x:t>
  </x:si>
  <x:si>
    <x:t xml:space="preserve">Dato sintético/estimado; no figura en el fichero original.</x:t>
  </x:si>
  <x:si>
    <x:t xml:space="preserve">Fuente precio</x:t>
  </x:si>
  <x:si>
    <x:t xml:space="preserve">https://www.omie.es/sites/default/files/2024-02/Informe%20Anual%202023%20ES.pdf</x:t>
  </x:si>
  <x:si>
    <x:t xml:space="preserve">Energía generada × ratio de venta aproximado entre 97,8% y 98,0% para representar pérdidas/limitaciones.</x:t>
  </x:si>
  <x:si>
    <x:t xml:space="preserve">Dato sintético/estimado.</x:t>
  </x:si>
  <x:si>
    <x:t xml:space="preserve">Cálculo</x:t>
  </x:si>
  <x:si>
    <x:t xml:space="preserve">energia_vendida_gwh × 1.000 × precio_mercado_mwh_euro.</x:t>
  </x:si>
  <x:si>
    <x:t xml:space="preserve">Cálculo derivado.</x:t>
  </x:si>
</x:sst>
</file>

<file path=xl/styles.xml><?xml version="1.0" encoding="utf-8"?>
<x:styleSheet xmlns:x="http://schemas.openxmlformats.org/spreadsheetml/2006/main">
  <x:numFmts count="2">
    <x:numFmt numFmtId="164" formatCode="0.00;[Red]\(0.00\);\-"/>
    <x:numFmt numFmtId="165" formatCode="#,##0.00;[Red]\(#,##0.00\);\-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 applyAlignment="1">
      <x:alignment wrapText="1"/>
    </x:xf>
    <x:xf numFmtId="0" fontId="2" fillId="0" borderId="0" xfId="0" applyFont="1"/>
    <x:xf numFmtId="1" fontId="2" fillId="0" borderId="0" xfId="0" applyNumberFormat="1" applyFont="1"/>
    <x:xf numFmtId="164" fontId="2" fillId="0" borderId="0" xfId="0" applyNumberFormat="1" applyFont="1"/>
    <x:xf numFmtId="165" fontId="3" fillId="0" borderId="0" xfId="0" applyNumberFormat="1" applyFont="1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wrapText="1"/>
    </x:xf>
  </x:cellXfs>
  <x:cellStyles count="1">
    <x:cellStyle name="Normal" xfId="0"/>
  </x:cellStyles>
  <x:dxfs count="1">
    <x:dxf>
      <x:font>
        <x:b/>
        <x:u val="none"/>
        <x:sz val="11"/>
        <x:color rgb="FFFFFFFF"/>
        <x:name val="Carlito"/>
        <x:scheme val="none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b5d85e8334e6f" /><Relationship Type="http://schemas.openxmlformats.org/officeDocument/2006/relationships/theme" Target="/xl/theme/theme1.xml" Id="Rad1be3a7848a45c5" /><Relationship Type="http://schemas.openxmlformats.org/officeDocument/2006/relationships/sharedStrings" Target="/xl/sharedStrings.xml" Id="R709e33f398784d97" /><Relationship Type="http://schemas.openxmlformats.org/officeDocument/2006/relationships/worksheet" Target="/xl/worksheets/sheet1.xml" Id="R69220b21e71a4fa9" /><Relationship Type="http://schemas.openxmlformats.org/officeDocument/2006/relationships/worksheet" Target="/xl/worksheets/sheet2.xml" Id="R009fcdd0980c4888" /></Relationships>
</file>

<file path=xl/tables/table1.xml><?xml version="1.0" encoding="utf-8"?>
<x:table xmlns:x="http://schemas.openxmlformats.org/spreadsheetml/2006/main" id="1" name="DatasetMensual" displayName="DatasetMensual" ref="A1:I2521" headerRowCount="1" totalsRowCount="0" totalsRowShown="0">
  <x:tableColumns count="9">
    <x:tableColumn id="1" name="Año"/>
    <x:tableColumn id="2" name="Mes"/>
    <x:tableColumn id="3" name="Clave_Registro"/>
    <x:tableColumn id="4" name="Nombre_parque"/>
    <x:tableColumn id="5" name="energia_generada_gwh"/>
    <x:tableColumn id="6" name="energia_vendida_gwh"/>
    <x:tableColumn id="7" name="potencia_instalada_mw"/>
    <x:tableColumn id="8" name="precio_mercado_mwh_euro"/>
    <x:tableColumn id="9" name="ingresos_estimados_eu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uestosFuentes" displayName="SupuestosFuentes" ref="A1:D9" totalsRowShown="0">
  <x:tableColumns count="4">
    <x:tableColumn id="1" name="Campo / supuesto"/>
    <x:tableColumn id="2" name="Tipo"/>
    <x:tableColumn id="3" name="Criterio"/>
    <x:tableColumn id="4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9577a399fd4d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13b949664f4082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10" customWidth="1"/>
    <x:col min="2" max="2" width="13" customWidth="1"/>
    <x:col min="3" max="3" width="16" customWidth="1"/>
    <x:col min="4" max="4" width="36" customWidth="1"/>
    <x:col min="5" max="5" width="22" customWidth="1"/>
    <x:col min="6" max="6" width="20" customWidth="1"/>
    <x:col min="7" max="7" width="22" customWidth="1"/>
    <x:col min="8" max="8" width="25" customWidth="1"/>
    <x:col min="9" max="9" width="24" customWidth="1"/>
    <x:col min="10" max="10" width="2" customWidth="1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t="s">
        <x:v>9</x:v>
      </x:c>
    </x:row>
    <x:row r="2">
      <x:c r="A2" s="3" t="n">
        <x:v>2023</x:v>
      </x:c>
      <x:c r="B2" s="2" t="str">
        <x:v>Enero</x:v>
      </x:c>
      <x:c r="C2" s="2" t="str">
        <x:v>RE-000845-1</x:v>
      </x:c>
      <x:c r="D2" s="2" t="str">
        <x:v>PARQUE EOLICO ALABE-SOAN</x:v>
      </x:c>
      <x:c r="E2" s="4" t="n">
        <x:v>5.734</x:v>
      </x:c>
      <x:c r="F2" s="4" t="n">
        <x:f>J2*0.94</x:f>
        <x:v>5.279039999999999</x:v>
      </x:c>
      <x:c r="G2" s="4" t="n">
        <x:v>19.5</x:v>
      </x:c>
      <x:c r="H2" s="4" t="n">
        <x:v>69.55</x:v>
      </x:c>
      <x:c r="I2" s="5" t="n">
        <x:f t="shared" ref="I2:I65" si="0">F2*1000*H2</x:f>
        <x:v>367157.2319999999</x:v>
      </x:c>
      <x:c r="J2" t="n">
        <x:v>5.616</x:v>
      </x:c>
    </x:row>
    <x:row r="3">
      <x:c r="A3" s="3" t="n">
        <x:v>2023</x:v>
      </x:c>
      <x:c r="B3" s="2" t="str">
        <x:v>Febrero</x:v>
      </x:c>
      <x:c r="C3" s="2" t="str">
        <x:v>RE-000845-1</x:v>
      </x:c>
      <x:c r="D3" s="2" t="str">
        <x:v>PARQUE EOLICO ALABE-SOAN</x:v>
      </x:c>
      <x:c r="E3" s="4" t="n">
        <x:v>4.053</x:v>
      </x:c>
      <x:c r="F3" s="4" t="n">
        <x:f>J3*1.01</x:f>
        <x:v>3.9763699999999997</x:v>
      </x:c>
      <x:c r="G3" s="4" t="n">
        <x:v>19.5</x:v>
      </x:c>
      <x:c r="H3" s="4" t="n">
        <x:v>133.47</x:v>
      </x:c>
      <x:c r="I3" s="5" t="n">
        <x:f t="shared" si="0">F3*1000*H3</x:f>
        <x:v>530726.1039</x:v>
      </x:c>
      <x:c r="J3" t="n">
        <x:v>3.937</x:v>
      </x:c>
    </x:row>
    <x:row r="4">
      <x:c r="A4" s="3" t="n">
        <x:v>2023</x:v>
      </x:c>
      <x:c r="B4" s="2" t="str">
        <x:v>Marzo</x:v>
      </x:c>
      <x:c r="C4" s="2" t="str">
        <x:v>RE-000845-1</x:v>
      </x:c>
      <x:c r="D4" s="2" t="str">
        <x:v>PARQUE EOLICO ALABE-SOAN</x:v>
      </x:c>
      <x:c r="E4" s="4" t="n">
        <x:v>5.182</x:v>
      </x:c>
      <x:c r="F4" s="4" t="n">
        <x:f>J4*0.97</x:f>
        <x:v>4.926629999999999</x:v>
      </x:c>
      <x:c r="G4" s="4" t="n">
        <x:v>19.5</x:v>
      </x:c>
      <x:c r="H4" s="4" t="n">
        <x:v>89.61</x:v>
      </x:c>
      <x:c r="I4" s="5" t="n">
        <x:f t="shared" si="0">F4*1000*H4</x:f>
        <x:v>441475.3142999999</x:v>
      </x:c>
      <x:c r="J4" t="n">
        <x:v>5.079</x:v>
      </x:c>
    </x:row>
    <x:row r="5">
      <x:c r="A5" s="3" t="n">
        <x:v>2023</x:v>
      </x:c>
      <x:c r="B5" s="2" t="str">
        <x:v>Abril</x:v>
      </x:c>
      <x:c r="C5" s="2" t="str">
        <x:v>RE-000845-1</x:v>
      </x:c>
      <x:c r="D5" s="2" t="str">
        <x:v>PARQUE EOLICO ALABE-SOAN</x:v>
      </x:c>
      <x:c r="E5" s="4" t="n">
        <x:v>3.625</x:v>
      </x:c>
      <x:c r="F5" s="4" t="n">
        <x:f>J5*1.04</x:f>
        <x:v>3.7024000000000004</x:v>
      </x:c>
      <x:c r="G5" s="4" t="n">
        <x:v>19.5</x:v>
      </x:c>
      <x:c r="H5" s="4" t="n">
        <x:v>73.73</x:v>
      </x:c>
      <x:c r="I5" s="5" t="n">
        <x:f t="shared" si="0">F5*1000*H5</x:f>
        <x:v>272977.95200000005</x:v>
      </x:c>
      <x:c r="J5" t="n">
        <x:v>3.56</x:v>
      </x:c>
    </x:row>
    <x:row r="6">
      <x:c r="A6" s="3" t="n">
        <x:v>2023</x:v>
      </x:c>
      <x:c r="B6" s="2" t="str">
        <x:v>Mayo</x:v>
      </x:c>
      <x:c r="C6" s="2" t="str">
        <x:v>RE-000845-1</x:v>
      </x:c>
      <x:c r="D6" s="2" t="str">
        <x:v>PARQUE EOLICO ALABE-SOAN</x:v>
      </x:c>
      <x:c r="E6" s="4" t="n">
        <x:v>3.802</x:v>
      </x:c>
      <x:c r="F6" s="4" t="n">
        <x:f>J6*1</x:f>
        <x:v>3.699</x:v>
      </x:c>
      <x:c r="G6" s="4" t="n">
        <x:v>19.5</x:v>
      </x:c>
      <x:c r="H6" s="4" t="n">
        <x:v>74.21</x:v>
      </x:c>
      <x:c r="I6" s="5" t="n">
        <x:f t="shared" si="0">F6*1000*H6</x:f>
        <x:v>274502.79</x:v>
      </x:c>
      <x:c r="J6" t="n">
        <x:v>3.699</x:v>
      </x:c>
    </x:row>
    <x:row r="7">
      <x:c r="A7" s="3" t="n">
        <x:v>2023</x:v>
      </x:c>
      <x:c r="B7" s="2" t="str">
        <x:v>Junio</x:v>
      </x:c>
      <x:c r="C7" s="2" t="str">
        <x:v>RE-000845-1</x:v>
      </x:c>
      <x:c r="D7" s="2" t="str">
        <x:v>PARQUE EOLICO ALABE-SOAN</x:v>
      </x:c>
      <x:c r="E7" s="4" t="n">
        <x:v>3.477</x:v>
      </x:c>
      <x:c r="F7" s="4" t="n">
        <x:f>J7*0.96</x:f>
        <x:v>3.2630399999999997</x:v>
      </x:c>
      <x:c r="G7" s="4" t="n">
        <x:v>19.5</x:v>
      </x:c>
      <x:c r="H7" s="4" t="n">
        <x:v>93.02</x:v>
      </x:c>
      <x:c r="I7" s="5" t="n">
        <x:f t="shared" si="0">F7*1000*H7</x:f>
        <x:v>303527.98079999996</x:v>
      </x:c>
      <x:c r="J7" t="n">
        <x:v>3.399</x:v>
      </x:c>
    </x:row>
    <x:row r="8">
      <x:c r="A8" s="3" t="n">
        <x:v>2023</x:v>
      </x:c>
      <x:c r="B8" s="2" t="str">
        <x:v>Julio</x:v>
      </x:c>
      <x:c r="C8" s="2" t="str">
        <x:v>RE-000845-1</x:v>
      </x:c>
      <x:c r="D8" s="2" t="str">
        <x:v>PARQUE EOLICO ALABE-SOAN</x:v>
      </x:c>
      <x:c r="E8" s="4" t="n">
        <x:v>2.535</x:v>
      </x:c>
      <x:c r="F8" s="4" t="n">
        <x:f>J8*1.03</x:f>
        <x:v>2.5338</x:v>
      </x:c>
      <x:c r="G8" s="4" t="n">
        <x:v>19.5</x:v>
      </x:c>
      <x:c r="H8" s="4" t="n">
        <x:v>90.47</x:v>
      </x:c>
      <x:c r="I8" s="5" t="n">
        <x:f t="shared" si="0">F8*1000*H8</x:f>
        <x:v>229232.88599999997</x:v>
      </x:c>
      <x:c r="J8" t="n">
        <x:v>2.46</x:v>
      </x:c>
    </x:row>
    <x:row r="9">
      <x:c r="A9" s="3" t="n">
        <x:v>2023</x:v>
      </x:c>
      <x:c r="B9" s="2" t="str">
        <x:v>Agosto</x:v>
      </x:c>
      <x:c r="C9" s="2" t="str">
        <x:v>RE-000845-1</x:v>
      </x:c>
      <x:c r="D9" s="2" t="str">
        <x:v>PARQUE EOLICO ALABE-SOAN</x:v>
      </x:c>
      <x:c r="E9" s="4" t="n">
        <x:v>2.995</x:v>
      </x:c>
      <x:c r="F9" s="4" t="n">
        <x:f>J9*0.99</x:f>
        <x:v>2.8957499999999996</x:v>
      </x:c>
      <x:c r="G9" s="4" t="n">
        <x:v>19.5</x:v>
      </x:c>
      <x:c r="H9" s="4" t="n">
        <x:v>96.05</x:v>
      </x:c>
      <x:c r="I9" s="5" t="n">
        <x:f t="shared" si="0">F9*1000*H9</x:f>
        <x:v>278136.7875</x:v>
      </x:c>
      <x:c r="J9" t="n">
        <x:v>2.925</x:v>
      </x:c>
    </x:row>
    <x:row r="10">
      <x:c r="A10" s="3" t="n">
        <x:v>2023</x:v>
      </x:c>
      <x:c r="B10" s="2" t="str">
        <x:v>Septiembre</x:v>
      </x:c>
      <x:c r="C10" s="2" t="str">
        <x:v>RE-000845-1</x:v>
      </x:c>
      <x:c r="D10" s="2" t="str">
        <x:v>PARQUE EOLICO ALABE-SOAN</x:v>
      </x:c>
      <x:c r="E10" s="4" t="n">
        <x:v>3.944</x:v>
      </x:c>
      <x:c r="F10" s="4" t="n">
        <x:f>J10*0.95</x:f>
        <x:v>3.6508499999999997</x:v>
      </x:c>
      <x:c r="G10" s="4" t="n">
        <x:v>19.5</x:v>
      </x:c>
      <x:c r="H10" s="4" t="n">
        <x:v>103.34</x:v>
      </x:c>
      <x:c r="I10" s="5" t="n">
        <x:f t="shared" si="0">F10*1000*H10</x:f>
        <x:v>377278.839</x:v>
      </x:c>
      <x:c r="J10" t="n">
        <x:v>3.843</x:v>
      </x:c>
    </x:row>
    <x:row r="11">
      <x:c r="A11" s="3" t="n">
        <x:v>2023</x:v>
      </x:c>
      <x:c r="B11" s="2" t="str">
        <x:v>Octubre</x:v>
      </x:c>
      <x:c r="C11" s="2" t="str">
        <x:v>RE-000845-1</x:v>
      </x:c>
      <x:c r="D11" s="2" t="str">
        <x:v>PARQUE EOLICO ALABE-SOAN</x:v>
      </x:c>
      <x:c r="E11" s="4" t="n">
        <x:v>4.342</x:v>
      </x:c>
      <x:c r="F11" s="4" t="n">
        <x:f>J11*1.02</x:f>
        <x:v>4.324800000000001</x:v>
      </x:c>
      <x:c r="G11" s="4" t="n">
        <x:v>19.5</x:v>
      </x:c>
      <x:c r="H11" s="4" t="n">
        <x:v>90.14</x:v>
      </x:c>
      <x:c r="I11" s="5" t="n">
        <x:f t="shared" si="0">F11*1000*H11</x:f>
        <x:v>389837.4720000001</x:v>
      </x:c>
      <x:c r="J11" t="n">
        <x:v>4.24</x:v>
      </x:c>
    </x:row>
    <x:row r="12">
      <x:c r="A12" s="3" t="n">
        <x:v>2023</x:v>
      </x:c>
      <x:c r="B12" s="2" t="str">
        <x:v>Noviembre</x:v>
      </x:c>
      <x:c r="C12" s="2" t="str">
        <x:v>RE-000845-1</x:v>
      </x:c>
      <x:c r="D12" s="2" t="str">
        <x:v>PARQUE EOLICO ALABE-SOAN</x:v>
      </x:c>
      <x:c r="E12" s="4" t="n">
        <x:v>5.438</x:v>
      </x:c>
      <x:c r="F12" s="4" t="n">
        <x:f>J12*0.98</x:f>
        <x:v>5.18518</x:v>
      </x:c>
      <x:c r="G12" s="4" t="n">
        <x:v>19.5</x:v>
      </x:c>
      <x:c r="H12" s="4" t="n">
        <x:v>63.45</x:v>
      </x:c>
      <x:c r="I12" s="5" t="n">
        <x:f t="shared" si="0">F12*1000*H12</x:f>
        <x:v>328999.67100000003</x:v>
      </x:c>
      <x:c r="J12" t="n">
        <x:v>5.291</x:v>
      </x:c>
    </x:row>
    <x:row r="13">
      <x:c r="A13" s="3" t="n">
        <x:v>2023</x:v>
      </x:c>
      <x:c r="B13" s="2" t="str">
        <x:v>Diciembre</x:v>
      </x:c>
      <x:c r="C13" s="2" t="str">
        <x:v>RE-000845-1</x:v>
      </x:c>
      <x:c r="D13" s="2" t="str">
        <x:v>PARQUE EOLICO ALABE-SOAN</x:v>
      </x:c>
      <x:c r="E13" s="4" t="n">
        <x:v>6.177</x:v>
      </x:c>
      <x:c r="F13" s="4" t="n">
        <x:f>J13*0.94</x:f>
        <x:v>5.646579999999999</x:v>
      </x:c>
      <x:c r="G13" s="4" t="n">
        <x:v>19.5</x:v>
      </x:c>
      <x:c r="H13" s="4" t="n">
        <x:v>72.17</x:v>
      </x:c>
      <x:c r="I13" s="5" t="n">
        <x:f t="shared" si="0">F13*1000*H13</x:f>
        <x:v>407513.6785999999</x:v>
      </x:c>
      <x:c r="J13" t="n">
        <x:v>6.007</x:v>
      </x:c>
    </x:row>
    <x:row r="14">
      <x:c r="A14" s="3" t="n">
        <x:v>2023</x:v>
      </x:c>
      <x:c r="B14" s="2" t="str">
        <x:v>Enero</x:v>
      </x:c>
      <x:c r="C14" s="2" t="str">
        <x:v>RE-000846-1</x:v>
      </x:c>
      <x:c r="D14" s="2" t="str">
        <x:v>P. E. ALABE-NORDES</x:v>
      </x:c>
      <x:c r="E14" s="4" t="n">
        <x:v>4.575</x:v>
      </x:c>
      <x:c r="F14" s="4" t="n">
        <x:f>J14*1.01</x:f>
        <x:v>4.52278</x:v>
      </x:c>
      <x:c r="G14" s="4" t="n">
        <x:v>20.25</x:v>
      </x:c>
      <x:c r="H14" s="4" t="n">
        <x:v>69.55</x:v>
      </x:c>
      <x:c r="I14" s="5" t="n">
        <x:f t="shared" si="0">F14*1000*H14</x:f>
        <x:v>314559.349</x:v>
      </x:c>
      <x:c r="J14" t="n">
        <x:v>4.478</x:v>
      </x:c>
    </x:row>
    <x:row r="15">
      <x:c r="A15" s="3" t="n">
        <x:v>2023</x:v>
      </x:c>
      <x:c r="B15" s="2" t="str">
        <x:v>Febrero</x:v>
      </x:c>
      <x:c r="C15" s="2" t="str">
        <x:v>RE-000846-1</x:v>
      </x:c>
      <x:c r="D15" s="2" t="str">
        <x:v>P. E. ALABE-NORDES</x:v>
      </x:c>
      <x:c r="E15" s="4" t="n">
        <x:v>4.718</x:v>
      </x:c>
      <x:c r="F15" s="4" t="n">
        <x:f>J15*0.97</x:f>
        <x:v>4.4852799999999995</x:v>
      </x:c>
      <x:c r="G15" s="4" t="n">
        <x:v>20.25</x:v>
      </x:c>
      <x:c r="H15" s="4" t="n">
        <x:v>133.47</x:v>
      </x:c>
      <x:c r="I15" s="5" t="n">
        <x:f t="shared" si="0">F15*1000*H15</x:f>
        <x:v>598650.3215999999</x:v>
      </x:c>
      <x:c r="J15" t="n">
        <x:v>4.624</x:v>
      </x:c>
    </x:row>
    <x:row r="16">
      <x:c r="A16" s="3" t="n">
        <x:v>2023</x:v>
      </x:c>
      <x:c r="B16" s="2" t="str">
        <x:v>Marzo</x:v>
      </x:c>
      <x:c r="C16" s="2" t="str">
        <x:v>RE-000846-1</x:v>
      </x:c>
      <x:c r="D16" s="2" t="str">
        <x:v>P. E. ALABE-NORDES</x:v>
      </x:c>
      <x:c r="E16" s="4" t="n">
        <x:v>4.92</x:v>
      </x:c>
      <x:c r="F16" s="4" t="n">
        <x:f>J16*1.04</x:f>
        <x:v>4.98888</x:v>
      </x:c>
      <x:c r="G16" s="4" t="n">
        <x:v>20.25</x:v>
      </x:c>
      <x:c r="H16" s="4" t="n">
        <x:v>89.61</x:v>
      </x:c>
      <x:c r="I16" s="5" t="n">
        <x:f t="shared" si="0">F16*1000*H16</x:f>
        <x:v>447053.5368</x:v>
      </x:c>
      <x:c r="J16" t="n">
        <x:v>4.797</x:v>
      </x:c>
    </x:row>
    <x:row r="17">
      <x:c r="A17" s="3" t="n">
        <x:v>2023</x:v>
      </x:c>
      <x:c r="B17" s="2" t="str">
        <x:v>Abril</x:v>
      </x:c>
      <x:c r="C17" s="2" t="str">
        <x:v>RE-000846-1</x:v>
      </x:c>
      <x:c r="D17" s="2" t="str">
        <x:v>P. E. ALABE-NORDES</x:v>
      </x:c>
      <x:c r="E17" s="4" t="n">
        <x:v>3.305</x:v>
      </x:c>
      <x:c r="F17" s="4" t="n">
        <x:f>J17*1</x:f>
        <x:v>3.211</x:v>
      </x:c>
      <x:c r="G17" s="4" t="n">
        <x:v>20.25</x:v>
      </x:c>
      <x:c r="H17" s="4" t="n">
        <x:v>73.73</x:v>
      </x:c>
      <x:c r="I17" s="5" t="n">
        <x:f t="shared" si="0">F17*1000*H17</x:f>
        <x:v>236747.03</x:v>
      </x:c>
      <x:c r="J17" t="n">
        <x:v>3.211</x:v>
      </x:c>
    </x:row>
    <x:row r="18">
      <x:c r="A18" s="3" t="n">
        <x:v>2023</x:v>
      </x:c>
      <x:c r="B18" s="2" t="str">
        <x:v>Mayo</x:v>
      </x:c>
      <x:c r="C18" s="2" t="str">
        <x:v>RE-000846-1</x:v>
      </x:c>
      <x:c r="D18" s="2" t="str">
        <x:v>P. E. ALABE-NORDES</x:v>
      </x:c>
      <x:c r="E18" s="4" t="n">
        <x:v>3.566</x:v>
      </x:c>
      <x:c r="F18" s="4" t="n">
        <x:f>J18*0.96</x:f>
        <x:v>3.3225599999999997</x:v>
      </x:c>
      <x:c r="G18" s="4" t="n">
        <x:v>20.25</x:v>
      </x:c>
      <x:c r="H18" s="4" t="n">
        <x:v>74.21</x:v>
      </x:c>
      <x:c r="I18" s="5" t="n">
        <x:f t="shared" si="0">F18*1000*H18</x:f>
        <x:v>246567.17759999997</x:v>
      </x:c>
      <x:c r="J18" t="n">
        <x:v>3.461</x:v>
      </x:c>
    </x:row>
    <x:row r="19">
      <x:c r="A19" s="3" t="n">
        <x:v>2023</x:v>
      </x:c>
      <x:c r="B19" s="2" t="str">
        <x:v>Junio</x:v>
      </x:c>
      <x:c r="C19" s="2" t="str">
        <x:v>RE-000846-1</x:v>
      </x:c>
      <x:c r="D19" s="2" t="str">
        <x:v>P. E. ALABE-NORDES</x:v>
      </x:c>
      <x:c r="E19" s="4" t="n">
        <x:v>2.638</x:v>
      </x:c>
      <x:c r="F19" s="4" t="n">
        <x:f>J19*1.03</x:f>
        <x:v>2.63062</x:v>
      </x:c>
      <x:c r="G19" s="4" t="n">
        <x:v>20.25</x:v>
      </x:c>
      <x:c r="H19" s="4" t="n">
        <x:v>93.02</x:v>
      </x:c>
      <x:c r="I19" s="5" t="n">
        <x:f t="shared" si="0">F19*1000*H19</x:f>
        <x:v>244700.2724</x:v>
      </x:c>
      <x:c r="J19" t="n">
        <x:v>2.554</x:v>
      </x:c>
    </x:row>
    <x:row r="20">
      <x:c r="A20" s="3" t="n">
        <x:v>2023</x:v>
      </x:c>
      <x:c r="B20" s="2" t="str">
        <x:v>Julio</x:v>
      </x:c>
      <x:c r="C20" s="2" t="str">
        <x:v>RE-000846-1</x:v>
      </x:c>
      <x:c r="D20" s="2" t="str">
        <x:v>P. E. ALABE-NORDES</x:v>
      </x:c>
      <x:c r="E20" s="4" t="n">
        <x:v>2.634</x:v>
      </x:c>
      <x:c r="F20" s="4" t="n">
        <x:f>J20*0.99</x:f>
        <x:v>2.54628</x:v>
      </x:c>
      <x:c r="G20" s="4" t="n">
        <x:v>20.25</x:v>
      </x:c>
      <x:c r="H20" s="4" t="n">
        <x:v>90.47</x:v>
      </x:c>
      <x:c r="I20" s="5" t="n">
        <x:f t="shared" si="0">F20*1000*H20</x:f>
        <x:v>230361.95159999997</x:v>
      </x:c>
      <x:c r="J20" t="n">
        <x:v>2.572</x:v>
      </x:c>
    </x:row>
    <x:row r="21">
      <x:c r="A21" s="3" t="n">
        <x:v>2023</x:v>
      </x:c>
      <x:c r="B21" s="2" t="str">
        <x:v>Agosto</x:v>
      </x:c>
      <x:c r="C21" s="2" t="str">
        <x:v>RE-000846-1</x:v>
      </x:c>
      <x:c r="D21" s="2" t="str">
        <x:v>P. E. ALABE-NORDES</x:v>
      </x:c>
      <x:c r="E21" s="4" t="n">
        <x:v>2.527</x:v>
      </x:c>
      <x:c r="F21" s="4" t="n">
        <x:f>J21*0.95</x:f>
        <x:v>2.35125</x:v>
      </x:c>
      <x:c r="G21" s="4" t="n">
        <x:v>20.25</x:v>
      </x:c>
      <x:c r="H21" s="4" t="n">
        <x:v>96.05</x:v>
      </x:c>
      <x:c r="I21" s="5" t="n">
        <x:f t="shared" si="0">F21*1000*H21</x:f>
        <x:v>225837.5625</x:v>
      </x:c>
      <x:c r="J21" t="n">
        <x:v>2.475</x:v>
      </x:c>
    </x:row>
    <x:row r="22">
      <x:c r="A22" s="3" t="n">
        <x:v>2023</x:v>
      </x:c>
      <x:c r="B22" s="2" t="str">
        <x:v>Septiembre</x:v>
      </x:c>
      <x:c r="C22" s="2" t="str">
        <x:v>RE-000846-1</x:v>
      </x:c>
      <x:c r="D22" s="2" t="str">
        <x:v>P. E. ALABE-NORDES</x:v>
      </x:c>
      <x:c r="E22" s="4" t="n">
        <x:v>3.361</x:v>
      </x:c>
      <x:c r="F22" s="4" t="n">
        <x:f>J22*1.02</x:f>
        <x:v>3.35376</x:v>
      </x:c>
      <x:c r="G22" s="4" t="n">
        <x:v>20.25</x:v>
      </x:c>
      <x:c r="H22" s="4" t="n">
        <x:v>103.34</x:v>
      </x:c>
      <x:c r="I22" s="5" t="n">
        <x:f t="shared" si="0">F22*1000*H22</x:f>
        <x:v>346577.5584</x:v>
      </x:c>
      <x:c r="J22" t="n">
        <x:v>3.288</x:v>
      </x:c>
    </x:row>
    <x:row r="23">
      <x:c r="A23" s="3" t="n">
        <x:v>2023</x:v>
      </x:c>
      <x:c r="B23" s="2" t="str">
        <x:v>Octubre</x:v>
      </x:c>
      <x:c r="C23" s="2" t="str">
        <x:v>RE-000846-1</x:v>
      </x:c>
      <x:c r="D23" s="2" t="str">
        <x:v>P. E. ALABE-NORDES</x:v>
      </x:c>
      <x:c r="E23" s="4" t="n">
        <x:v>4.456</x:v>
      </x:c>
      <x:c r="F23" s="4" t="n">
        <x:f>J23*0.98</x:f>
        <x:v>4.30122</x:v>
      </x:c>
      <x:c r="G23" s="4" t="n">
        <x:v>20.25</x:v>
      </x:c>
      <x:c r="H23" s="4" t="n">
        <x:v>90.14</x:v>
      </x:c>
      <x:c r="I23" s="5" t="n">
        <x:f t="shared" si="0">F23*1000*H23</x:f>
        <x:v>387711.9708</x:v>
      </x:c>
      <x:c r="J23" t="n">
        <x:v>4.389</x:v>
      </x:c>
    </x:row>
    <x:row r="24">
      <x:c r="A24" s="3" t="n">
        <x:v>2023</x:v>
      </x:c>
      <x:c r="B24" s="2" t="str">
        <x:v>Noviembre</x:v>
      </x:c>
      <x:c r="C24" s="2" t="str">
        <x:v>RE-000846-1</x:v>
      </x:c>
      <x:c r="D24" s="2" t="str">
        <x:v>P. E. ALABE-NORDES</x:v>
      </x:c>
      <x:c r="E24" s="4" t="n">
        <x:v>4.301</x:v>
      </x:c>
      <x:c r="F24" s="4" t="n">
        <x:f>J24*0.94</x:f>
        <x:v>3.9395399999999996</x:v>
      </x:c>
      <x:c r="G24" s="4" t="n">
        <x:v>20.25</x:v>
      </x:c>
      <x:c r="H24" s="4" t="n">
        <x:v>63.45</x:v>
      </x:c>
      <x:c r="I24" s="5" t="n">
        <x:f t="shared" si="0">F24*1000*H24</x:f>
        <x:v>249963.81299999997</x:v>
      </x:c>
      <x:c r="J24" t="n">
        <x:v>4.191</x:v>
      </x:c>
    </x:row>
    <x:row r="25">
      <x:c r="A25" s="3" t="n">
        <x:v>2023</x:v>
      </x:c>
      <x:c r="B25" s="2" t="str">
        <x:v>Diciembre</x:v>
      </x:c>
      <x:c r="C25" s="2" t="str">
        <x:v>RE-000846-1</x:v>
      </x:c>
      <x:c r="D25" s="2" t="str">
        <x:v>P. E. ALABE-NORDES</x:v>
      </x:c>
      <x:c r="E25" s="4" t="n">
        <x:v>5.367</x:v>
      </x:c>
      <x:c r="F25" s="4" t="n">
        <x:f>J25*1.01</x:f>
        <x:v>5.32169</x:v>
      </x:c>
      <x:c r="G25" s="4" t="n">
        <x:v>20.25</x:v>
      </x:c>
      <x:c r="H25" s="4" t="n">
        <x:v>72.17</x:v>
      </x:c>
      <x:c r="I25" s="5" t="n">
        <x:f t="shared" si="0">F25*1000*H25</x:f>
        <x:v>384066.36730000004</x:v>
      </x:c>
      <x:c r="J25" t="n">
        <x:v>5.269</x:v>
      </x:c>
    </x:row>
    <x:row r="26">
      <x:c r="A26" s="3" t="n">
        <x:v>2023</x:v>
      </x:c>
      <x:c r="B26" s="2" t="str">
        <x:v>Enero</x:v>
      </x:c>
      <x:c r="C26" s="2" t="str">
        <x:v>RE-000847-1</x:v>
      </x:c>
      <x:c r="D26" s="2" t="str">
        <x:v>P. E. ALABE-CUADRAMON</x:v>
      </x:c>
      <x:c r="E26" s="4" t="n">
        <x:v>5.085</x:v>
      </x:c>
      <x:c r="F26" s="4" t="n">
        <x:f>J26*0.97</x:f>
        <x:v>4.82672</x:v>
      </x:c>
      <x:c r="G26" s="4" t="n">
        <x:v>18.75</x:v>
      </x:c>
      <x:c r="H26" s="4" t="n">
        <x:v>69.55</x:v>
      </x:c>
      <x:c r="I26" s="5" t="n">
        <x:f t="shared" si="0">F26*1000*H26</x:f>
        <x:v>335698.376</x:v>
      </x:c>
      <x:c r="J26" t="n">
        <x:v>4.976</x:v>
      </x:c>
    </x:row>
    <x:row r="27">
      <x:c r="A27" s="3" t="n">
        <x:v>2023</x:v>
      </x:c>
      <x:c r="B27" s="2" t="str">
        <x:v>Febrero</x:v>
      </x:c>
      <x:c r="C27" s="2" t="str">
        <x:v>RE-000847-1</x:v>
      </x:c>
      <x:c r="D27" s="2" t="str">
        <x:v>P. E. ALABE-CUADRAMON</x:v>
      </x:c>
      <x:c r="E27" s="4" t="n">
        <x:v>4.19</x:v>
      </x:c>
      <x:c r="F27" s="4" t="n">
        <x:f>J27*1.04</x:f>
        <x:v>4.26192</x:v>
      </x:c>
      <x:c r="G27" s="4" t="n">
        <x:v>18.75</x:v>
      </x:c>
      <x:c r="H27" s="4" t="n">
        <x:v>133.47</x:v>
      </x:c>
      <x:c r="I27" s="5" t="n">
        <x:f t="shared" si="0">F27*1000*H27</x:f>
        <x:v>568838.4624</x:v>
      </x:c>
      <x:c r="J27" t="n">
        <x:v>4.098</x:v>
      </x:c>
    </x:row>
    <x:row r="28">
      <x:c r="A28" s="3" t="n">
        <x:v>2023</x:v>
      </x:c>
      <x:c r="B28" s="2" t="str">
        <x:v>Marzo</x:v>
      </x:c>
      <x:c r="C28" s="2" t="str">
        <x:v>RE-000847-1</x:v>
      </x:c>
      <x:c r="D28" s="2" t="str">
        <x:v>P. E. ALABE-CUADRAMON</x:v>
      </x:c>
      <x:c r="E28" s="4" t="n">
        <x:v>4.724</x:v>
      </x:c>
      <x:c r="F28" s="4" t="n">
        <x:f>J28*1</x:f>
        <x:v>4.609</x:v>
      </x:c>
      <x:c r="G28" s="4" t="n">
        <x:v>18.75</x:v>
      </x:c>
      <x:c r="H28" s="4" t="n">
        <x:v>89.61</x:v>
      </x:c>
      <x:c r="I28" s="5" t="n">
        <x:f t="shared" si="0">F28*1000*H28</x:f>
        <x:v>413012.49</x:v>
      </x:c>
      <x:c r="J28" t="n">
        <x:v>4.609</x:v>
      </x:c>
    </x:row>
    <x:row r="29">
      <x:c r="A29" s="3" t="n">
        <x:v>2023</x:v>
      </x:c>
      <x:c r="B29" s="2" t="str">
        <x:v>Abril</x:v>
      </x:c>
      <x:c r="C29" s="2" t="str">
        <x:v>RE-000847-1</x:v>
      </x:c>
      <x:c r="D29" s="2" t="str">
        <x:v>P. E. ALABE-CUADRAMON</x:v>
      </x:c>
      <x:c r="E29" s="4" t="n">
        <x:v>3.831</x:v>
      </x:c>
      <x:c r="F29" s="4" t="n">
        <x:f>J29*0.96</x:f>
        <x:v>3.6009599999999997</x:v>
      </x:c>
      <x:c r="G29" s="4" t="n">
        <x:v>18.75</x:v>
      </x:c>
      <x:c r="H29" s="4" t="n">
        <x:v>73.73</x:v>
      </x:c>
      <x:c r="I29" s="5" t="n">
        <x:f t="shared" si="0">F29*1000*H29</x:f>
        <x:v>265498.7808</x:v>
      </x:c>
      <x:c r="J29" t="n">
        <x:v>3.751</x:v>
      </x:c>
    </x:row>
    <x:row r="30">
      <x:c r="A30" s="3" t="n">
        <x:v>2023</x:v>
      </x:c>
      <x:c r="B30" s="2" t="str">
        <x:v>Mayo</x:v>
      </x:c>
      <x:c r="C30" s="2" t="str">
        <x:v>RE-000847-1</x:v>
      </x:c>
      <x:c r="D30" s="2" t="str">
        <x:v>P. E. ALABE-CUADRAMON</x:v>
      </x:c>
      <x:c r="E30" s="4" t="n">
        <x:v>3.142</x:v>
      </x:c>
      <x:c r="F30" s="4" t="n">
        <x:f>J30*1.03</x:f>
        <x:v>3.14665</x:v>
      </x:c>
      <x:c r="G30" s="4" t="n">
        <x:v>18.75</x:v>
      </x:c>
      <x:c r="H30" s="4" t="n">
        <x:v>74.21</x:v>
      </x:c>
      <x:c r="I30" s="5" t="n">
        <x:f t="shared" si="0">F30*1000*H30</x:f>
        <x:v>233512.89649999997</x:v>
      </x:c>
      <x:c r="J30" t="n">
        <x:v>3.055</x:v>
      </x:c>
    </x:row>
    <x:row r="31">
      <x:c r="A31" s="3" t="n">
        <x:v>2023</x:v>
      </x:c>
      <x:c r="B31" s="2" t="str">
        <x:v>Junio</x:v>
      </x:c>
      <x:c r="C31" s="2" t="str">
        <x:v>RE-000847-1</x:v>
      </x:c>
      <x:c r="D31" s="2" t="str">
        <x:v>P. E. ALABE-CUADRAMON</x:v>
      </x:c>
      <x:c r="E31" s="4" t="n">
        <x:v>3.217</x:v>
      </x:c>
      <x:c r="F31" s="4" t="n">
        <x:f>J31*0.99</x:f>
        <x:v>3.0888</x:v>
      </x:c>
      <x:c r="G31" s="4" t="n">
        <x:v>18.75</x:v>
      </x:c>
      <x:c r="H31" s="4" t="n">
        <x:v>93.02</x:v>
      </x:c>
      <x:c r="I31" s="5" t="n">
        <x:f t="shared" si="0">F31*1000*H31</x:f>
        <x:v>287320.176</x:v>
      </x:c>
      <x:c r="J31" t="n">
        <x:v>3.12</x:v>
      </x:c>
    </x:row>
    <x:row r="32">
      <x:c r="A32" s="3" t="n">
        <x:v>2023</x:v>
      </x:c>
      <x:c r="B32" s="2" t="str">
        <x:v>Julio</x:v>
      </x:c>
      <x:c r="C32" s="2" t="str">
        <x:v>RE-000847-1</x:v>
      </x:c>
      <x:c r="D32" s="2" t="str">
        <x:v>P. E. ALABE-CUADRAMON</x:v>
      </x:c>
      <x:c r="E32" s="4" t="n">
        <x:v>2.719</x:v>
      </x:c>
      <x:c r="F32" s="4" t="n">
        <x:f>J32*0.95</x:f>
        <x:v>2.5260499999999997</x:v>
      </x:c>
      <x:c r="G32" s="4" t="n">
        <x:v>18.75</x:v>
      </x:c>
      <x:c r="H32" s="4" t="n">
        <x:v>90.47</x:v>
      </x:c>
      <x:c r="I32" s="5" t="n">
        <x:f t="shared" si="0">F32*1000*H32</x:f>
        <x:v>228531.74349999998</x:v>
      </x:c>
      <x:c r="J32" t="n">
        <x:v>2.659</x:v>
      </x:c>
    </x:row>
    <x:row r="33">
      <x:c r="A33" s="3" t="n">
        <x:v>2023</x:v>
      </x:c>
      <x:c r="B33" s="2" t="str">
        <x:v>Agosto</x:v>
      </x:c>
      <x:c r="C33" s="2" t="str">
        <x:v>RE-000847-1</x:v>
      </x:c>
      <x:c r="D33" s="2" t="str">
        <x:v>P. E. ALABE-CUADRAMON</x:v>
      </x:c>
      <x:c r="E33" s="4" t="n">
        <x:v>3.007</x:v>
      </x:c>
      <x:c r="F33" s="4" t="n">
        <x:f>J33*1.02</x:f>
        <x:v>3.00084</x:v>
      </x:c>
      <x:c r="G33" s="4" t="n">
        <x:v>18.75</x:v>
      </x:c>
      <x:c r="H33" s="4" t="n">
        <x:v>96.05</x:v>
      </x:c>
      <x:c r="I33" s="5" t="n">
        <x:f t="shared" si="0">F33*1000*H33</x:f>
        <x:v>288230.68200000003</x:v>
      </x:c>
      <x:c r="J33" t="n">
        <x:v>2.942</x:v>
      </x:c>
    </x:row>
    <x:row r="34">
      <x:c r="A34" s="3" t="n">
        <x:v>2023</x:v>
      </x:c>
      <x:c r="B34" s="2" t="str">
        <x:v>Septiembre</x:v>
      </x:c>
      <x:c r="C34" s="2" t="str">
        <x:v>RE-000847-1</x:v>
      </x:c>
      <x:c r="D34" s="2" t="str">
        <x:v>P. E. ALABE-CUADRAMON</x:v>
      </x:c>
      <x:c r="E34" s="4" t="n">
        <x:v>3.052</x:v>
      </x:c>
      <x:c r="F34" s="4" t="n">
        <x:f>J34*0.98</x:f>
        <x:v>2.90668</x:v>
      </x:c>
      <x:c r="G34" s="4" t="n">
        <x:v>18.75</x:v>
      </x:c>
      <x:c r="H34" s="4" t="n">
        <x:v>103.34</x:v>
      </x:c>
      <x:c r="I34" s="5" t="n">
        <x:f t="shared" si="0">F34*1000*H34</x:f>
        <x:v>300376.31120000005</x:v>
      </x:c>
      <x:c r="J34" t="n">
        <x:v>2.966</x:v>
      </x:c>
    </x:row>
    <x:row r="35">
      <x:c r="A35" s="3" t="n">
        <x:v>2023</x:v>
      </x:c>
      <x:c r="B35" s="2" t="str">
        <x:v>Octubre</x:v>
      </x:c>
      <x:c r="C35" s="2" t="str">
        <x:v>RE-000847-1</x:v>
      </x:c>
      <x:c r="D35" s="2" t="str">
        <x:v>P. E. ALABE-CUADRAMON</x:v>
      </x:c>
      <x:c r="E35" s="4" t="n">
        <x:v>3.575</x:v>
      </x:c>
      <x:c r="F35" s="4" t="n">
        <x:f>J35*0.94</x:f>
        <x:v>3.3012799999999998</x:v>
      </x:c>
      <x:c r="G35" s="4" t="n">
        <x:v>18.75</x:v>
      </x:c>
      <x:c r="H35" s="4" t="n">
        <x:v>90.14</x:v>
      </x:c>
      <x:c r="I35" s="5" t="n">
        <x:f t="shared" si="0">F35*1000*H35</x:f>
        <x:v>297577.37919999997</x:v>
      </x:c>
      <x:c r="J35" t="n">
        <x:v>3.512</x:v>
      </x:c>
    </x:row>
    <x:row r="36">
      <x:c r="A36" s="3" t="n">
        <x:v>2023</x:v>
      </x:c>
      <x:c r="B36" s="2" t="str">
        <x:v>Noviembre</x:v>
      </x:c>
      <x:c r="C36" s="2" t="str">
        <x:v>RE-000847-1</x:v>
      </x:c>
      <x:c r="D36" s="2" t="str">
        <x:v>P. E. ALABE-CUADRAMON</x:v>
      </x:c>
      <x:c r="E36" s="4" t="n">
        <x:v>5.075</x:v>
      </x:c>
      <x:c r="F36" s="4" t="n">
        <x:f>J36*1.01</x:f>
        <x:v>5.0399</x:v>
      </x:c>
      <x:c r="G36" s="4" t="n">
        <x:v>18.75</x:v>
      </x:c>
      <x:c r="H36" s="4" t="n">
        <x:v>63.45</x:v>
      </x:c>
      <x:c r="I36" s="5" t="n">
        <x:f t="shared" si="0">F36*1000*H36</x:f>
        <x:v>319781.655</x:v>
      </x:c>
      <x:c r="J36" t="n">
        <x:v>4.99</x:v>
      </x:c>
    </x:row>
    <x:row r="37">
      <x:c r="A37" s="3" t="n">
        <x:v>2023</x:v>
      </x:c>
      <x:c r="B37" s="2" t="str">
        <x:v>Diciembre</x:v>
      </x:c>
      <x:c r="C37" s="2" t="str">
        <x:v>RE-000847-1</x:v>
      </x:c>
      <x:c r="D37" s="2" t="str">
        <x:v>P. E. ALABE-CUADRAMON</x:v>
      </x:c>
      <x:c r="E37" s="4" t="n">
        <x:v>4.963</x:v>
      </x:c>
      <x:c r="F37" s="4" t="n">
        <x:f>J37*0.97</x:f>
        <x:v>4.738449999999999</x:v>
      </x:c>
      <x:c r="G37" s="4" t="n">
        <x:v>18.75</x:v>
      </x:c>
      <x:c r="H37" s="4" t="n">
        <x:v>72.17</x:v>
      </x:c>
      <x:c r="I37" s="5" t="n">
        <x:f t="shared" si="0">F37*1000*H37</x:f>
        <x:v>341973.9365</x:v>
      </x:c>
      <x:c r="J37" t="n">
        <x:v>4.885</x:v>
      </x:c>
    </x:row>
    <x:row r="38">
      <x:c r="A38" s="3" t="n">
        <x:v>2023</x:v>
      </x:c>
      <x:c r="B38" s="2" t="str">
        <x:v>Enero</x:v>
      </x:c>
      <x:c r="C38" s="2" t="str">
        <x:v>RE-000849-1</x:v>
      </x:c>
      <x:c r="D38" s="2" t="str">
        <x:v>P. E. SERRA DO CANDO</x:v>
      </x:c>
      <x:c r="E38" s="4" t="n">
        <x:v>6.535</x:v>
      </x:c>
      <x:c r="F38" s="4" t="n">
        <x:f>J38*1.04</x:f>
        <x:v>6.583200000000001</x:v>
      </x:c>
      <x:c r="G38" s="4" t="n">
        <x:v>29.23</x:v>
      </x:c>
      <x:c r="H38" s="4" t="n">
        <x:v>69.55</x:v>
      </x:c>
      <x:c r="I38" s="5" t="n">
        <x:f t="shared" si="0">F38*1000*H38</x:f>
        <x:v>457861.56000000006</x:v>
      </x:c>
      <x:c r="J38" t="n">
        <x:v>6.33</x:v>
      </x:c>
    </x:row>
    <x:row r="39">
      <x:c r="A39" s="3" t="n">
        <x:v>2023</x:v>
      </x:c>
      <x:c r="B39" s="2" t="str">
        <x:v>Febrero</x:v>
      </x:c>
      <x:c r="C39" s="2" t="str">
        <x:v>RE-000849-1</x:v>
      </x:c>
      <x:c r="D39" s="2" t="str">
        <x:v>P. E. SERRA DO CANDO</x:v>
      </x:c>
      <x:c r="E39" s="4" t="n">
        <x:v>5.955</x:v>
      </x:c>
      <x:c r="F39" s="4" t="n">
        <x:f>J39*1</x:f>
        <x:v>5.783</x:v>
      </x:c>
      <x:c r="G39" s="4" t="n">
        <x:v>29.23</x:v>
      </x:c>
      <x:c r="H39" s="4" t="n">
        <x:v>133.47</x:v>
      </x:c>
      <x:c r="I39" s="5" t="n">
        <x:f t="shared" si="0">F39*1000*H39</x:f>
        <x:v>771857.01</x:v>
      </x:c>
      <x:c r="J39" t="n">
        <x:v>5.783</x:v>
      </x:c>
    </x:row>
    <x:row r="40">
      <x:c r="A40" s="3" t="n">
        <x:v>2023</x:v>
      </x:c>
      <x:c r="B40" s="2" t="str">
        <x:v>Marzo</x:v>
      </x:c>
      <x:c r="C40" s="2" t="str">
        <x:v>RE-000849-1</x:v>
      </x:c>
      <x:c r="D40" s="2" t="str">
        <x:v>P. E. SERRA DO CANDO</x:v>
      </x:c>
      <x:c r="E40" s="4" t="n">
        <x:v>6.822</x:v>
      </x:c>
      <x:c r="F40" s="4" t="n">
        <x:f>J40*0.96</x:f>
        <x:v>6.36288</x:v>
      </x:c>
      <x:c r="G40" s="4" t="n">
        <x:v>29.23</x:v>
      </x:c>
      <x:c r="H40" s="4" t="n">
        <x:v>89.61</x:v>
      </x:c>
      <x:c r="I40" s="5" t="n">
        <x:f t="shared" si="0">F40*1000*H40</x:f>
        <x:v>570177.6767999999</x:v>
      </x:c>
      <x:c r="J40" t="n">
        <x:v>6.628</x:v>
      </x:c>
    </x:row>
    <x:row r="41">
      <x:c r="A41" s="3" t="n">
        <x:v>2023</x:v>
      </x:c>
      <x:c r="B41" s="2" t="str">
        <x:v>Abril</x:v>
      </x:c>
      <x:c r="C41" s="2" t="str">
        <x:v>RE-000849-1</x:v>
      </x:c>
      <x:c r="D41" s="2" t="str">
        <x:v>P. E. SERRA DO CANDO</x:v>
      </x:c>
      <x:c r="E41" s="4" t="n">
        <x:v>5.175</x:v>
      </x:c>
      <x:c r="F41" s="4" t="n">
        <x:f>J41*1.03</x:f>
        <x:v>5.1829600000000005</x:v>
      </x:c>
      <x:c r="G41" s="4" t="n">
        <x:v>29.23</x:v>
      </x:c>
      <x:c r="H41" s="4" t="n">
        <x:v>73.73</x:v>
      </x:c>
      <x:c r="I41" s="5" t="n">
        <x:f t="shared" si="0">F41*1000*H41</x:f>
        <x:v>382139.64080000005</x:v>
      </x:c>
      <x:c r="J41" t="n">
        <x:v>5.032</x:v>
      </x:c>
    </x:row>
    <x:row r="42">
      <x:c r="A42" s="3" t="n">
        <x:v>2023</x:v>
      </x:c>
      <x:c r="B42" s="2" t="str">
        <x:v>Mayo</x:v>
      </x:c>
      <x:c r="C42" s="2" t="str">
        <x:v>RE-000849-1</x:v>
      </x:c>
      <x:c r="D42" s="2" t="str">
        <x:v>P. E. SERRA DO CANDO</x:v>
      </x:c>
      <x:c r="E42" s="4" t="n">
        <x:v>5.172</x:v>
      </x:c>
      <x:c r="F42" s="4" t="n">
        <x:f>J42*0.99</x:f>
        <x:v>4.9787099999999995</x:v>
      </x:c>
      <x:c r="G42" s="4" t="n">
        <x:v>29.23</x:v>
      </x:c>
      <x:c r="H42" s="4" t="n">
        <x:v>74.21</x:v>
      </x:c>
      <x:c r="I42" s="5" t="n">
        <x:f t="shared" si="0">F42*1000*H42</x:f>
        <x:v>369470.0690999999</x:v>
      </x:c>
      <x:c r="J42" t="n">
        <x:v>5.029</x:v>
      </x:c>
    </x:row>
    <x:row r="43">
      <x:c r="A43" s="3" t="n">
        <x:v>2023</x:v>
      </x:c>
      <x:c r="B43" s="2" t="str">
        <x:v>Junio</x:v>
      </x:c>
      <x:c r="C43" s="2" t="str">
        <x:v>RE-000849-1</x:v>
      </x:c>
      <x:c r="D43" s="2" t="str">
        <x:v>P. E. SERRA DO CANDO</x:v>
      </x:c>
      <x:c r="E43" s="4" t="n">
        <x:v>3.765</x:v>
      </x:c>
      <x:c r="F43" s="4" t="n">
        <x:f>J43*0.95</x:f>
        <x:v>3.4874499999999995</x:v>
      </x:c>
      <x:c r="G43" s="4" t="n">
        <x:v>29.23</x:v>
      </x:c>
      <x:c r="H43" s="4" t="n">
        <x:v>93.02</x:v>
      </x:c>
      <x:c r="I43" s="5" t="n">
        <x:f t="shared" si="0">F43*1000*H43</x:f>
        <x:v>324402.59899999993</x:v>
      </x:c>
      <x:c r="J43" t="n">
        <x:v>3.671</x:v>
      </x:c>
    </x:row>
    <x:row r="44">
      <x:c r="A44" s="3" t="n">
        <x:v>2023</x:v>
      </x:c>
      <x:c r="B44" s="2" t="str">
        <x:v>Julio</x:v>
      </x:c>
      <x:c r="C44" s="2" t="str">
        <x:v>RE-000849-1</x:v>
      </x:c>
      <x:c r="D44" s="2" t="str">
        <x:v>P. E. SERRA DO CANDO</x:v>
      </x:c>
      <x:c r="E44" s="4" t="n">
        <x:v>3.564</x:v>
      </x:c>
      <x:c r="F44" s="4" t="n">
        <x:f>J44*1.02</x:f>
        <x:v>3.57102</x:v>
      </x:c>
      <x:c r="G44" s="4" t="n">
        <x:v>29.23</x:v>
      </x:c>
      <x:c r="H44" s="4" t="n">
        <x:v>90.47</x:v>
      </x:c>
      <x:c r="I44" s="5" t="n">
        <x:f t="shared" si="0">F44*1000*H44</x:f>
        <x:v>323070.1794</x:v>
      </x:c>
      <x:c r="J44" t="n">
        <x:v>3.501</x:v>
      </x:c>
    </x:row>
    <x:row r="45">
      <x:c r="A45" s="3" t="n">
        <x:v>2023</x:v>
      </x:c>
      <x:c r="B45" s="2" t="str">
        <x:v>Agosto</x:v>
      </x:c>
      <x:c r="C45" s="2" t="str">
        <x:v>RE-000849-1</x:v>
      </x:c>
      <x:c r="D45" s="2" t="str">
        <x:v>P. E. SERRA DO CANDO</x:v>
      </x:c>
      <x:c r="E45" s="4" t="n">
        <x:v>4.171</x:v>
      </x:c>
      <x:c r="F45" s="4" t="n">
        <x:f>J45*0.98</x:f>
        <x:v>4.01212</x:v>
      </x:c>
      <x:c r="G45" s="4" t="n">
        <x:v>29.23</x:v>
      </x:c>
      <x:c r="H45" s="4" t="n">
        <x:v>96.05</x:v>
      </x:c>
      <x:c r="I45" s="5" t="n">
        <x:f t="shared" si="0">F45*1000*H45</x:f>
        <x:v>385364.12600000005</x:v>
      </x:c>
      <x:c r="J45" t="n">
        <x:v>4.094</x:v>
      </x:c>
    </x:row>
    <x:row r="46">
      <x:c r="A46" s="3" t="n">
        <x:v>2023</x:v>
      </x:c>
      <x:c r="B46" s="2" t="str">
        <x:v>Septiembre</x:v>
      </x:c>
      <x:c r="C46" s="2" t="str">
        <x:v>RE-000849-1</x:v>
      </x:c>
      <x:c r="D46" s="2" t="str">
        <x:v>P. E. SERRA DO CANDO</x:v>
      </x:c>
      <x:c r="E46" s="4" t="n">
        <x:v>4.325</x:v>
      </x:c>
      <x:c r="F46" s="4" t="n">
        <x:f>J46*0.94</x:f>
        <x:v>3.9818399999999996</x:v>
      </x:c>
      <x:c r="G46" s="4" t="n">
        <x:v>29.23</x:v>
      </x:c>
      <x:c r="H46" s="4" t="n">
        <x:v>103.34</x:v>
      </x:c>
      <x:c r="I46" s="5" t="n">
        <x:f t="shared" si="0">F46*1000*H46</x:f>
        <x:v>411483.3456</x:v>
      </x:c>
      <x:c r="J46" t="n">
        <x:v>4.236</x:v>
      </x:c>
    </x:row>
    <x:row r="47">
      <x:c r="A47" s="3" t="n">
        <x:v>2023</x:v>
      </x:c>
      <x:c r="B47" s="2" t="str">
        <x:v>Octubre</x:v>
      </x:c>
      <x:c r="C47" s="2" t="str">
        <x:v>RE-000849-1</x:v>
      </x:c>
      <x:c r="D47" s="2" t="str">
        <x:v>P. E. SERRA DO CANDO</x:v>
      </x:c>
      <x:c r="E47" s="4" t="n">
        <x:v>6.62</x:v>
      </x:c>
      <x:c r="F47" s="4" t="n">
        <x:f>J47*1.01</x:f>
        <x:v>6.52561</x:v>
      </x:c>
      <x:c r="G47" s="4" t="n">
        <x:v>29.23</x:v>
      </x:c>
      <x:c r="H47" s="4" t="n">
        <x:v>90.14</x:v>
      </x:c>
      <x:c r="I47" s="5" t="n">
        <x:f t="shared" si="0">F47*1000*H47</x:f>
        <x:v>588218.4854</x:v>
      </x:c>
      <x:c r="J47" t="n">
        <x:v>6.461</x:v>
      </x:c>
    </x:row>
    <x:row r="48">
      <x:c r="A48" s="3" t="n">
        <x:v>2023</x:v>
      </x:c>
      <x:c r="B48" s="2" t="str">
        <x:v>Noviembre</x:v>
      </x:c>
      <x:c r="C48" s="2" t="str">
        <x:v>RE-000849-1</x:v>
      </x:c>
      <x:c r="D48" s="2" t="str">
        <x:v>P. E. SERRA DO CANDO</x:v>
      </x:c>
      <x:c r="E48" s="4" t="n">
        <x:v>6.497</x:v>
      </x:c>
      <x:c r="F48" s="4" t="n">
        <x:f>J48*0.97</x:f>
        <x:v>6.1090599999999995</x:v>
      </x:c>
      <x:c r="G48" s="4" t="n">
        <x:v>29.23</x:v>
      </x:c>
      <x:c r="H48" s="4" t="n">
        <x:v>63.45</x:v>
      </x:c>
      <x:c r="I48" s="5" t="n">
        <x:f t="shared" si="0">F48*1000*H48</x:f>
        <x:v>387619.85699999996</x:v>
      </x:c>
      <x:c r="J48" t="n">
        <x:v>6.298</x:v>
      </x:c>
    </x:row>
    <x:row r="49">
      <x:c r="A49" s="3" t="n">
        <x:v>2023</x:v>
      </x:c>
      <x:c r="B49" s="2" t="str">
        <x:v>Diciembre</x:v>
      </x:c>
      <x:c r="C49" s="2" t="str">
        <x:v>RE-000849-1</x:v>
      </x:c>
      <x:c r="D49" s="2" t="str">
        <x:v>P. E. SERRA DO CANDO</x:v>
      </x:c>
      <x:c r="E49" s="4" t="n">
        <x:v>8.549</x:v>
      </x:c>
      <x:c r="F49" s="4" t="n">
        <x:f>J49*1.04</x:f>
        <x:v>8.63512</x:v>
      </x:c>
      <x:c r="G49" s="4" t="n">
        <x:v>29.23</x:v>
      </x:c>
      <x:c r="H49" s="4" t="n">
        <x:v>72.17</x:v>
      </x:c>
      <x:c r="I49" s="5" t="n">
        <x:f t="shared" si="0">F49*1000*H49</x:f>
        <x:v>623196.6104000001</x:v>
      </x:c>
      <x:c r="J49" t="n">
        <x:v>8.303</x:v>
      </x:c>
    </x:row>
    <x:row r="50">
      <x:c r="A50" s="3" t="n">
        <x:v>2023</x:v>
      </x:c>
      <x:c r="B50" s="2" t="str">
        <x:v>Enero</x:v>
      </x:c>
      <x:c r="C50" s="2" t="str">
        <x:v>RE-000850-1</x:v>
      </x:c>
      <x:c r="D50" s="2" t="str">
        <x:v>P. E. MONTE SEIXO-CANDO</x:v>
      </x:c>
      <x:c r="E50" s="4" t="n">
        <x:v>9.378</x:v>
      </x:c>
      <x:c r="F50" s="4" t="n">
        <x:f>J50*1</x:f>
        <x:v>9.125</x:v>
      </x:c>
      <x:c r="G50" s="4" t="n">
        <x:v>34.98</x:v>
      </x:c>
      <x:c r="H50" s="4" t="n">
        <x:v>69.55</x:v>
      </x:c>
      <x:c r="I50" s="5" t="n">
        <x:f t="shared" si="0">F50*1000*H50</x:f>
        <x:v>634643.75</x:v>
      </x:c>
      <x:c r="J50" t="n">
        <x:v>9.125</x:v>
      </x:c>
    </x:row>
    <x:row r="51">
      <x:c r="A51" s="3" t="n">
        <x:v>2023</x:v>
      </x:c>
      <x:c r="B51" s="2" t="str">
        <x:v>Febrero</x:v>
      </x:c>
      <x:c r="C51" s="2" t="str">
        <x:v>RE-000850-1</x:v>
      </x:c>
      <x:c r="D51" s="2" t="str">
        <x:v>P. E. MONTE SEIXO-CANDO</x:v>
      </x:c>
      <x:c r="E51" s="4" t="n">
        <x:v>8.366</x:v>
      </x:c>
      <x:c r="F51" s="4" t="n">
        <x:f>J51*0.96</x:f>
        <x:v>7.88832</x:v>
      </x:c>
      <x:c r="G51" s="4" t="n">
        <x:v>34.98</x:v>
      </x:c>
      <x:c r="H51" s="4" t="n">
        <x:v>133.47</x:v>
      </x:c>
      <x:c r="I51" s="5" t="n">
        <x:f t="shared" si="0">F51*1000*H51</x:f>
        <x:v>1052854.0704</x:v>
      </x:c>
      <x:c r="J51" t="n">
        <x:v>8.217</x:v>
      </x:c>
    </x:row>
    <x:row r="52">
      <x:c r="A52" s="3" t="n">
        <x:v>2023</x:v>
      </x:c>
      <x:c r="B52" s="2" t="str">
        <x:v>Marzo</x:v>
      </x:c>
      <x:c r="C52" s="2" t="str">
        <x:v>RE-000850-1</x:v>
      </x:c>
      <x:c r="D52" s="2" t="str">
        <x:v>P. E. MONTE SEIXO-CANDO</x:v>
      </x:c>
      <x:c r="E52" s="4" t="n">
        <x:v>7.805</x:v>
      </x:c>
      <x:c r="F52" s="4" t="n">
        <x:f>J52*1.03</x:f>
        <x:v>7.843450000000001</x:v>
      </x:c>
      <x:c r="G52" s="4" t="n">
        <x:v>34.98</x:v>
      </x:c>
      <x:c r="H52" s="4" t="n">
        <x:v>89.61</x:v>
      </x:c>
      <x:c r="I52" s="5" t="n">
        <x:f t="shared" si="0">F52*1000*H52</x:f>
        <x:v>702851.5545000001</x:v>
      </x:c>
      <x:c r="J52" t="n">
        <x:v>7.615</x:v>
      </x:c>
    </x:row>
    <x:row r="53">
      <x:c r="A53" s="3" t="n">
        <x:v>2023</x:v>
      </x:c>
      <x:c r="B53" s="2" t="str">
        <x:v>Abril</x:v>
      </x:c>
      <x:c r="C53" s="2" t="str">
        <x:v>RE-000850-1</x:v>
      </x:c>
      <x:c r="D53" s="2" t="str">
        <x:v>P. E. MONTE SEIXO-CANDO</x:v>
      </x:c>
      <x:c r="E53" s="4" t="n">
        <x:v>5.905</x:v>
      </x:c>
      <x:c r="F53" s="4" t="n">
        <x:f>J53*0.99</x:f>
        <x:v>5.70339</x:v>
      </x:c>
      <x:c r="G53" s="4" t="n">
        <x:v>34.98</x:v>
      </x:c>
      <x:c r="H53" s="4" t="n">
        <x:v>73.73</x:v>
      </x:c>
      <x:c r="I53" s="5" t="n">
        <x:f t="shared" si="0">F53*1000*H53</x:f>
        <x:v>420510.9447</x:v>
      </x:c>
      <x:c r="J53" t="n">
        <x:v>5.761</x:v>
      </x:c>
    </x:row>
    <x:row r="54">
      <x:c r="A54" s="3" t="n">
        <x:v>2023</x:v>
      </x:c>
      <x:c r="B54" s="2" t="str">
        <x:v>Mayo</x:v>
      </x:c>
      <x:c r="C54" s="2" t="str">
        <x:v>RE-000850-1</x:v>
      </x:c>
      <x:c r="D54" s="2" t="str">
        <x:v>P. E. MONTE SEIXO-CANDO</x:v>
      </x:c>
      <x:c r="E54" s="4" t="n">
        <x:v>6.101</x:v>
      </x:c>
      <x:c r="F54" s="4" t="n">
        <x:f>J54*0.95</x:f>
        <x:v>5.6392</x:v>
      </x:c>
      <x:c r="G54" s="4" t="n">
        <x:v>34.98</x:v>
      </x:c>
      <x:c r="H54" s="4" t="n">
        <x:v>74.21</x:v>
      </x:c>
      <x:c r="I54" s="5" t="n">
        <x:f t="shared" si="0">F54*1000*H54</x:f>
        <x:v>418485.03199999995</x:v>
      </x:c>
      <x:c r="J54" t="n">
        <x:v>5.936</x:v>
      </x:c>
    </x:row>
    <x:row r="55">
      <x:c r="A55" s="3" t="n">
        <x:v>2023</x:v>
      </x:c>
      <x:c r="B55" s="2" t="str">
        <x:v>Junio</x:v>
      </x:c>
      <x:c r="C55" s="2" t="str">
        <x:v>RE-000850-1</x:v>
      </x:c>
      <x:c r="D55" s="2" t="str">
        <x:v>P. E. MONTE SEIXO-CANDO</x:v>
      </x:c>
      <x:c r="E55" s="4" t="n">
        <x:v>5.126</x:v>
      </x:c>
      <x:c r="F55" s="4" t="n">
        <x:f>J55*1.02</x:f>
        <x:v>5.07042</x:v>
      </x:c>
      <x:c r="G55" s="4" t="n">
        <x:v>34.98</x:v>
      </x:c>
      <x:c r="H55" s="4" t="n">
        <x:v>93.02</x:v>
      </x:c>
      <x:c r="I55" s="5" t="n">
        <x:f t="shared" si="0">F55*1000*H55</x:f>
        <x:v>471650.4684</x:v>
      </x:c>
      <x:c r="J55" t="n">
        <x:v>4.971</x:v>
      </x:c>
    </x:row>
    <x:row r="56">
      <x:c r="A56" s="3" t="n">
        <x:v>2023</x:v>
      </x:c>
      <x:c r="B56" s="2" t="str">
        <x:v>Julio</x:v>
      </x:c>
      <x:c r="C56" s="2" t="str">
        <x:v>RE-000850-1</x:v>
      </x:c>
      <x:c r="D56" s="2" t="str">
        <x:v>P. E. MONTE SEIXO-CANDO</x:v>
      </x:c>
      <x:c r="E56" s="4" t="n">
        <x:v>5.422</x:v>
      </x:c>
      <x:c r="F56" s="4" t="n">
        <x:f>J56*0.98</x:f>
        <x:v>5.178319999999999</x:v>
      </x:c>
      <x:c r="G56" s="4" t="n">
        <x:v>34.98</x:v>
      </x:c>
      <x:c r="H56" s="4" t="n">
        <x:v>90.47</x:v>
      </x:c>
      <x:c r="I56" s="5" t="n">
        <x:f t="shared" si="0">F56*1000*H56</x:f>
        <x:v>468482.61039999995</x:v>
      </x:c>
      <x:c r="J56" t="n">
        <x:v>5.284</x:v>
      </x:c>
    </x:row>
    <x:row r="57">
      <x:c r="A57" s="3" t="n">
        <x:v>2023</x:v>
      </x:c>
      <x:c r="B57" s="2" t="str">
        <x:v>Agosto</x:v>
      </x:c>
      <x:c r="C57" s="2" t="str">
        <x:v>RE-000850-1</x:v>
      </x:c>
      <x:c r="D57" s="2" t="str">
        <x:v>P. E. MONTE SEIXO-CANDO</x:v>
      </x:c>
      <x:c r="E57" s="4" t="n">
        <x:v>5.255</x:v>
      </x:c>
      <x:c r="F57" s="4" t="n">
        <x:f>J57*0.94</x:f>
        <x:v>4.86356</x:v>
      </x:c>
      <x:c r="G57" s="4" t="n">
        <x:v>34.98</x:v>
      </x:c>
      <x:c r="H57" s="4" t="n">
        <x:v>96.05</x:v>
      </x:c>
      <x:c r="I57" s="5" t="n">
        <x:f t="shared" si="0">F57*1000*H57</x:f>
        <x:v>467144.93799999997</x:v>
      </x:c>
      <x:c r="J57" t="n">
        <x:v>5.174</x:v>
      </x:c>
    </x:row>
    <x:row r="58">
      <x:c r="A58" s="3" t="n">
        <x:v>2023</x:v>
      </x:c>
      <x:c r="B58" s="2" t="str">
        <x:v>Septiembre</x:v>
      </x:c>
      <x:c r="C58" s="2" t="str">
        <x:v>RE-000850-1</x:v>
      </x:c>
      <x:c r="D58" s="2" t="str">
        <x:v>P. E. MONTE SEIXO-CANDO</x:v>
      </x:c>
      <x:c r="E58" s="4" t="n">
        <x:v>6.547</x:v>
      </x:c>
      <x:c r="F58" s="4" t="n">
        <x:f>J58*1.01</x:f>
        <x:v>6.47915</x:v>
      </x:c>
      <x:c r="G58" s="4" t="n">
        <x:v>34.98</x:v>
      </x:c>
      <x:c r="H58" s="4" t="n">
        <x:v>103.34</x:v>
      </x:c>
      <x:c r="I58" s="5" t="n">
        <x:f t="shared" si="0">F58*1000*H58</x:f>
        <x:v>669555.361</x:v>
      </x:c>
      <x:c r="J58" t="n">
        <x:v>6.415</x:v>
      </x:c>
    </x:row>
    <x:row r="59">
      <x:c r="A59" s="3" t="n">
        <x:v>2023</x:v>
      </x:c>
      <x:c r="B59" s="2" t="str">
        <x:v>Octubre</x:v>
      </x:c>
      <x:c r="C59" s="2" t="str">
        <x:v>RE-000850-1</x:v>
      </x:c>
      <x:c r="D59" s="2" t="str">
        <x:v>P. E. MONTE SEIXO-CANDO</x:v>
      </x:c>
      <x:c r="E59" s="4" t="n">
        <x:v>6.419</x:v>
      </x:c>
      <x:c r="F59" s="4" t="n">
        <x:f>J59*0.97</x:f>
        <x:v>6.123609999999999</x:v>
      </x:c>
      <x:c r="G59" s="4" t="n">
        <x:v>34.98</x:v>
      </x:c>
      <x:c r="H59" s="4" t="n">
        <x:v>90.14</x:v>
      </x:c>
      <x:c r="I59" s="5" t="n">
        <x:f t="shared" si="0">F59*1000*H59</x:f>
        <x:v>551982.2054</x:v>
      </x:c>
      <x:c r="J59" t="n">
        <x:v>6.313</x:v>
      </x:c>
    </x:row>
    <x:row r="60">
      <x:c r="A60" s="3" t="n">
        <x:v>2023</x:v>
      </x:c>
      <x:c r="B60" s="2" t="str">
        <x:v>Noviembre</x:v>
      </x:c>
      <x:c r="C60" s="2" t="str">
        <x:v>RE-000850-1</x:v>
      </x:c>
      <x:c r="D60" s="2" t="str">
        <x:v>P. E. MONTE SEIXO-CANDO</x:v>
      </x:c>
      <x:c r="E60" s="4" t="n">
        <x:v>8.94</x:v>
      </x:c>
      <x:c r="F60" s="4" t="n">
        <x:f>J60*1.04</x:f>
        <x:v>9.03344</x:v>
      </x:c>
      <x:c r="G60" s="4" t="n">
        <x:v>34.98</x:v>
      </x:c>
      <x:c r="H60" s="4" t="n">
        <x:v>63.45</x:v>
      </x:c>
      <x:c r="I60" s="5" t="n">
        <x:f t="shared" si="0">F60*1000*H60</x:f>
        <x:v>573171.768</x:v>
      </x:c>
      <x:c r="J60" t="n">
        <x:v>8.686</x:v>
      </x:c>
    </x:row>
    <x:row r="61">
      <x:c r="A61" s="3" t="n">
        <x:v>2023</x:v>
      </x:c>
      <x:c r="B61" s="2" t="str">
        <x:v>Diciembre</x:v>
      </x:c>
      <x:c r="C61" s="2" t="str">
        <x:v>RE-000850-1</x:v>
      </x:c>
      <x:c r="D61" s="2" t="str">
        <x:v>P. E. MONTE SEIXO-CANDO</x:v>
      </x:c>
      <x:c r="E61" s="4" t="n">
        <x:v>8.839</x:v>
      </x:c>
      <x:c r="F61" s="4" t="n">
        <x:f>J61*1</x:f>
        <x:v>8.599</x:v>
      </x:c>
      <x:c r="G61" s="4" t="n">
        <x:v>34.98</x:v>
      </x:c>
      <x:c r="H61" s="4" t="n">
        <x:v>72.17</x:v>
      </x:c>
      <x:c r="I61" s="5" t="n">
        <x:f t="shared" si="0">F61*1000*H61</x:f>
        <x:v>620589.83</x:v>
      </x:c>
      <x:c r="J61" t="n">
        <x:v>8.599</x:v>
      </x:c>
    </x:row>
    <x:row r="62">
      <x:c r="A62" s="3" t="n">
        <x:v>2023</x:v>
      </x:c>
      <x:c r="B62" s="2" t="str">
        <x:v>Enero</x:v>
      </x:c>
      <x:c r="C62" s="2" t="str">
        <x:v>RE-000875-1</x:v>
      </x:c>
      <x:c r="D62" s="2" t="str">
        <x:v>PARQUE EOLICO MURAS II</x:v>
      </x:c>
      <x:c r="E62" s="4" t="n">
        <x:v>7.34</x:v>
      </x:c>
      <x:c r="F62" s="4" t="n">
        <x:f>J62*0.96</x:f>
        <x:v>6.89568</x:v>
      </x:c>
      <x:c r="G62" s="4" t="n">
        <x:v>24.42</x:v>
      </x:c>
      <x:c r="H62" s="4" t="n">
        <x:v>69.55</x:v>
      </x:c>
      <x:c r="I62" s="5" t="n">
        <x:f t="shared" si="0">F62*1000*H62</x:f>
        <x:v>479594.54399999994</x:v>
      </x:c>
      <x:c r="J62" t="n">
        <x:v>7.183</x:v>
      </x:c>
    </x:row>
    <x:row r="63">
      <x:c r="A63" s="3" t="n">
        <x:v>2023</x:v>
      </x:c>
      <x:c r="B63" s="2" t="str">
        <x:v>Febrero</x:v>
      </x:c>
      <x:c r="C63" s="2" t="str">
        <x:v>RE-000875-1</x:v>
      </x:c>
      <x:c r="D63" s="2" t="str">
        <x:v>PARQUE EOLICO MURAS II</x:v>
      </x:c>
      <x:c r="E63" s="4" t="n">
        <x:v>5.335</x:v>
      </x:c>
      <x:c r="F63" s="4" t="n">
        <x:f>J63*1.03</x:f>
        <x:v>5.4054400000000005</x:v>
      </x:c>
      <x:c r="G63" s="4" t="n">
        <x:v>24.42</x:v>
      </x:c>
      <x:c r="H63" s="4" t="n">
        <x:v>133.47</x:v>
      </x:c>
      <x:c r="I63" s="5" t="n">
        <x:f t="shared" si="0">F63*1000*H63</x:f>
        <x:v>721464.0768</x:v>
      </x:c>
      <x:c r="J63" t="n">
        <x:v>5.248</x:v>
      </x:c>
    </x:row>
    <x:row r="64">
      <x:c r="A64" s="3" t="n">
        <x:v>2023</x:v>
      </x:c>
      <x:c r="B64" s="2" t="str">
        <x:v>Marzo</x:v>
      </x:c>
      <x:c r="C64" s="2" t="str">
        <x:v>RE-000875-1</x:v>
      </x:c>
      <x:c r="D64" s="2" t="str">
        <x:v>PARQUE EOLICO MURAS II</x:v>
      </x:c>
      <x:c r="E64" s="4" t="n">
        <x:v>6.605</x:v>
      </x:c>
      <x:c r="F64" s="4" t="n">
        <x:f>J64*0.99</x:f>
        <x:v>6.4003499999999995</x:v>
      </x:c>
      <x:c r="G64" s="4" t="n">
        <x:v>24.42</x:v>
      </x:c>
      <x:c r="H64" s="4" t="n">
        <x:v>89.61</x:v>
      </x:c>
      <x:c r="I64" s="5" t="n">
        <x:f t="shared" si="0">F64*1000*H64</x:f>
        <x:v>573535.3635</x:v>
      </x:c>
      <x:c r="J64" t="n">
        <x:v>6.465</x:v>
      </x:c>
    </x:row>
    <x:row r="65">
      <x:c r="A65" s="3" t="n">
        <x:v>2023</x:v>
      </x:c>
      <x:c r="B65" s="2" t="str">
        <x:v>Abril</x:v>
      </x:c>
      <x:c r="C65" s="2" t="str">
        <x:v>RE-000875-1</x:v>
      </x:c>
      <x:c r="D65" s="2" t="str">
        <x:v>PARQUE EOLICO MURAS II</x:v>
      </x:c>
      <x:c r="E65" s="4" t="n">
        <x:v>5.716</x:v>
      </x:c>
      <x:c r="F65" s="4" t="n">
        <x:f>J65*0.95</x:f>
        <x:v>5.3466</x:v>
      </x:c>
      <x:c r="G65" s="4" t="n">
        <x:v>24.42</x:v>
      </x:c>
      <x:c r="H65" s="4" t="n">
        <x:v>73.73</x:v>
      </x:c>
      <x:c r="I65" s="5" t="n">
        <x:f t="shared" si="0">F65*1000*H65</x:f>
        <x:v>394204.81799999997</x:v>
      </x:c>
      <x:c r="J65" t="n">
        <x:v>5.628</x:v>
      </x:c>
    </x:row>
    <x:row r="66">
      <x:c r="A66" s="3" t="n">
        <x:v>2023</x:v>
      </x:c>
      <x:c r="B66" s="2" t="str">
        <x:v>Mayo</x:v>
      </x:c>
      <x:c r="C66" s="2" t="str">
        <x:v>RE-000875-1</x:v>
      </x:c>
      <x:c r="D66" s="2" t="str">
        <x:v>PARQUE EOLICO MURAS II</x:v>
      </x:c>
      <x:c r="E66" s="4" t="n">
        <x:v>4.587</x:v>
      </x:c>
      <x:c r="F66" s="4" t="n">
        <x:f>J66*1.02</x:f>
        <x:v>4.5798000000000005</x:v>
      </x:c>
      <x:c r="G66" s="4" t="n">
        <x:v>24.42</x:v>
      </x:c>
      <x:c r="H66" s="4" t="n">
        <x:v>74.21</x:v>
      </x:c>
      <x:c r="I66" s="5" t="n">
        <x:f t="shared" ref="I66:I129" si="1">F66*1000*H66</x:f>
        <x:v>339866.958</x:v>
      </x:c>
      <x:c r="J66" t="n">
        <x:v>4.49</x:v>
      </x:c>
    </x:row>
    <x:row r="67">
      <x:c r="A67" s="3" t="n">
        <x:v>2023</x:v>
      </x:c>
      <x:c r="B67" s="2" t="str">
        <x:v>Junio</x:v>
      </x:c>
      <x:c r="C67" s="2" t="str">
        <x:v>RE-000875-1</x:v>
      </x:c>
      <x:c r="D67" s="2" t="str">
        <x:v>PARQUE EOLICO MURAS II</x:v>
      </x:c>
      <x:c r="E67" s="4" t="n">
        <x:v>4.38</x:v>
      </x:c>
      <x:c r="F67" s="4" t="n">
        <x:f>J67*0.98</x:f>
        <x:v>4.17774</x:v>
      </x:c>
      <x:c r="G67" s="4" t="n">
        <x:v>24.42</x:v>
      </x:c>
      <x:c r="H67" s="4" t="n">
        <x:v>93.02</x:v>
      </x:c>
      <x:c r="I67" s="5" t="n">
        <x:f t="shared" si="1">F67*1000*H67</x:f>
        <x:v>388613.3748</x:v>
      </x:c>
      <x:c r="J67" t="n">
        <x:v>4.263</x:v>
      </x:c>
    </x:row>
    <x:row r="68">
      <x:c r="A68" s="3" t="n">
        <x:v>2023</x:v>
      </x:c>
      <x:c r="B68" s="2" t="str">
        <x:v>Julio</x:v>
      </x:c>
      <x:c r="C68" s="2" t="str">
        <x:v>RE-000875-1</x:v>
      </x:c>
      <x:c r="D68" s="2" t="str">
        <x:v>PARQUE EOLICO MURAS II</x:v>
      </x:c>
      <x:c r="E68" s="4" t="n">
        <x:v>3.777</x:v>
      </x:c>
      <x:c r="F68" s="4" t="n">
        <x:f>J68*0.94</x:f>
        <x:v>3.47424</x:v>
      </x:c>
      <x:c r="G68" s="4" t="n">
        <x:v>24.42</x:v>
      </x:c>
      <x:c r="H68" s="4" t="n">
        <x:v>90.47</x:v>
      </x:c>
      <x:c r="I68" s="5" t="n">
        <x:f t="shared" si="1">F68*1000*H68</x:f>
        <x:v>314314.49279999995</x:v>
      </x:c>
      <x:c r="J68" t="n">
        <x:v>3.696</x:v>
      </x:c>
    </x:row>
    <x:row r="69">
      <x:c r="A69" s="3" t="n">
        <x:v>2023</x:v>
      </x:c>
      <x:c r="B69" s="2" t="str">
        <x:v>Agosto</x:v>
      </x:c>
      <x:c r="C69" s="2" t="str">
        <x:v>RE-000875-1</x:v>
      </x:c>
      <x:c r="D69" s="2" t="str">
        <x:v>PARQUE EOLICO MURAS II</x:v>
      </x:c>
      <x:c r="E69" s="4" t="n">
        <x:v>3.939</x:v>
      </x:c>
      <x:c r="F69" s="4" t="n">
        <x:f>J69*1.01</x:f>
        <x:v>3.85517</x:v>
      </x:c>
      <x:c r="G69" s="4" t="n">
        <x:v>24.42</x:v>
      </x:c>
      <x:c r="H69" s="4" t="n">
        <x:v>96.05</x:v>
      </x:c>
      <x:c r="I69" s="5" t="n">
        <x:f t="shared" si="1">F69*1000*H69</x:f>
        <x:v>370289.0785</x:v>
      </x:c>
      <x:c r="J69" t="n">
        <x:v>3.817</x:v>
      </x:c>
    </x:row>
    <x:row r="70">
      <x:c r="A70" s="3" t="n">
        <x:v>2023</x:v>
      </x:c>
      <x:c r="B70" s="2" t="str">
        <x:v>Septiembre</x:v>
      </x:c>
      <x:c r="C70" s="2" t="str">
        <x:v>RE-000875-1</x:v>
      </x:c>
      <x:c r="D70" s="2" t="str">
        <x:v>PARQUE EOLICO MURAS II</x:v>
      </x:c>
      <x:c r="E70" s="4" t="n">
        <x:v>4.237</x:v>
      </x:c>
      <x:c r="F70" s="4" t="n">
        <x:f>J70*0.97</x:f>
        <x:v>3.99155</x:v>
      </x:c>
      <x:c r="G70" s="4" t="n">
        <x:v>24.42</x:v>
      </x:c>
      <x:c r="H70" s="4" t="n">
        <x:v>103.34</x:v>
      </x:c>
      <x:c r="I70" s="5" t="n">
        <x:f t="shared" si="1">F70*1000*H70</x:f>
        <x:v>412486.77700000006</x:v>
      </x:c>
      <x:c r="J70" t="n">
        <x:v>4.115</x:v>
      </x:c>
    </x:row>
    <x:row r="71">
      <x:c r="A71" s="3" t="n">
        <x:v>2023</x:v>
      </x:c>
      <x:c r="B71" s="2" t="str">
        <x:v>Octubre</x:v>
      </x:c>
      <x:c r="C71" s="2" t="str">
        <x:v>RE-000875-1</x:v>
      </x:c>
      <x:c r="D71" s="2" t="str">
        <x:v>PARQUE EOLICO MURAS II</x:v>
      </x:c>
      <x:c r="E71" s="4" t="n">
        <x:v>5.455</x:v>
      </x:c>
      <x:c r="F71" s="4" t="n">
        <x:f>J71*1.04</x:f>
        <x:v>5.5276000000000005</x:v>
      </x:c>
      <x:c r="G71" s="4" t="n">
        <x:v>24.42</x:v>
      </x:c>
      <x:c r="H71" s="4" t="n">
        <x:v>90.14</x:v>
      </x:c>
      <x:c r="I71" s="5" t="n">
        <x:f t="shared" si="1">F71*1000*H71</x:f>
        <x:v>498257.86400000006</x:v>
      </x:c>
      <x:c r="J71" t="n">
        <x:v>5.315</x:v>
      </x:c>
    </x:row>
    <x:row r="72">
      <x:c r="A72" s="3" t="n">
        <x:v>2023</x:v>
      </x:c>
      <x:c r="B72" s="2" t="str">
        <x:v>Noviembre</x:v>
      </x:c>
      <x:c r="C72" s="2" t="str">
        <x:v>RE-000875-1</x:v>
      </x:c>
      <x:c r="D72" s="2" t="str">
        <x:v>PARQUE EOLICO MURAS II</x:v>
      </x:c>
      <x:c r="E72" s="4" t="n">
        <x:v>6.177</x:v>
      </x:c>
      <x:c r="F72" s="4" t="n">
        <x:f>J72*1</x:f>
        <x:v>6.082</x:v>
      </x:c>
      <x:c r="G72" s="4" t="n">
        <x:v>24.42</x:v>
      </x:c>
      <x:c r="H72" s="4" t="n">
        <x:v>63.45</x:v>
      </x:c>
      <x:c r="I72" s="5" t="n">
        <x:f t="shared" si="1">F72*1000*H72</x:f>
        <x:v>385902.9</x:v>
      </x:c>
      <x:c r="J72" t="n">
        <x:v>6.082</x:v>
      </x:c>
    </x:row>
    <x:row r="73">
      <x:c r="A73" s="3" t="n">
        <x:v>2023</x:v>
      </x:c>
      <x:c r="B73" s="2" t="str">
        <x:v>Diciembre</x:v>
      </x:c>
      <x:c r="C73" s="2" t="str">
        <x:v>RE-000875-1</x:v>
      </x:c>
      <x:c r="D73" s="2" t="str">
        <x:v>PARQUE EOLICO MURAS II</x:v>
      </x:c>
      <x:c r="E73" s="4" t="n">
        <x:v>7.833</x:v>
      </x:c>
      <x:c r="F73" s="4" t="n">
        <x:f>J73*0.96</x:f>
        <x:v>7.355519999999999</x:v>
      </x:c>
      <x:c r="G73" s="4" t="n">
        <x:v>24.42</x:v>
      </x:c>
      <x:c r="H73" s="4" t="n">
        <x:v>72.17</x:v>
      </x:c>
      <x:c r="I73" s="5" t="n">
        <x:f t="shared" si="1">F73*1000*H73</x:f>
        <x:v>530847.8783999999</x:v>
      </x:c>
      <x:c r="J73" t="n">
        <x:v>7.662</x:v>
      </x:c>
    </x:row>
    <x:row r="74">
      <x:c r="A74" s="3" t="n">
        <x:v>2023</x:v>
      </x:c>
      <x:c r="B74" s="2" t="str">
        <x:v>Enero</x:v>
      </x:c>
      <x:c r="C74" s="2" t="str">
        <x:v>RE-000921-1</x:v>
      </x:c>
      <x:c r="D74" s="2" t="str">
        <x:v>Parque Eólico Cabo Vilán</x:v>
      </x:c>
      <x:c r="E74" s="4" t="n">
        <x:v>1.381</x:v>
      </x:c>
      <x:c r="F74" s="4" t="n">
        <x:f>J74*1.03</x:f>
        <x:v>1.3781400000000001</x:v>
      </x:c>
      <x:c r="G74" s="4" t="n">
        <x:v>5.46</x:v>
      </x:c>
      <x:c r="H74" s="4" t="n">
        <x:v>69.55</x:v>
      </x:c>
      <x:c r="I74" s="5" t="n">
        <x:f t="shared" si="1">F74*1000*H74</x:f>
        <x:v>95849.637</x:v>
      </x:c>
      <x:c r="J74" t="n">
        <x:v>1.338</x:v>
      </x:c>
    </x:row>
    <x:row r="75">
      <x:c r="A75" s="3" t="n">
        <x:v>2023</x:v>
      </x:c>
      <x:c r="B75" s="2" t="str">
        <x:v>Febrero</x:v>
      </x:c>
      <x:c r="C75" s="2" t="str">
        <x:v>RE-000921-1</x:v>
      </x:c>
      <x:c r="D75" s="2" t="str">
        <x:v>Parque Eólico Cabo Vilán</x:v>
      </x:c>
      <x:c r="E75" s="4" t="n">
        <x:v>1.299</x:v>
      </x:c>
      <x:c r="F75" s="4" t="n">
        <x:f>J75*0.99</x:f>
        <x:v>1.26027</x:v>
      </x:c>
      <x:c r="G75" s="4" t="n">
        <x:v>5.46</x:v>
      </x:c>
      <x:c r="H75" s="4" t="n">
        <x:v>133.47</x:v>
      </x:c>
      <x:c r="I75" s="5" t="n">
        <x:f t="shared" si="1">F75*1000*H75</x:f>
        <x:v>168208.2369</x:v>
      </x:c>
      <x:c r="J75" t="n">
        <x:v>1.273</x:v>
      </x:c>
    </x:row>
    <x:row r="76">
      <x:c r="A76" s="3" t="n">
        <x:v>2023</x:v>
      </x:c>
      <x:c r="B76" s="2" t="str">
        <x:v>Marzo</x:v>
      </x:c>
      <x:c r="C76" s="2" t="str">
        <x:v>RE-000921-1</x:v>
      </x:c>
      <x:c r="D76" s="2" t="str">
        <x:v>Parque Eólico Cabo Vilán</x:v>
      </x:c>
      <x:c r="E76" s="4" t="n">
        <x:v>1.363</x:v>
      </x:c>
      <x:c r="F76" s="4" t="n">
        <x:f>J76*0.95</x:f>
        <x:v>1.2663499999999999</x:v>
      </x:c>
      <x:c r="G76" s="4" t="n">
        <x:v>5.46</x:v>
      </x:c>
      <x:c r="H76" s="4" t="n">
        <x:v>89.61</x:v>
      </x:c>
      <x:c r="I76" s="5" t="n">
        <x:f t="shared" si="1">F76*1000*H76</x:f>
        <x:v>113477.62349999999</x:v>
      </x:c>
      <x:c r="J76" t="n">
        <x:v>1.333</x:v>
      </x:c>
    </x:row>
    <x:row r="77">
      <x:c r="A77" s="3" t="n">
        <x:v>2023</x:v>
      </x:c>
      <x:c r="B77" s="2" t="str">
        <x:v>Abril</x:v>
      </x:c>
      <x:c r="C77" s="2" t="str">
        <x:v>RE-000921-1</x:v>
      </x:c>
      <x:c r="D77" s="2" t="str">
        <x:v>Parque Eólico Cabo Vilán</x:v>
      </x:c>
      <x:c r="E77" s="4" t="n">
        <x:v>1.079</x:v>
      </x:c>
      <x:c r="F77" s="4" t="n">
        <x:f>J77*1.02</x:f>
        <x:v>1.0710000000000002</x:v>
      </x:c>
      <x:c r="G77" s="4" t="n">
        <x:v>5.46</x:v>
      </x:c>
      <x:c r="H77" s="4" t="n">
        <x:v>73.73</x:v>
      </x:c>
      <x:c r="I77" s="5" t="n">
        <x:f t="shared" si="1">F77*1000*H77</x:f>
        <x:v>78964.83000000002</x:v>
      </x:c>
      <x:c r="J77" t="n">
        <x:v>1.05</x:v>
      </x:c>
    </x:row>
    <x:row r="78">
      <x:c r="A78" s="3" t="n">
        <x:v>2023</x:v>
      </x:c>
      <x:c r="B78" s="2" t="str">
        <x:v>Mayo</x:v>
      </x:c>
      <x:c r="C78" s="2" t="str">
        <x:v>RE-000921-1</x:v>
      </x:c>
      <x:c r="D78" s="2" t="str">
        <x:v>Parque Eólico Cabo Vilán</x:v>
      </x:c>
      <x:c r="E78" s="4" t="n">
        <x:v>0.94</x:v>
      </x:c>
      <x:c r="F78" s="4" t="n">
        <x:f>J78*0.98</x:f>
        <x:v>0.9016000000000001</x:v>
      </x:c>
      <x:c r="G78" s="4" t="n">
        <x:v>5.46</x:v>
      </x:c>
      <x:c r="H78" s="4" t="n">
        <x:v>74.21</x:v>
      </x:c>
      <x:c r="I78" s="5" t="n">
        <x:f t="shared" si="1">F78*1000*H78</x:f>
        <x:v>66907.73599999999</x:v>
      </x:c>
      <x:c r="J78" t="n">
        <x:v>0.92</x:v>
      </x:c>
    </x:row>
    <x:row r="79">
      <x:c r="A79" s="3" t="n">
        <x:v>2023</x:v>
      </x:c>
      <x:c r="B79" s="2" t="str">
        <x:v>Junio</x:v>
      </x:c>
      <x:c r="C79" s="2" t="str">
        <x:v>RE-000921-1</x:v>
      </x:c>
      <x:c r="D79" s="2" t="str">
        <x:v>Parque Eólico Cabo Vilán</x:v>
      </x:c>
      <x:c r="E79" s="4" t="n">
        <x:v>0.777</x:v>
      </x:c>
      <x:c r="F79" s="4" t="n">
        <x:f>J79*0.94</x:f>
        <x:v>0.71346</x:v>
      </x:c>
      <x:c r="G79" s="4" t="n">
        <x:v>5.46</x:v>
      </x:c>
      <x:c r="H79" s="4" t="n">
        <x:v>93.02</x:v>
      </x:c>
      <x:c r="I79" s="5" t="n">
        <x:f t="shared" si="1">F79*1000*H79</x:f>
        <x:v>66366.0492</x:v>
      </x:c>
      <x:c r="J79" t="n">
        <x:v>0.759</x:v>
      </x:c>
    </x:row>
    <x:row r="80">
      <x:c r="A80" s="3" t="n">
        <x:v>2023</x:v>
      </x:c>
      <x:c r="B80" s="2" t="str">
        <x:v>Julio</x:v>
      </x:c>
      <x:c r="C80" s="2" t="str">
        <x:v>RE-000921-1</x:v>
      </x:c>
      <x:c r="D80" s="2" t="str">
        <x:v>Parque Eólico Cabo Vilán</x:v>
      </x:c>
      <x:c r="E80" s="4" t="n">
        <x:v>0.766</x:v>
      </x:c>
      <x:c r="F80" s="4" t="n">
        <x:f>J80*1.01</x:f>
        <x:v>0.75346</x:v>
      </x:c>
      <x:c r="G80" s="4" t="n">
        <x:v>5.46</x:v>
      </x:c>
      <x:c r="H80" s="4" t="n">
        <x:v>90.47</x:v>
      </x:c>
      <x:c r="I80" s="5" t="n">
        <x:f t="shared" si="1">F80*1000*H80</x:f>
        <x:v>68165.52620000001</x:v>
      </x:c>
      <x:c r="J80" t="n">
        <x:v>0.746</x:v>
      </x:c>
    </x:row>
    <x:row r="81">
      <x:c r="A81" s="3" t="n">
        <x:v>2023</x:v>
      </x:c>
      <x:c r="B81" s="2" t="str">
        <x:v>Agosto</x:v>
      </x:c>
      <x:c r="C81" s="2" t="str">
        <x:v>RE-000921-1</x:v>
      </x:c>
      <x:c r="D81" s="2" t="str">
        <x:v>Parque Eólico Cabo Vilán</x:v>
      </x:c>
      <x:c r="E81" s="4" t="n">
        <x:v>0.843</x:v>
      </x:c>
      <x:c r="F81" s="4" t="n">
        <x:f>J81*0.97</x:f>
        <x:v>0.80316</x:v>
      </x:c>
      <x:c r="G81" s="4" t="n">
        <x:v>5.46</x:v>
      </x:c>
      <x:c r="H81" s="4" t="n">
        <x:v>96.05</x:v>
      </x:c>
      <x:c r="I81" s="5" t="n">
        <x:f t="shared" si="1">F81*1000*H81</x:f>
        <x:v>77143.518</x:v>
      </x:c>
      <x:c r="J81" t="n">
        <x:v>0.828</x:v>
      </x:c>
    </x:row>
    <x:row r="82">
      <x:c r="A82" s="3" t="n">
        <x:v>2023</x:v>
      </x:c>
      <x:c r="B82" s="2" t="str">
        <x:v>Septiembre</x:v>
      </x:c>
      <x:c r="C82" s="2" t="str">
        <x:v>RE-000921-1</x:v>
      </x:c>
      <x:c r="D82" s="2" t="str">
        <x:v>Parque Eólico Cabo Vilán</x:v>
      </x:c>
      <x:c r="E82" s="4" t="n">
        <x:v>0.928</x:v>
      </x:c>
      <x:c r="F82" s="4" t="n">
        <x:f>J82*1.04</x:f>
        <x:v>0.9391200000000001</x:v>
      </x:c>
      <x:c r="G82" s="4" t="n">
        <x:v>5.46</x:v>
      </x:c>
      <x:c r="H82" s="4" t="n">
        <x:v>103.34</x:v>
      </x:c>
      <x:c r="I82" s="5" t="n">
        <x:f t="shared" si="1">F82*1000*H82</x:f>
        <x:v>97048.66080000001</x:v>
      </x:c>
      <x:c r="J82" t="n">
        <x:v>0.903</x:v>
      </x:c>
    </x:row>
    <x:row r="83">
      <x:c r="A83" s="3" t="n">
        <x:v>2023</x:v>
      </x:c>
      <x:c r="B83" s="2" t="str">
        <x:v>Octubre</x:v>
      </x:c>
      <x:c r="C83" s="2" t="str">
        <x:v>RE-000921-1</x:v>
      </x:c>
      <x:c r="D83" s="2" t="str">
        <x:v>Parque Eólico Cabo Vilán</x:v>
      </x:c>
      <x:c r="E83" s="4" t="n">
        <x:v>1.247</x:v>
      </x:c>
      <x:c r="F83" s="4" t="n">
        <x:f>J83*1</x:f>
        <x:v>1.211</x:v>
      </x:c>
      <x:c r="G83" s="4" t="n">
        <x:v>5.46</x:v>
      </x:c>
      <x:c r="H83" s="4" t="n">
        <x:v>90.14</x:v>
      </x:c>
      <x:c r="I83" s="5" t="n">
        <x:f t="shared" si="1">F83*1000*H83</x:f>
        <x:v>109159.54</x:v>
      </x:c>
      <x:c r="J83" t="n">
        <x:v>1.211</x:v>
      </x:c>
    </x:row>
    <x:row r="84">
      <x:c r="A84" s="3" t="n">
        <x:v>2023</x:v>
      </x:c>
      <x:c r="B84" s="2" t="str">
        <x:v>Noviembre</x:v>
      </x:c>
      <x:c r="C84" s="2" t="str">
        <x:v>RE-000921-1</x:v>
      </x:c>
      <x:c r="D84" s="2" t="str">
        <x:v>Parque Eólico Cabo Vilán</x:v>
      </x:c>
      <x:c r="E84" s="4" t="n">
        <x:v>1.274</x:v>
      </x:c>
      <x:c r="F84" s="4" t="n">
        <x:f>J84*0.96</x:f>
        <x:v>1.1952</x:v>
      </x:c>
      <x:c r="G84" s="4" t="n">
        <x:v>5.46</x:v>
      </x:c>
      <x:c r="H84" s="4" t="n">
        <x:v>63.45</x:v>
      </x:c>
      <x:c r="I84" s="5" t="n">
        <x:f t="shared" si="1">F84*1000*H84</x:f>
        <x:v>75835.44</x:v>
      </x:c>
      <x:c r="J84" t="n">
        <x:v>1.245</x:v>
      </x:c>
    </x:row>
    <x:row r="85">
      <x:c r="A85" s="3" t="n">
        <x:v>2023</x:v>
      </x:c>
      <x:c r="B85" s="2" t="str">
        <x:v>Diciembre</x:v>
      </x:c>
      <x:c r="C85" s="2" t="str">
        <x:v>RE-000921-1</x:v>
      </x:c>
      <x:c r="D85" s="2" t="str">
        <x:v>Parque Eólico Cabo Vilán</x:v>
      </x:c>
      <x:c r="E85" s="4" t="n">
        <x:v>1.753</x:v>
      </x:c>
      <x:c r="F85" s="4" t="n">
        <x:f>J85*1.03</x:f>
        <x:v>1.77469</x:v>
      </x:c>
      <x:c r="G85" s="4" t="n">
        <x:v>5.46</x:v>
      </x:c>
      <x:c r="H85" s="4" t="n">
        <x:v>72.17</x:v>
      </x:c>
      <x:c r="I85" s="5" t="n">
        <x:f t="shared" si="1">F85*1000*H85</x:f>
        <x:v>128079.37730000001</x:v>
      </x:c>
      <x:c r="J85" t="n">
        <x:v>1.723</x:v>
      </x:c>
    </x:row>
    <x:row r="86">
      <x:c r="A86" s="3" t="n">
        <x:v>2023</x:v>
      </x:c>
      <x:c r="B86" s="2" t="str">
        <x:v>Enero</x:v>
      </x:c>
      <x:c r="C86" s="2" t="str">
        <x:v>RE-000922-1</x:v>
      </x:c>
      <x:c r="D86" s="2" t="str">
        <x:v>P. E. VIRAVENTO (antesCABO VILANO AWEC-60)</x:v>
      </x:c>
      <x:c r="E86" s="4" t="n">
        <x:v>0.362</x:v>
      </x:c>
      <x:c r="F86" s="4" t="n">
        <x:f>J86*0.99</x:f>
        <x:v>0.35145</x:v>
      </x:c>
      <x:c r="G86" s="4" t="n">
        <x:v>1.2</x:v>
      </x:c>
      <x:c r="H86" s="4" t="n">
        <x:v>69.55</x:v>
      </x:c>
      <x:c r="I86" s="5" t="n">
        <x:f t="shared" si="1">F86*1000*H86</x:f>
        <x:v>24443.3475</x:v>
      </x:c>
      <x:c r="J86" t="n">
        <x:v>0.355</x:v>
      </x:c>
    </x:row>
    <x:row r="87">
      <x:c r="A87" s="3" t="n">
        <x:v>2023</x:v>
      </x:c>
      <x:c r="B87" s="2" t="str">
        <x:v>Febrero</x:v>
      </x:c>
      <x:c r="C87" s="2" t="str">
        <x:v>RE-000922-1</x:v>
      </x:c>
      <x:c r="D87" s="2" t="str">
        <x:v>P. E. VIRAVENTO (antesCABO VILANO AWEC-60)</x:v>
      </x:c>
      <x:c r="E87" s="4" t="n">
        <x:v>0.301</x:v>
      </x:c>
      <x:c r="F87" s="4" t="n">
        <x:f>J87*0.95</x:f>
        <x:v>0.28025</x:v>
      </x:c>
      <x:c r="G87" s="4" t="n">
        <x:v>1.2</x:v>
      </x:c>
      <x:c r="H87" s="4" t="n">
        <x:v>133.47</x:v>
      </x:c>
      <x:c r="I87" s="5" t="n">
        <x:f t="shared" si="1">F87*1000*H87</x:f>
        <x:v>37404.9675</x:v>
      </x:c>
      <x:c r="J87" t="n">
        <x:v>0.295</x:v>
      </x:c>
    </x:row>
    <x:row r="88">
      <x:c r="A88" s="3" t="n">
        <x:v>2023</x:v>
      </x:c>
      <x:c r="B88" s="2" t="str">
        <x:v>Marzo</x:v>
      </x:c>
      <x:c r="C88" s="2" t="str">
        <x:v>RE-000922-1</x:v>
      </x:c>
      <x:c r="D88" s="2" t="str">
        <x:v>P. E. VIRAVENTO (antesCABO VILANO AWEC-60)</x:v>
      </x:c>
      <x:c r="E88" s="4" t="n">
        <x:v>0.301</x:v>
      </x:c>
      <x:c r="F88" s="4" t="n">
        <x:f>J88*1.02</x:f>
        <x:v>0.29784</x:v>
      </x:c>
      <x:c r="G88" s="4" t="n">
        <x:v>1.2</x:v>
      </x:c>
      <x:c r="H88" s="4" t="n">
        <x:v>89.61</x:v>
      </x:c>
      <x:c r="I88" s="5" t="n">
        <x:f t="shared" si="1">F88*1000*H88</x:f>
        <x:v>26689.442399999996</x:v>
      </x:c>
      <x:c r="J88" t="n">
        <x:v>0.292</x:v>
      </x:c>
    </x:row>
    <x:row r="89">
      <x:c r="A89" s="3" t="n">
        <x:v>2023</x:v>
      </x:c>
      <x:c r="B89" s="2" t="str">
        <x:v>Abril</x:v>
      </x:c>
      <x:c r="C89" s="2" t="str">
        <x:v>RE-000922-1</x:v>
      </x:c>
      <x:c r="D89" s="2" t="str">
        <x:v>P. E. VIRAVENTO (antesCABO VILANO AWEC-60)</x:v>
      </x:c>
      <x:c r="E89" s="4" t="n">
        <x:v>0.245</x:v>
      </x:c>
      <x:c r="F89" s="4" t="n">
        <x:f>J89*0.98</x:f>
        <x:v>0.2352</x:v>
      </x:c>
      <x:c r="G89" s="4" t="n">
        <x:v>1.2</x:v>
      </x:c>
      <x:c r="H89" s="4" t="n">
        <x:v>73.73</x:v>
      </x:c>
      <x:c r="I89" s="5" t="n">
        <x:f t="shared" si="1">F89*1000*H89</x:f>
        <x:v>17341.296</x:v>
      </x:c>
      <x:c r="J89" t="n">
        <x:v>0.24</x:v>
      </x:c>
    </x:row>
    <x:row r="90">
      <x:c r="A90" s="3" t="n">
        <x:v>2023</x:v>
      </x:c>
      <x:c r="B90" s="2" t="str">
        <x:v>Mayo</x:v>
      </x:c>
      <x:c r="C90" s="2" t="str">
        <x:v>RE-000922-1</x:v>
      </x:c>
      <x:c r="D90" s="2" t="str">
        <x:v>P. E. VIRAVENTO (antesCABO VILANO AWEC-60)</x:v>
      </x:c>
      <x:c r="E90" s="4" t="n">
        <x:v>0.22</x:v>
      </x:c>
      <x:c r="F90" s="4" t="n">
        <x:f>J90*0.94</x:f>
        <x:v>0.20021999999999998</x:v>
      </x:c>
      <x:c r="G90" s="4" t="n">
        <x:v>1.2</x:v>
      </x:c>
      <x:c r="H90" s="4" t="n">
        <x:v>74.21</x:v>
      </x:c>
      <x:c r="I90" s="5" t="n">
        <x:f t="shared" si="1">F90*1000*H90</x:f>
        <x:v>14858.326199999996</x:v>
      </x:c>
      <x:c r="J90" t="n">
        <x:v>0.213</x:v>
      </x:c>
    </x:row>
    <x:row r="91">
      <x:c r="A91" s="3" t="n">
        <x:v>2023</x:v>
      </x:c>
      <x:c r="B91" s="2" t="str">
        <x:v>Junio</x:v>
      </x:c>
      <x:c r="C91" s="2" t="str">
        <x:v>RE-000922-1</x:v>
      </x:c>
      <x:c r="D91" s="2" t="str">
        <x:v>P. E. VIRAVENTO (antesCABO VILANO AWEC-60)</x:v>
      </x:c>
      <x:c r="E91" s="4" t="n">
        <x:v>0.164</x:v>
      </x:c>
      <x:c r="F91" s="4" t="n">
        <x:f>J91*1.01</x:f>
        <x:v>0.16261</x:v>
      </x:c>
      <x:c r="G91" s="4" t="n">
        <x:v>1.2</x:v>
      </x:c>
      <x:c r="H91" s="4" t="n">
        <x:v>93.02</x:v>
      </x:c>
      <x:c r="I91" s="5" t="n">
        <x:f t="shared" si="1">F91*1000*H91</x:f>
        <x:v>15125.9822</x:v>
      </x:c>
      <x:c r="J91" t="n">
        <x:v>0.161</x:v>
      </x:c>
    </x:row>
    <x:row r="92">
      <x:c r="A92" s="3" t="n">
        <x:v>2023</x:v>
      </x:c>
      <x:c r="B92" s="2" t="str">
        <x:v>Julio</x:v>
      </x:c>
      <x:c r="C92" s="2" t="str">
        <x:v>RE-000922-1</x:v>
      </x:c>
      <x:c r="D92" s="2" t="str">
        <x:v>P. E. VIRAVENTO (antesCABO VILANO AWEC-60)</x:v>
      </x:c>
      <x:c r="E92" s="4" t="n">
        <x:v>0.192</x:v>
      </x:c>
      <x:c r="F92" s="4" t="n">
        <x:f>J92*0.97</x:f>
        <x:v>0.18139</x:v>
      </x:c>
      <x:c r="G92" s="4" t="n">
        <x:v>1.2</x:v>
      </x:c>
      <x:c r="H92" s="4" t="n">
        <x:v>90.47</x:v>
      </x:c>
      <x:c r="I92" s="5" t="n">
        <x:f t="shared" si="1">F92*1000*H92</x:f>
        <x:v>16410.3533</x:v>
      </x:c>
      <x:c r="J92" t="n">
        <x:v>0.187</x:v>
      </x:c>
    </x:row>
    <x:row r="93">
      <x:c r="A93" s="3" t="n">
        <x:v>2023</x:v>
      </x:c>
      <x:c r="B93" s="2" t="str">
        <x:v>Agosto</x:v>
      </x:c>
      <x:c r="C93" s="2" t="str">
        <x:v>RE-000922-1</x:v>
      </x:c>
      <x:c r="D93" s="2" t="str">
        <x:v>P. E. VIRAVENTO (antesCABO VILANO AWEC-60)</x:v>
      </x:c>
      <x:c r="E93" s="4" t="n">
        <x:v>0.184</x:v>
      </x:c>
      <x:c r="F93" s="4" t="n">
        <x:f>J93*1.04</x:f>
        <x:v>0.1872</x:v>
      </x:c>
      <x:c r="G93" s="4" t="n">
        <x:v>1.2</x:v>
      </x:c>
      <x:c r="H93" s="4" t="n">
        <x:v>96.05</x:v>
      </x:c>
      <x:c r="I93" s="5" t="n">
        <x:f t="shared" si="1">F93*1000*H93</x:f>
        <x:v>17980.56</x:v>
      </x:c>
      <x:c r="J93" t="n">
        <x:v>0.18</x:v>
      </x:c>
    </x:row>
    <x:row r="94">
      <x:c r="A94" s="3" t="n">
        <x:v>2023</x:v>
      </x:c>
      <x:c r="B94" s="2" t="str">
        <x:v>Septiembre</x:v>
      </x:c>
      <x:c r="C94" s="2" t="str">
        <x:v>RE-000922-1</x:v>
      </x:c>
      <x:c r="D94" s="2" t="str">
        <x:v>P. E. VIRAVENTO (antesCABO VILANO AWEC-60)</x:v>
      </x:c>
      <x:c r="E94" s="4" t="n">
        <x:v>0.205</x:v>
      </x:c>
      <x:c r="F94" s="4" t="n">
        <x:f>J94*1</x:f>
        <x:v>0.2</x:v>
      </x:c>
      <x:c r="G94" s="4" t="n">
        <x:v>1.2</x:v>
      </x:c>
      <x:c r="H94" s="4" t="n">
        <x:v>103.34</x:v>
      </x:c>
      <x:c r="I94" s="5" t="n">
        <x:f t="shared" si="1">F94*1000*H94</x:f>
        <x:v>20668</x:v>
      </x:c>
      <x:c r="J94" t="n">
        <x:v>0.2</x:v>
      </x:c>
    </x:row>
    <x:row r="95">
      <x:c r="A95" s="3" t="n">
        <x:v>2023</x:v>
      </x:c>
      <x:c r="B95" s="2" t="str">
        <x:v>Octubre</x:v>
      </x:c>
      <x:c r="C95" s="2" t="str">
        <x:v>RE-000922-1</x:v>
      </x:c>
      <x:c r="D95" s="2" t="str">
        <x:v>P. E. VIRAVENTO (antesCABO VILANO AWEC-60)</x:v>
      </x:c>
      <x:c r="E95" s="4" t="n">
        <x:v>0.254</x:v>
      </x:c>
      <x:c r="F95" s="4" t="n">
        <x:f>J95*0.96</x:f>
        <x:v>0.23712</x:v>
      </x:c>
      <x:c r="G95" s="4" t="n">
        <x:v>1.2</x:v>
      </x:c>
      <x:c r="H95" s="4" t="n">
        <x:v>90.14</x:v>
      </x:c>
      <x:c r="I95" s="5" t="n">
        <x:f t="shared" si="1">F95*1000*H95</x:f>
        <x:v>21373.9968</x:v>
      </x:c>
      <x:c r="J95" t="n">
        <x:v>0.247</x:v>
      </x:c>
    </x:row>
    <x:row r="96">
      <x:c r="A96" s="3" t="n">
        <x:v>2023</x:v>
      </x:c>
      <x:c r="B96" s="2" t="str">
        <x:v>Noviembre</x:v>
      </x:c>
      <x:c r="C96" s="2" t="str">
        <x:v>RE-000922-1</x:v>
      </x:c>
      <x:c r="D96" s="2" t="str">
        <x:v>P. E. VIRAVENTO (antesCABO VILANO AWEC-60)</x:v>
      </x:c>
      <x:c r="E96" s="4" t="n">
        <x:v>0.281</x:v>
      </x:c>
      <x:c r="F96" s="4" t="n">
        <x:f>J96*1.03</x:f>
        <x:v>0.28325000000000006</x:v>
      </x:c>
      <x:c r="G96" s="4" t="n">
        <x:v>1.2</x:v>
      </x:c>
      <x:c r="H96" s="4" t="n">
        <x:v>63.45</x:v>
      </x:c>
      <x:c r="I96" s="5" t="n">
        <x:f t="shared" si="1">F96*1000*H96</x:f>
        <x:v>17972.212500000005</x:v>
      </x:c>
      <x:c r="J96" t="n">
        <x:v>0.275</x:v>
      </x:c>
    </x:row>
    <x:row r="97">
      <x:c r="A97" s="3" t="n">
        <x:v>2023</x:v>
      </x:c>
      <x:c r="B97" s="2" t="str">
        <x:v>Diciembre</x:v>
      </x:c>
      <x:c r="C97" s="2" t="str">
        <x:v>RE-000922-1</x:v>
      </x:c>
      <x:c r="D97" s="2" t="str">
        <x:v>P. E. VIRAVENTO (antesCABO VILANO AWEC-60)</x:v>
      </x:c>
      <x:c r="E97" s="4" t="n">
        <x:v>0.307</x:v>
      </x:c>
      <x:c r="F97" s="4" t="n">
        <x:f>J97*0.99</x:f>
        <x:v>0.29799</x:v>
      </x:c>
      <x:c r="G97" s="4" t="n">
        <x:v>1.2</x:v>
      </x:c>
      <x:c r="H97" s="4" t="n">
        <x:v>72.17</x:v>
      </x:c>
      <x:c r="I97" s="5" t="n">
        <x:f t="shared" si="1">F97*1000*H97</x:f>
        <x:v>21505.938299999998</x:v>
      </x:c>
      <x:c r="J97" t="n">
        <x:v>0.301</x:v>
      </x:c>
    </x:row>
    <x:row r="98">
      <x:c r="A98" s="3" t="n">
        <x:v>2023</x:v>
      </x:c>
      <x:c r="B98" s="2" t="str">
        <x:v>Enero</x:v>
      </x:c>
      <x:c r="C98" s="2" t="str">
        <x:v>RE-000957-1</x:v>
      </x:c>
      <x:c r="D98" s="2" t="str">
        <x:v>PARQUE EOLICO DE MURAS I</x:v>
      </x:c>
      <x:c r="E98" s="4" t="n">
        <x:v>7.652</x:v>
      </x:c>
      <x:c r="F98" s="4" t="n">
        <x:f>J98*0.95</x:f>
        <x:v>7.14685</x:v>
      </x:c>
      <x:c r="G98" s="4" t="n">
        <x:v>24.42</x:v>
      </x:c>
      <x:c r="H98" s="4" t="n">
        <x:v>69.55</x:v>
      </x:c>
      <x:c r="I98" s="5" t="n">
        <x:f t="shared" si="1">F98*1000*H98</x:f>
        <x:v>497063.4174999999</x:v>
      </x:c>
      <x:c r="J98" t="n">
        <x:v>7.523</x:v>
      </x:c>
    </x:row>
    <x:row r="99">
      <x:c r="A99" s="3" t="n">
        <x:v>2023</x:v>
      </x:c>
      <x:c r="B99" s="2" t="str">
        <x:v>Febrero</x:v>
      </x:c>
      <x:c r="C99" s="2" t="str">
        <x:v>RE-000957-1</x:v>
      </x:c>
      <x:c r="D99" s="2" t="str">
        <x:v>PARQUE EOLICO DE MURAS I</x:v>
      </x:c>
      <x:c r="E99" s="4" t="n">
        <x:v>6.312</x:v>
      </x:c>
      <x:c r="F99" s="4" t="n">
        <x:f>J99*1.02</x:f>
        <x:v>6.32706</x:v>
      </x:c>
      <x:c r="G99" s="4" t="n">
        <x:v>24.42</x:v>
      </x:c>
      <x:c r="H99" s="4" t="n">
        <x:v>133.47</x:v>
      </x:c>
      <x:c r="I99" s="5" t="n">
        <x:f t="shared" si="1">F99*1000*H99</x:f>
        <x:v>844472.6982000001</x:v>
      </x:c>
      <x:c r="J99" t="n">
        <x:v>6.203</x:v>
      </x:c>
    </x:row>
    <x:row r="100">
      <x:c r="A100" s="3" t="n">
        <x:v>2023</x:v>
      </x:c>
      <x:c r="B100" s="2" t="str">
        <x:v>Marzo</x:v>
      </x:c>
      <x:c r="C100" s="2" t="str">
        <x:v>RE-000957-1</x:v>
      </x:c>
      <x:c r="D100" s="2" t="str">
        <x:v>PARQUE EOLICO DE MURAS I</x:v>
      </x:c>
      <x:c r="E100" s="4" t="n">
        <x:v>5.727</x:v>
      </x:c>
      <x:c r="F100" s="4" t="n">
        <x:f>J100*0.98</x:f>
        <x:v>5.49388</x:v>
      </x:c>
      <x:c r="G100" s="4" t="n">
        <x:v>24.42</x:v>
      </x:c>
      <x:c r="H100" s="4" t="n">
        <x:v>89.61</x:v>
      </x:c>
      <x:c r="I100" s="5" t="n">
        <x:f t="shared" si="1">F100*1000*H100</x:f>
        <x:v>492306.5868</x:v>
      </x:c>
      <x:c r="J100" t="n">
        <x:v>5.606</x:v>
      </x:c>
    </x:row>
    <x:row r="101">
      <x:c r="A101" s="3" t="n">
        <x:v>2023</x:v>
      </x:c>
      <x:c r="B101" s="2" t="str">
        <x:v>Abril</x:v>
      </x:c>
      <x:c r="C101" s="2" t="str">
        <x:v>RE-000957-1</x:v>
      </x:c>
      <x:c r="D101" s="2" t="str">
        <x:v>PARQUE EOLICO DE MURAS I</x:v>
      </x:c>
      <x:c r="E101" s="4" t="n">
        <x:v>4.845</x:v>
      </x:c>
      <x:c r="F101" s="4" t="n">
        <x:f>J101*0.94</x:f>
        <x:v>4.43304</x:v>
      </x:c>
      <x:c r="G101" s="4" t="n">
        <x:v>24.42</x:v>
      </x:c>
      <x:c r="H101" s="4" t="n">
        <x:v>73.73</x:v>
      </x:c>
      <x:c r="I101" s="5" t="n">
        <x:f t="shared" si="1">F101*1000*H101</x:f>
        <x:v>326848.0392</x:v>
      </x:c>
      <x:c r="J101" t="n">
        <x:v>4.716</x:v>
      </x:c>
    </x:row>
    <x:row r="102">
      <x:c r="A102" s="3" t="n">
        <x:v>2023</x:v>
      </x:c>
      <x:c r="B102" s="2" t="str">
        <x:v>Mayo</x:v>
      </x:c>
      <x:c r="C102" s="2" t="str">
        <x:v>RE-000957-1</x:v>
      </x:c>
      <x:c r="D102" s="2" t="str">
        <x:v>PARQUE EOLICO DE MURAS I</x:v>
      </x:c>
      <x:c r="E102" s="4" t="n">
        <x:v>4.971</x:v>
      </x:c>
      <x:c r="F102" s="4" t="n">
        <x:f>J102*1.01</x:f>
        <x:v>4.9176899999999995</x:v>
      </x:c>
      <x:c r="G102" s="4" t="n">
        <x:v>24.42</x:v>
      </x:c>
      <x:c r="H102" s="4" t="n">
        <x:v>74.21</x:v>
      </x:c>
      <x:c r="I102" s="5" t="n">
        <x:f t="shared" si="1">F102*1000*H102</x:f>
        <x:v>364941.77489999996</x:v>
      </x:c>
      <x:c r="J102" t="n">
        <x:v>4.869</x:v>
      </x:c>
    </x:row>
    <x:row r="103">
      <x:c r="A103" s="3" t="n">
        <x:v>2023</x:v>
      </x:c>
      <x:c r="B103" s="2" t="str">
        <x:v>Junio</x:v>
      </x:c>
      <x:c r="C103" s="2" t="str">
        <x:v>RE-000957-1</x:v>
      </x:c>
      <x:c r="D103" s="2" t="str">
        <x:v>PARQUE EOLICO DE MURAS I</x:v>
      </x:c>
      <x:c r="E103" s="4" t="n">
        <x:v>4.391</x:v>
      </x:c>
      <x:c r="F103" s="4" t="n">
        <x:f>J103*0.97</x:f>
        <x:v>4.13511</x:v>
      </x:c>
      <x:c r="G103" s="4" t="n">
        <x:v>24.42</x:v>
      </x:c>
      <x:c r="H103" s="4" t="n">
        <x:v>93.02</x:v>
      </x:c>
      <x:c r="I103" s="5" t="n">
        <x:f t="shared" si="1">F103*1000*H103</x:f>
        <x:v>384647.9322</x:v>
      </x:c>
      <x:c r="J103" t="n">
        <x:v>4.263</x:v>
      </x:c>
    </x:row>
    <x:row r="104">
      <x:c r="A104" s="3" t="n">
        <x:v>2023</x:v>
      </x:c>
      <x:c r="B104" s="2" t="str">
        <x:v>Julio</x:v>
      </x:c>
      <x:c r="C104" s="2" t="str">
        <x:v>RE-000957-1</x:v>
      </x:c>
      <x:c r="D104" s="2" t="str">
        <x:v>PARQUE EOLICO DE MURAS I</x:v>
      </x:c>
      <x:c r="E104" s="4" t="n">
        <x:v>3.639</x:v>
      </x:c>
      <x:c r="F104" s="4" t="n">
        <x:f>J104*1.04</x:f>
        <x:v>3.666</x:v>
      </x:c>
      <x:c r="G104" s="4" t="n">
        <x:v>24.42</x:v>
      </x:c>
      <x:c r="H104" s="4" t="n">
        <x:v>90.47</x:v>
      </x:c>
      <x:c r="I104" s="5" t="n">
        <x:f t="shared" si="1">F104*1000*H104</x:f>
        <x:v>331663.02</x:v>
      </x:c>
      <x:c r="J104" t="n">
        <x:v>3.525</x:v>
      </x:c>
    </x:row>
    <x:row r="105">
      <x:c r="A105" s="3" t="n">
        <x:v>2023</x:v>
      </x:c>
      <x:c r="B105" s="2" t="str">
        <x:v>Agosto</x:v>
      </x:c>
      <x:c r="C105" s="2" t="str">
        <x:v>RE-000957-1</x:v>
      </x:c>
      <x:c r="D105" s="2" t="str">
        <x:v>PARQUE EOLICO DE MURAS I</x:v>
      </x:c>
      <x:c r="E105" s="4" t="n">
        <x:v>3.449</x:v>
      </x:c>
      <x:c r="F105" s="4" t="n">
        <x:f>J105*1</x:f>
        <x:v>3.339</x:v>
      </x:c>
      <x:c r="G105" s="4" t="n">
        <x:v>24.42</x:v>
      </x:c>
      <x:c r="H105" s="4" t="n">
        <x:v>96.05</x:v>
      </x:c>
      <x:c r="I105" s="5" t="n">
        <x:f t="shared" si="1">F105*1000*H105</x:f>
        <x:v>320710.95</x:v>
      </x:c>
      <x:c r="J105" t="n">
        <x:v>3.339</x:v>
      </x:c>
    </x:row>
    <x:row r="106">
      <x:c r="A106" s="3" t="n">
        <x:v>2023</x:v>
      </x:c>
      <x:c r="B106" s="2" t="str">
        <x:v>Septiembre</x:v>
      </x:c>
      <x:c r="C106" s="2" t="str">
        <x:v>RE-000957-1</x:v>
      </x:c>
      <x:c r="D106" s="2" t="str">
        <x:v>PARQUE EOLICO DE MURAS I</x:v>
      </x:c>
      <x:c r="E106" s="4" t="n">
        <x:v>4.985</x:v>
      </x:c>
      <x:c r="F106" s="4" t="n">
        <x:f>J106*0.96</x:f>
        <x:v>4.69056</x:v>
      </x:c>
      <x:c r="G106" s="4" t="n">
        <x:v>24.42</x:v>
      </x:c>
      <x:c r="H106" s="4" t="n">
        <x:v>103.34</x:v>
      </x:c>
      <x:c r="I106" s="5" t="n">
        <x:f t="shared" si="1">F106*1000*H106</x:f>
        <x:v>484722.4704</x:v>
      </x:c>
      <x:c r="J106" t="n">
        <x:v>4.886</x:v>
      </x:c>
    </x:row>
    <x:row r="107">
      <x:c r="A107" s="3" t="n">
        <x:v>2023</x:v>
      </x:c>
      <x:c r="B107" s="2" t="str">
        <x:v>Octubre</x:v>
      </x:c>
      <x:c r="C107" s="2" t="str">
        <x:v>RE-000957-1</x:v>
      </x:c>
      <x:c r="D107" s="2" t="str">
        <x:v>PARQUE EOLICO DE MURAS I</x:v>
      </x:c>
      <x:c r="E107" s="4" t="n">
        <x:v>5.577</x:v>
      </x:c>
      <x:c r="F107" s="4" t="n">
        <x:f>J107*1.03</x:f>
        <x:v>5.63513</x:v>
      </x:c>
      <x:c r="G107" s="4" t="n">
        <x:v>24.42</x:v>
      </x:c>
      <x:c r="H107" s="4" t="n">
        <x:v>90.14</x:v>
      </x:c>
      <x:c r="I107" s="5" t="n">
        <x:f t="shared" si="1">F107*1000*H107</x:f>
        <x:v>507950.6182</x:v>
      </x:c>
      <x:c r="J107" t="n">
        <x:v>5.471</x:v>
      </x:c>
    </x:row>
    <x:row r="108">
      <x:c r="A108" s="3" t="n">
        <x:v>2023</x:v>
      </x:c>
      <x:c r="B108" s="2" t="str">
        <x:v>Noviembre</x:v>
      </x:c>
      <x:c r="C108" s="2" t="str">
        <x:v>RE-000957-1</x:v>
      </x:c>
      <x:c r="D108" s="2" t="str">
        <x:v>PARQUE EOLICO DE MURAS I</x:v>
      </x:c>
      <x:c r="E108" s="4" t="n">
        <x:v>6.109</x:v>
      </x:c>
      <x:c r="F108" s="4" t="n">
        <x:f>J108*0.99</x:f>
        <x:v>5.9093100000000005</x:v>
      </x:c>
      <x:c r="G108" s="4" t="n">
        <x:v>24.42</x:v>
      </x:c>
      <x:c r="H108" s="4" t="n">
        <x:v>63.45</x:v>
      </x:c>
      <x:c r="I108" s="5" t="n">
        <x:f t="shared" si="1">F108*1000*H108</x:f>
        <x:v>374945.71950000006</x:v>
      </x:c>
      <x:c r="J108" t="n">
        <x:v>5.969</x:v>
      </x:c>
    </x:row>
    <x:row r="109">
      <x:c r="A109" s="3" t="n">
        <x:v>2023</x:v>
      </x:c>
      <x:c r="B109" s="2" t="str">
        <x:v>Diciembre</x:v>
      </x:c>
      <x:c r="C109" s="2" t="str">
        <x:v>RE-000957-1</x:v>
      </x:c>
      <x:c r="D109" s="2" t="str">
        <x:v>PARQUE EOLICO DE MURAS I</x:v>
      </x:c>
      <x:c r="E109" s="4" t="n">
        <x:v>6.366</x:v>
      </x:c>
      <x:c r="F109" s="4" t="n">
        <x:f>J109*0.95</x:f>
        <x:v>5.8786</x:v>
      </x:c>
      <x:c r="G109" s="4" t="n">
        <x:v>24.42</x:v>
      </x:c>
      <x:c r="H109" s="4" t="n">
        <x:v>72.17</x:v>
      </x:c>
      <x:c r="I109" s="5" t="n">
        <x:f t="shared" si="1">F109*1000*H109</x:f>
        <x:v>424258.562</x:v>
      </x:c>
      <x:c r="J109" t="n">
        <x:v>6.188</x:v>
      </x:c>
    </x:row>
    <x:row r="110">
      <x:c r="A110" s="3" t="n">
        <x:v>2023</x:v>
      </x:c>
      <x:c r="B110" s="2" t="str">
        <x:v>Enero</x:v>
      </x:c>
      <x:c r="C110" s="2" t="str">
        <x:v>RE-000958-1</x:v>
      </x:c>
      <x:c r="D110" s="2" t="str">
        <x:v>P.E. CORISCADA</x:v>
      </x:c>
      <x:c r="E110" s="4" t="n">
        <x:v>7.735</x:v>
      </x:c>
      <x:c r="F110" s="4" t="n">
        <x:f>J110*1.02</x:f>
        <x:v>7.6653</x:v>
      </x:c>
      <x:c r="G110" s="4" t="n">
        <x:v>24</x:v>
      </x:c>
      <x:c r="H110" s="4" t="n">
        <x:v>69.55</x:v>
      </x:c>
      <x:c r="I110" s="5" t="n">
        <x:f t="shared" si="1">F110*1000*H110</x:f>
        <x:v>533121.615</x:v>
      </x:c>
      <x:c r="J110" t="n">
        <x:v>7.515</x:v>
      </x:c>
    </x:row>
    <x:row r="111">
      <x:c r="A111" s="3" t="n">
        <x:v>2023</x:v>
      </x:c>
      <x:c r="B111" s="2" t="str">
        <x:v>Febrero</x:v>
      </x:c>
      <x:c r="C111" s="2" t="str">
        <x:v>RE-000958-1</x:v>
      </x:c>
      <x:c r="D111" s="2" t="str">
        <x:v>P.E. CORISCADA</x:v>
      </x:c>
      <x:c r="E111" s="4" t="n">
        <x:v>5.774</x:v>
      </x:c>
      <x:c r="F111" s="4" t="n">
        <x:f>J111*0.98</x:f>
        <x:v>5.524259999999999</x:v>
      </x:c>
      <x:c r="G111" s="4" t="n">
        <x:v>24</x:v>
      </x:c>
      <x:c r="H111" s="4" t="n">
        <x:v>133.47</x:v>
      </x:c>
      <x:c r="I111" s="5" t="n">
        <x:f t="shared" si="1">F111*1000*H111</x:f>
        <x:v>737322.9821999999</x:v>
      </x:c>
      <x:c r="J111" t="n">
        <x:v>5.637</x:v>
      </x:c>
    </x:row>
    <x:row r="112">
      <x:c r="A112" s="3" t="n">
        <x:v>2023</x:v>
      </x:c>
      <x:c r="B112" s="2" t="str">
        <x:v>Marzo</x:v>
      </x:c>
      <x:c r="C112" s="2" t="str">
        <x:v>RE-000958-1</x:v>
      </x:c>
      <x:c r="D112" s="2" t="str">
        <x:v>P.E. CORISCADA</x:v>
      </x:c>
      <x:c r="E112" s="4" t="n">
        <x:v>6.203</x:v>
      </x:c>
      <x:c r="F112" s="4" t="n">
        <x:f>J112*0.94</x:f>
        <x:v>5.6992199999999995</x:v>
      </x:c>
      <x:c r="G112" s="4" t="n">
        <x:v>24</x:v>
      </x:c>
      <x:c r="H112" s="4" t="n">
        <x:v>89.61</x:v>
      </x:c>
      <x:c r="I112" s="5" t="n">
        <x:f t="shared" si="1">F112*1000*H112</x:f>
        <x:v>510707.10419999994</x:v>
      </x:c>
      <x:c r="J112" t="n">
        <x:v>6.063</x:v>
      </x:c>
    </x:row>
    <x:row r="113">
      <x:c r="A113" s="3" t="n">
        <x:v>2023</x:v>
      </x:c>
      <x:c r="B113" s="2" t="str">
        <x:v>Abril</x:v>
      </x:c>
      <x:c r="C113" s="2" t="str">
        <x:v>RE-000958-1</x:v>
      </x:c>
      <x:c r="D113" s="2" t="str">
        <x:v>P.E. CORISCADA</x:v>
      </x:c>
      <x:c r="E113" s="4" t="n">
        <x:v>5.656</x:v>
      </x:c>
      <x:c r="F113" s="4" t="n">
        <x:f>J113*1.01</x:f>
        <x:v>5.5408599999999995</x:v>
      </x:c>
      <x:c r="G113" s="4" t="n">
        <x:v>24</x:v>
      </x:c>
      <x:c r="H113" s="4" t="n">
        <x:v>73.73</x:v>
      </x:c>
      <x:c r="I113" s="5" t="n">
        <x:f t="shared" si="1">F113*1000*H113</x:f>
        <x:v>408527.6078</x:v>
      </x:c>
      <x:c r="J113" t="n">
        <x:v>5.486</x:v>
      </x:c>
    </x:row>
    <x:row r="114">
      <x:c r="A114" s="3" t="n">
        <x:v>2023</x:v>
      </x:c>
      <x:c r="B114" s="2" t="str">
        <x:v>Mayo</x:v>
      </x:c>
      <x:c r="C114" s="2" t="str">
        <x:v>RE-000958-1</x:v>
      </x:c>
      <x:c r="D114" s="2" t="str">
        <x:v>P.E. CORISCADA</x:v>
      </x:c>
      <x:c r="E114" s="4" t="n">
        <x:v>5.184</x:v>
      </x:c>
      <x:c r="F114" s="4" t="n">
        <x:f>J114*0.97</x:f>
        <x:v>4.946999999999999</x:v>
      </x:c>
      <x:c r="G114" s="4" t="n">
        <x:v>24</x:v>
      </x:c>
      <x:c r="H114" s="4" t="n">
        <x:v>74.21</x:v>
      </x:c>
      <x:c r="I114" s="5" t="n">
        <x:f t="shared" si="1">F114*1000*H114</x:f>
        <x:v>367116.8699999999</x:v>
      </x:c>
      <x:c r="J114" t="n">
        <x:v>5.1</x:v>
      </x:c>
    </x:row>
    <x:row r="115">
      <x:c r="A115" s="3" t="n">
        <x:v>2023</x:v>
      </x:c>
      <x:c r="B115" s="2" t="str">
        <x:v>Junio</x:v>
      </x:c>
      <x:c r="C115" s="2" t="str">
        <x:v>RE-000958-1</x:v>
      </x:c>
      <x:c r="D115" s="2" t="str">
        <x:v>P.E. CORISCADA</x:v>
      </x:c>
      <x:c r="E115" s="4" t="n">
        <x:v>4.152</x:v>
      </x:c>
      <x:c r="F115" s="4" t="n">
        <x:f>J115*1.04</x:f>
        <x:v>4.23176</x:v>
      </x:c>
      <x:c r="G115" s="4" t="n">
        <x:v>24</x:v>
      </x:c>
      <x:c r="H115" s="4" t="n">
        <x:v>93.02</x:v>
      </x:c>
      <x:c r="I115" s="5" t="n">
        <x:f t="shared" si="1">F115*1000*H115</x:f>
        <x:v>393638.3152</x:v>
      </x:c>
      <x:c r="J115" t="n">
        <x:v>4.069</x:v>
      </x:c>
    </x:row>
    <x:row r="116">
      <x:c r="A116" s="3" t="n">
        <x:v>2023</x:v>
      </x:c>
      <x:c r="B116" s="2" t="str">
        <x:v>Julio</x:v>
      </x:c>
      <x:c r="C116" s="2" t="str">
        <x:v>RE-000958-1</x:v>
      </x:c>
      <x:c r="D116" s="2" t="str">
        <x:v>P.E. CORISCADA</x:v>
      </x:c>
      <x:c r="E116" s="4" t="n">
        <x:v>3.749</x:v>
      </x:c>
      <x:c r="F116" s="4" t="n">
        <x:f>J116*1</x:f>
        <x:v>3.663</x:v>
      </x:c>
      <x:c r="G116" s="4" t="n">
        <x:v>24</x:v>
      </x:c>
      <x:c r="H116" s="4" t="n">
        <x:v>90.47</x:v>
      </x:c>
      <x:c r="I116" s="5" t="n">
        <x:f t="shared" si="1">F116*1000*H116</x:f>
        <x:v>331391.61</x:v>
      </x:c>
      <x:c r="J116" t="n">
        <x:v>3.663</x:v>
      </x:c>
    </x:row>
    <x:row r="117">
      <x:c r="A117" s="3" t="n">
        <x:v>2023</x:v>
      </x:c>
      <x:c r="B117" s="2" t="str">
        <x:v>Agosto</x:v>
      </x:c>
      <x:c r="C117" s="2" t="str">
        <x:v>RE-000958-1</x:v>
      </x:c>
      <x:c r="D117" s="2" t="str">
        <x:v>P.E. CORISCADA</x:v>
      </x:c>
      <x:c r="E117" s="4" t="n">
        <x:v>4.368</x:v>
      </x:c>
      <x:c r="F117" s="4" t="n">
        <x:f>J117*0.96</x:f>
        <x:v>4.071359999999999</x:v>
      </x:c>
      <x:c r="G117" s="4" t="n">
        <x:v>24</x:v>
      </x:c>
      <x:c r="H117" s="4" t="n">
        <x:v>96.05</x:v>
      </x:c>
      <x:c r="I117" s="5" t="n">
        <x:f t="shared" si="1">F117*1000*H117</x:f>
        <x:v>391054.1279999999</x:v>
      </x:c>
      <x:c r="J117" t="n">
        <x:v>4.241</x:v>
      </x:c>
    </x:row>
    <x:row r="118">
      <x:c r="A118" s="3" t="n">
        <x:v>2023</x:v>
      </x:c>
      <x:c r="B118" s="2" t="str">
        <x:v>Septiembre</x:v>
      </x:c>
      <x:c r="C118" s="2" t="str">
        <x:v>RE-000958-1</x:v>
      </x:c>
      <x:c r="D118" s="2" t="str">
        <x:v>P.E. CORISCADA</x:v>
      </x:c>
      <x:c r="E118" s="4" t="n">
        <x:v>5.029</x:v>
      </x:c>
      <x:c r="F118" s="4" t="n">
        <x:f>J118*1.03</x:f>
        <x:v>5.03258</x:v>
      </x:c>
      <x:c r="G118" s="4" t="n">
        <x:v>24</x:v>
      </x:c>
      <x:c r="H118" s="4" t="n">
        <x:v>103.34</x:v>
      </x:c>
      <x:c r="I118" s="5" t="n">
        <x:f t="shared" si="1">F118*1000*H118</x:f>
        <x:v>520066.8172</x:v>
      </x:c>
      <x:c r="J118" t="n">
        <x:v>4.886</x:v>
      </x:c>
    </x:row>
    <x:row r="119">
      <x:c r="A119" s="3" t="n">
        <x:v>2023</x:v>
      </x:c>
      <x:c r="B119" s="2" t="str">
        <x:v>Octubre</x:v>
      </x:c>
      <x:c r="C119" s="2" t="str">
        <x:v>RE-000958-1</x:v>
      </x:c>
      <x:c r="D119" s="2" t="str">
        <x:v>P.E. CORISCADA</x:v>
      </x:c>
      <x:c r="E119" s="4" t="n">
        <x:v>6.352</x:v>
      </x:c>
      <x:c r="F119" s="4" t="n">
        <x:f>J119*0.99</x:f>
        <x:v>6.1776</x:v>
      </x:c>
      <x:c r="G119" s="4" t="n">
        <x:v>24</x:v>
      </x:c>
      <x:c r="H119" s="4" t="n">
        <x:v>90.14</x:v>
      </x:c>
      <x:c r="I119" s="5" t="n">
        <x:f t="shared" si="1">F119*1000*H119</x:f>
        <x:v>556848.8640000001</x:v>
      </x:c>
      <x:c r="J119" t="n">
        <x:v>6.24</x:v>
      </x:c>
    </x:row>
    <x:row r="120">
      <x:c r="A120" s="3" t="n">
        <x:v>2023</x:v>
      </x:c>
      <x:c r="B120" s="2" t="str">
        <x:v>Noviembre</x:v>
      </x:c>
      <x:c r="C120" s="2" t="str">
        <x:v>RE-000958-1</x:v>
      </x:c>
      <x:c r="D120" s="2" t="str">
        <x:v>P.E. CORISCADA</x:v>
      </x:c>
      <x:c r="E120" s="4" t="n">
        <x:v>6.19</x:v>
      </x:c>
      <x:c r="F120" s="4" t="n">
        <x:f>J120*0.95</x:f>
        <x:v>5.77695</x:v>
      </x:c>
      <x:c r="G120" s="4" t="n">
        <x:v>24</x:v>
      </x:c>
      <x:c r="H120" s="4" t="n">
        <x:v>63.45</x:v>
      </x:c>
      <x:c r="I120" s="5" t="n">
        <x:f t="shared" si="1">F120*1000*H120</x:f>
        <x:v>366547.4775</x:v>
      </x:c>
      <x:c r="J120" t="n">
        <x:v>6.081</x:v>
      </x:c>
    </x:row>
    <x:row r="121">
      <x:c r="A121" s="3" t="n">
        <x:v>2023</x:v>
      </x:c>
      <x:c r="B121" s="2" t="str">
        <x:v>Diciembre</x:v>
      </x:c>
      <x:c r="C121" s="2" t="str">
        <x:v>RE-000958-1</x:v>
      </x:c>
      <x:c r="D121" s="2" t="str">
        <x:v>P.E. CORISCADA</x:v>
      </x:c>
      <x:c r="E121" s="4" t="n">
        <x:v>7.314</x:v>
      </x:c>
      <x:c r="F121" s="4" t="n">
        <x:f>J121*1.02</x:f>
        <x:v>7.235880000000001</x:v>
      </x:c>
      <x:c r="G121" s="4" t="n">
        <x:v>24</x:v>
      </x:c>
      <x:c r="H121" s="4" t="n">
        <x:v>72.17</x:v>
      </x:c>
      <x:c r="I121" s="5" t="n">
        <x:f t="shared" si="1">F121*1000*H121</x:f>
        <x:v>522213.45960000006</x:v>
      </x:c>
      <x:c r="J121" t="n">
        <x:v>7.094</x:v>
      </x:c>
    </x:row>
    <x:row r="122">
      <x:c r="A122" s="3" t="n">
        <x:v>2023</x:v>
      </x:c>
      <x:c r="B122" s="2" t="str">
        <x:v>Enero</x:v>
      </x:c>
      <x:c r="C122" s="2" t="str">
        <x:v>RE-001064-1</x:v>
      </x:c>
      <x:c r="D122" s="2" t="str">
        <x:v>PARQUE EOLICO A CAPELADA</x:v>
      </x:c>
      <x:c r="E122" s="4" t="n">
        <x:v>4.1</x:v>
      </x:c>
      <x:c r="F122" s="4" t="n">
        <x:f>J122*0.98</x:f>
        <x:v>3.9288200000000004</x:v>
      </x:c>
      <x:c r="G122" s="4" t="n">
        <x:v>16.5</x:v>
      </x:c>
      <x:c r="H122" s="4" t="n">
        <x:v>69.55</x:v>
      </x:c>
      <x:c r="I122" s="5" t="n">
        <x:f t="shared" si="1">F122*1000*H122</x:f>
        <x:v>273249.43100000004</x:v>
      </x:c>
      <x:c r="J122" t="n">
        <x:v>4.009</x:v>
      </x:c>
    </x:row>
    <x:row r="123">
      <x:c r="A123" s="3" t="n">
        <x:v>2023</x:v>
      </x:c>
      <x:c r="B123" s="2" t="str">
        <x:v>Febrero</x:v>
      </x:c>
      <x:c r="C123" s="2" t="str">
        <x:v>RE-001064-1</x:v>
      </x:c>
      <x:c r="D123" s="2" t="str">
        <x:v>PARQUE EOLICO A CAPELADA</x:v>
      </x:c>
      <x:c r="E123" s="4" t="n">
        <x:v>3.431</x:v>
      </x:c>
      <x:c r="F123" s="4" t="n">
        <x:f>J123*0.94</x:f>
        <x:v>3.14994</x:v>
      </x:c>
      <x:c r="G123" s="4" t="n">
        <x:v>16.5</x:v>
      </x:c>
      <x:c r="H123" s="4" t="n">
        <x:v>133.47</x:v>
      </x:c>
      <x:c r="I123" s="5" t="n">
        <x:f t="shared" si="1">F123*1000*H123</x:f>
        <x:v>420422.4918</x:v>
      </x:c>
      <x:c r="J123" t="n">
        <x:v>3.351</x:v>
      </x:c>
    </x:row>
    <x:row r="124">
      <x:c r="A124" s="3" t="n">
        <x:v>2023</x:v>
      </x:c>
      <x:c r="B124" s="2" t="str">
        <x:v>Marzo</x:v>
      </x:c>
      <x:c r="C124" s="2" t="str">
        <x:v>RE-001064-1</x:v>
      </x:c>
      <x:c r="D124" s="2" t="str">
        <x:v>PARQUE EOLICO A CAPELADA</x:v>
      </x:c>
      <x:c r="E124" s="4" t="n">
        <x:v>3.942</x:v>
      </x:c>
      <x:c r="F124" s="4" t="n">
        <x:f>J124*1.01</x:f>
        <x:v>3.8642600000000003</x:v>
      </x:c>
      <x:c r="G124" s="4" t="n">
        <x:v>16.5</x:v>
      </x:c>
      <x:c r="H124" s="4" t="n">
        <x:v>89.61</x:v>
      </x:c>
      <x:c r="I124" s="5" t="n">
        <x:f t="shared" si="1">F124*1000*H124</x:f>
        <x:v>346276.3386</x:v>
      </x:c>
      <x:c r="J124" t="n">
        <x:v>3.826</x:v>
      </x:c>
    </x:row>
    <x:row r="125">
      <x:c r="A125" s="3" t="n">
        <x:v>2023</x:v>
      </x:c>
      <x:c r="B125" s="2" t="str">
        <x:v>Abril</x:v>
      </x:c>
      <x:c r="C125" s="2" t="str">
        <x:v>RE-001064-1</x:v>
      </x:c>
      <x:c r="D125" s="2" t="str">
        <x:v>PARQUE EOLICO A CAPELADA</x:v>
      </x:c>
      <x:c r="E125" s="4" t="n">
        <x:v>2.775</x:v>
      </x:c>
      <x:c r="F125" s="4" t="n">
        <x:f>J125*0.97</x:f>
        <x:v>2.619</x:v>
      </x:c>
      <x:c r="G125" s="4" t="n">
        <x:v>16.5</x:v>
      </x:c>
      <x:c r="H125" s="4" t="n">
        <x:v>73.73</x:v>
      </x:c>
      <x:c r="I125" s="5" t="n">
        <x:f t="shared" si="1">F125*1000*H125</x:f>
        <x:v>193098.87000000002</x:v>
      </x:c>
      <x:c r="J125" t="n">
        <x:v>2.7</x:v>
      </x:c>
    </x:row>
    <x:row r="126">
      <x:c r="A126" s="3" t="n">
        <x:v>2023</x:v>
      </x:c>
      <x:c r="B126" s="2" t="str">
        <x:v>Mayo</x:v>
      </x:c>
      <x:c r="C126" s="2" t="str">
        <x:v>RE-001064-1</x:v>
      </x:c>
      <x:c r="D126" s="2" t="str">
        <x:v>PARQUE EOLICO A CAPELADA</x:v>
      </x:c>
      <x:c r="E126" s="4" t="n">
        <x:v>3.2</x:v>
      </x:c>
      <x:c r="F126" s="4" t="n">
        <x:f>J126*1.04</x:f>
        <x:v>3.2292</x:v>
      </x:c>
      <x:c r="G126" s="4" t="n">
        <x:v>16.5</x:v>
      </x:c>
      <x:c r="H126" s="4" t="n">
        <x:v>74.21</x:v>
      </x:c>
      <x:c r="I126" s="5" t="n">
        <x:f t="shared" si="1">F126*1000*H126</x:f>
        <x:v>239638.932</x:v>
      </x:c>
      <x:c r="J126" t="n">
        <x:v>3.105</x:v>
      </x:c>
    </x:row>
    <x:row r="127">
      <x:c r="A127" s="3" t="n">
        <x:v>2023</x:v>
      </x:c>
      <x:c r="B127" s="2" t="str">
        <x:v>Junio</x:v>
      </x:c>
      <x:c r="C127" s="2" t="str">
        <x:v>RE-001064-1</x:v>
      </x:c>
      <x:c r="D127" s="2" t="str">
        <x:v>PARQUE EOLICO A CAPELADA</x:v>
      </x:c>
      <x:c r="E127" s="4" t="n">
        <x:v>2.183</x:v>
      </x:c>
      <x:c r="F127" s="4" t="n">
        <x:f>J127*1</x:f>
        <x:v>2.114</x:v>
      </x:c>
      <x:c r="G127" s="4" t="n">
        <x:v>16.5</x:v>
      </x:c>
      <x:c r="H127" s="4" t="n">
        <x:v>93.02</x:v>
      </x:c>
      <x:c r="I127" s="5" t="n">
        <x:f t="shared" si="1">F127*1000*H127</x:f>
        <x:v>196644.28</x:v>
      </x:c>
      <x:c r="J127" t="n">
        <x:v>2.114</x:v>
      </x:c>
    </x:row>
    <x:row r="128">
      <x:c r="A128" s="3" t="n">
        <x:v>2023</x:v>
      </x:c>
      <x:c r="B128" s="2" t="str">
        <x:v>Julio</x:v>
      </x:c>
      <x:c r="C128" s="2" t="str">
        <x:v>RE-001064-1</x:v>
      </x:c>
      <x:c r="D128" s="2" t="str">
        <x:v>PARQUE EOLICO A CAPELADA</x:v>
      </x:c>
      <x:c r="E128" s="4" t="n">
        <x:v>2.507</x:v>
      </x:c>
      <x:c r="F128" s="4" t="n">
        <x:f>J128*0.96</x:f>
        <x:v>2.3663999999999996</x:v>
      </x:c>
      <x:c r="G128" s="4" t="n">
        <x:v>16.5</x:v>
      </x:c>
      <x:c r="H128" s="4" t="n">
        <x:v>90.47</x:v>
      </x:c>
      <x:c r="I128" s="5" t="n">
        <x:f t="shared" si="1">F128*1000*H128</x:f>
        <x:v>214088.20799999996</x:v>
      </x:c>
      <x:c r="J128" t="n">
        <x:v>2.465</x:v>
      </x:c>
    </x:row>
    <x:row r="129">
      <x:c r="A129" s="3" t="n">
        <x:v>2023</x:v>
      </x:c>
      <x:c r="B129" s="2" t="str">
        <x:v>Agosto</x:v>
      </x:c>
      <x:c r="C129" s="2" t="str">
        <x:v>RE-001064-1</x:v>
      </x:c>
      <x:c r="D129" s="2" t="str">
        <x:v>PARQUE EOLICO A CAPELADA</x:v>
      </x:c>
      <x:c r="E129" s="4" t="n">
        <x:v>2.243</x:v>
      </x:c>
      <x:c r="F129" s="4" t="n">
        <x:f>J129*1.03</x:f>
        <x:v>2.2536400000000003</x:v>
      </x:c>
      <x:c r="G129" s="4" t="n">
        <x:v>16.5</x:v>
      </x:c>
      <x:c r="H129" s="4" t="n">
        <x:v>96.05</x:v>
      </x:c>
      <x:c r="I129" s="5" t="n">
        <x:f t="shared" si="1">F129*1000*H129</x:f>
        <x:v>216462.12200000003</x:v>
      </x:c>
      <x:c r="J129" t="n">
        <x:v>2.188</x:v>
      </x:c>
    </x:row>
    <x:row r="130">
      <x:c r="A130" s="3" t="n">
        <x:v>2023</x:v>
      </x:c>
      <x:c r="B130" s="2" t="str">
        <x:v>Septiembre</x:v>
      </x:c>
      <x:c r="C130" s="2" t="str">
        <x:v>RE-001064-1</x:v>
      </x:c>
      <x:c r="D130" s="2" t="str">
        <x:v>PARQUE EOLICO A CAPELADA</x:v>
      </x:c>
      <x:c r="E130" s="4" t="n">
        <x:v>2.804</x:v>
      </x:c>
      <x:c r="F130" s="4" t="n">
        <x:f>J130*0.99</x:f>
        <x:v>2.69874</x:v>
      </x:c>
      <x:c r="G130" s="4" t="n">
        <x:v>16.5</x:v>
      </x:c>
      <x:c r="H130" s="4" t="n">
        <x:v>103.34</x:v>
      </x:c>
      <x:c r="I130" s="5" t="n">
        <x:f t="shared" ref="I130:I193" si="2">F130*1000*H130</x:f>
        <x:v>278887.7916</x:v>
      </x:c>
      <x:c r="J130" t="n">
        <x:v>2.726</x:v>
      </x:c>
    </x:row>
    <x:row r="131">
      <x:c r="A131" s="3" t="n">
        <x:v>2023</x:v>
      </x:c>
      <x:c r="B131" s="2" t="str">
        <x:v>Octubre</x:v>
      </x:c>
      <x:c r="C131" s="2" t="str">
        <x:v>RE-001064-1</x:v>
      </x:c>
      <x:c r="D131" s="2" t="str">
        <x:v>PARQUE EOLICO A CAPELADA</x:v>
      </x:c>
      <x:c r="E131" s="4" t="n">
        <x:v>3.541</x:v>
      </x:c>
      <x:c r="F131" s="4" t="n">
        <x:f>J131*0.95</x:f>
        <x:v>3.2613499999999997</x:v>
      </x:c>
      <x:c r="G131" s="4" t="n">
        <x:v>16.5</x:v>
      </x:c>
      <x:c r="H131" s="4" t="n">
        <x:v>90.14</x:v>
      </x:c>
      <x:c r="I131" s="5" t="n">
        <x:f t="shared" si="2">F131*1000*H131</x:f>
        <x:v>293978.089</x:v>
      </x:c>
      <x:c r="J131" t="n">
        <x:v>3.433</x:v>
      </x:c>
    </x:row>
    <x:row r="132">
      <x:c r="A132" s="3" t="n">
        <x:v>2023</x:v>
      </x:c>
      <x:c r="B132" s="2" t="str">
        <x:v>Noviembre</x:v>
      </x:c>
      <x:c r="C132" s="2" t="str">
        <x:v>RE-001064-1</x:v>
      </x:c>
      <x:c r="D132" s="2" t="str">
        <x:v>PARQUE EOLICO A CAPELADA</x:v>
      </x:c>
      <x:c r="E132" s="4" t="n">
        <x:v>3.98</x:v>
      </x:c>
      <x:c r="F132" s="4" t="n">
        <x:f>J132*1.02</x:f>
        <x:v>3.9382200000000003</x:v>
      </x:c>
      <x:c r="G132" s="4" t="n">
        <x:v>16.5</x:v>
      </x:c>
      <x:c r="H132" s="4" t="n">
        <x:v>63.45</x:v>
      </x:c>
      <x:c r="I132" s="5" t="n">
        <x:f t="shared" si="2">F132*1000*H132</x:f>
        <x:v>249880.05900000004</x:v>
      </x:c>
      <x:c r="J132" t="n">
        <x:v>3.861</x:v>
      </x:c>
    </x:row>
    <x:row r="133">
      <x:c r="A133" s="3" t="n">
        <x:v>2023</x:v>
      </x:c>
      <x:c r="B133" s="2" t="str">
        <x:v>Diciembre</x:v>
      </x:c>
      <x:c r="C133" s="2" t="str">
        <x:v>RE-001064-1</x:v>
      </x:c>
      <x:c r="D133" s="2" t="str">
        <x:v>PARQUE EOLICO A CAPELADA</x:v>
      </x:c>
      <x:c r="E133" s="4" t="n">
        <x:v>4.601</x:v>
      </x:c>
      <x:c r="F133" s="4" t="n">
        <x:f>J133*0.98</x:f>
        <x:v>4.401179999999999</x:v>
      </x:c>
      <x:c r="G133" s="4" t="n">
        <x:v>16.5</x:v>
      </x:c>
      <x:c r="H133" s="4" t="n">
        <x:v>72.17</x:v>
      </x:c>
      <x:c r="I133" s="5" t="n">
        <x:f t="shared" si="2">F133*1000*H133</x:f>
        <x:v>317633.16059999994</x:v>
      </x:c>
      <x:c r="J133" t="n">
        <x:v>4.491</x:v>
      </x:c>
    </x:row>
    <x:row r="134">
      <x:c r="A134" s="3" t="n">
        <x:v>2023</x:v>
      </x:c>
      <x:c r="B134" s="2" t="str">
        <x:v>Enero</x:v>
      </x:c>
      <x:c r="C134" s="2" t="str">
        <x:v>RE-001065-1</x:v>
      </x:c>
      <x:c r="D134" s="2" t="str">
        <x:v>PARQUE EOLICO SAN XOAN</x:v>
      </x:c>
      <x:c r="E134" s="4" t="n">
        <x:v>4.041</x:v>
      </x:c>
      <x:c r="F134" s="4" t="n">
        <x:f>J134*0.94</x:f>
        <x:v>3.73086</x:v>
      </x:c>
      <x:c r="G134" s="4" t="n">
        <x:v>15.84</x:v>
      </x:c>
      <x:c r="H134" s="4" t="n">
        <x:v>69.55</x:v>
      </x:c>
      <x:c r="I134" s="5" t="n">
        <x:f t="shared" si="2">F134*1000*H134</x:f>
        <x:v>259481.31299999997</x:v>
      </x:c>
      <x:c r="J134" t="n">
        <x:v>3.969</x:v>
      </x:c>
    </x:row>
    <x:row r="135">
      <x:c r="A135" s="3" t="n">
        <x:v>2023</x:v>
      </x:c>
      <x:c r="B135" s="2" t="str">
        <x:v>Febrero</x:v>
      </x:c>
      <x:c r="C135" s="2" t="str">
        <x:v>RE-001065-1</x:v>
      </x:c>
      <x:c r="D135" s="2" t="str">
        <x:v>PARQUE EOLICO SAN XOAN</x:v>
      </x:c>
      <x:c r="E135" s="4" t="n">
        <x:v>3.416</x:v>
      </x:c>
      <x:c r="F135" s="4" t="n">
        <x:f>J135*1.01</x:f>
        <x:v>3.35421</x:v>
      </x:c>
      <x:c r="G135" s="4" t="n">
        <x:v>15.84</x:v>
      </x:c>
      <x:c r="H135" s="4" t="n">
        <x:v>133.47</x:v>
      </x:c>
      <x:c r="I135" s="5" t="n">
        <x:f t="shared" si="2">F135*1000*H135</x:f>
        <x:v>447686.4087</x:v>
      </x:c>
      <x:c r="J135" t="n">
        <x:v>3.321</x:v>
      </x:c>
    </x:row>
    <x:row r="136">
      <x:c r="A136" s="3" t="n">
        <x:v>2023</x:v>
      </x:c>
      <x:c r="B136" s="2" t="str">
        <x:v>Marzo</x:v>
      </x:c>
      <x:c r="C136" s="2" t="str">
        <x:v>RE-001065-1</x:v>
      </x:c>
      <x:c r="D136" s="2" t="str">
        <x:v>PARQUE EOLICO SAN XOAN</x:v>
      </x:c>
      <x:c r="E136" s="4" t="n">
        <x:v>3.926</x:v>
      </x:c>
      <x:c r="F136" s="4" t="n">
        <x:f>J136*0.97</x:f>
        <x:v>3.71122</x:v>
      </x:c>
      <x:c r="G136" s="4" t="n">
        <x:v>15.84</x:v>
      </x:c>
      <x:c r="H136" s="4" t="n">
        <x:v>89.61</x:v>
      </x:c>
      <x:c r="I136" s="5" t="n">
        <x:f t="shared" si="2">F136*1000*H136</x:f>
        <x:v>332562.4242</x:v>
      </x:c>
      <x:c r="J136" t="n">
        <x:v>3.826</x:v>
      </x:c>
    </x:row>
    <x:row r="137">
      <x:c r="A137" s="3" t="n">
        <x:v>2023</x:v>
      </x:c>
      <x:c r="B137" s="2" t="str">
        <x:v>Abril</x:v>
      </x:c>
      <x:c r="C137" s="2" t="str">
        <x:v>RE-001065-1</x:v>
      </x:c>
      <x:c r="D137" s="2" t="str">
        <x:v>PARQUE EOLICO SAN XOAN</x:v>
      </x:c>
      <x:c r="E137" s="4" t="n">
        <x:v>2.862</x:v>
      </x:c>
      <x:c r="F137" s="4" t="n">
        <x:f>J137*1.04</x:f>
        <x:v>2.886</x:v>
      </x:c>
      <x:c r="G137" s="4" t="n">
        <x:v>15.84</x:v>
      </x:c>
      <x:c r="H137" s="4" t="n">
        <x:v>73.73</x:v>
      </x:c>
      <x:c r="I137" s="5" t="n">
        <x:f t="shared" si="2">F137*1000*H137</x:f>
        <x:v>212784.78</x:v>
      </x:c>
      <x:c r="J137" t="n">
        <x:v>2.775</x:v>
      </x:c>
    </x:row>
    <x:row r="138">
      <x:c r="A138" s="3" t="n">
        <x:v>2023</x:v>
      </x:c>
      <x:c r="B138" s="2" t="str">
        <x:v>Mayo</x:v>
      </x:c>
      <x:c r="C138" s="2" t="str">
        <x:v>RE-001065-1</x:v>
      </x:c>
      <x:c r="D138" s="2" t="str">
        <x:v>PARQUE EOLICO SAN XOAN</x:v>
      </x:c>
      <x:c r="E138" s="4" t="n">
        <x:v>2.864</x:v>
      </x:c>
      <x:c r="F138" s="4" t="n">
        <x:f>J138*1</x:f>
        <x:v>2.811</x:v>
      </x:c>
      <x:c r="G138" s="4" t="n">
        <x:v>15.84</x:v>
      </x:c>
      <x:c r="H138" s="4" t="n">
        <x:v>74.21</x:v>
      </x:c>
      <x:c r="I138" s="5" t="n">
        <x:f t="shared" si="2">F138*1000*H138</x:f>
        <x:v>208604.30999999997</x:v>
      </x:c>
      <x:c r="J138" t="n">
        <x:v>2.811</x:v>
      </x:c>
    </x:row>
    <x:row r="139">
      <x:c r="A139" s="3" t="n">
        <x:v>2023</x:v>
      </x:c>
      <x:c r="B139" s="2" t="str">
        <x:v>Junio</x:v>
      </x:c>
      <x:c r="C139" s="2" t="str">
        <x:v>RE-001065-1</x:v>
      </x:c>
      <x:c r="D139" s="2" t="str">
        <x:v>PARQUE EOLICO SAN XOAN</x:v>
      </x:c>
      <x:c r="E139" s="4" t="n">
        <x:v>2.119</x:v>
      </x:c>
      <x:c r="F139" s="4" t="n">
        <x:f>J139*0.96</x:f>
        <x:v>1.98048</x:v>
      </x:c>
      <x:c r="G139" s="4" t="n">
        <x:v>15.84</x:v>
      </x:c>
      <x:c r="H139" s="4" t="n">
        <x:v>93.02</x:v>
      </x:c>
      <x:c r="I139" s="5" t="n">
        <x:f t="shared" si="2">F139*1000*H139</x:f>
        <x:v>184224.24959999998</x:v>
      </x:c>
      <x:c r="J139" t="n">
        <x:v>2.063</x:v>
      </x:c>
    </x:row>
    <x:row r="140">
      <x:c r="A140" s="3" t="n">
        <x:v>2023</x:v>
      </x:c>
      <x:c r="B140" s="2" t="str">
        <x:v>Julio</x:v>
      </x:c>
      <x:c r="C140" s="2" t="str">
        <x:v>RE-001065-1</x:v>
      </x:c>
      <x:c r="D140" s="2" t="str">
        <x:v>PARQUE EOLICO SAN XOAN</x:v>
      </x:c>
      <x:c r="E140" s="4" t="n">
        <x:v>2.032</x:v>
      </x:c>
      <x:c r="F140" s="4" t="n">
        <x:f>J140*1.03</x:f>
        <x:v>2.04558</x:v>
      </x:c>
      <x:c r="G140" s="4" t="n">
        <x:v>15.84</x:v>
      </x:c>
      <x:c r="H140" s="4" t="n">
        <x:v>90.47</x:v>
      </x:c>
      <x:c r="I140" s="5" t="n">
        <x:f t="shared" si="2">F140*1000*H140</x:f>
        <x:v>185063.6226</x:v>
      </x:c>
      <x:c r="J140" t="n">
        <x:v>1.986</x:v>
      </x:c>
    </x:row>
    <x:row r="141">
      <x:c r="A141" s="3" t="n">
        <x:v>2023</x:v>
      </x:c>
      <x:c r="B141" s="2" t="str">
        <x:v>Agosto</x:v>
      </x:c>
      <x:c r="C141" s="2" t="str">
        <x:v>RE-001065-1</x:v>
      </x:c>
      <x:c r="D141" s="2" t="str">
        <x:v>PARQUE EOLICO SAN XOAN</x:v>
      </x:c>
      <x:c r="E141" s="4" t="n">
        <x:v>2.064</x:v>
      </x:c>
      <x:c r="F141" s="4" t="n">
        <x:f>J141*0.99</x:f>
        <x:v>1.9829700000000001</x:v>
      </x:c>
      <x:c r="G141" s="4" t="n">
        <x:v>15.84</x:v>
      </x:c>
      <x:c r="H141" s="4" t="n">
        <x:v>96.05</x:v>
      </x:c>
      <x:c r="I141" s="5" t="n">
        <x:f t="shared" si="2">F141*1000*H141</x:f>
        <x:v>190464.2685</x:v>
      </x:c>
      <x:c r="J141" t="n">
        <x:v>2.003</x:v>
      </x:c>
    </x:row>
    <x:row r="142">
      <x:c r="A142" s="3" t="n">
        <x:v>2023</x:v>
      </x:c>
      <x:c r="B142" s="2" t="str">
        <x:v>Septiembre</x:v>
      </x:c>
      <x:c r="C142" s="2" t="str">
        <x:v>RE-001065-1</x:v>
      </x:c>
      <x:c r="D142" s="2" t="str">
        <x:v>PARQUE EOLICO SAN XOAN</x:v>
      </x:c>
      <x:c r="E142" s="4" t="n">
        <x:v>2.28</x:v>
      </x:c>
      <x:c r="F142" s="4" t="n">
        <x:f>J142*0.95</x:f>
        <x:v>2.10805</x:v>
      </x:c>
      <x:c r="G142" s="4" t="n">
        <x:v>15.84</x:v>
      </x:c>
      <x:c r="H142" s="4" t="n">
        <x:v>103.34</x:v>
      </x:c>
      <x:c r="I142" s="5" t="n">
        <x:f t="shared" si="2">F142*1000*H142</x:f>
        <x:v>217845.88700000002</x:v>
      </x:c>
      <x:c r="J142" t="n">
        <x:v>2.219</x:v>
      </x:c>
    </x:row>
    <x:row r="143">
      <x:c r="A143" s="3" t="n">
        <x:v>2023</x:v>
      </x:c>
      <x:c r="B143" s="2" t="str">
        <x:v>Octubre</x:v>
      </x:c>
      <x:c r="C143" s="2" t="str">
        <x:v>RE-001065-1</x:v>
      </x:c>
      <x:c r="D143" s="2" t="str">
        <x:v>PARQUE EOLICO SAN XOAN</x:v>
      </x:c>
      <x:c r="E143" s="4" t="n">
        <x:v>3.563</x:v>
      </x:c>
      <x:c r="F143" s="4" t="n">
        <x:f>J143*1.02</x:f>
        <x:v>3.52308</x:v>
      </x:c>
      <x:c r="G143" s="4" t="n">
        <x:v>15.84</x:v>
      </x:c>
      <x:c r="H143" s="4" t="n">
        <x:v>90.14</x:v>
      </x:c>
      <x:c r="I143" s="5" t="n">
        <x:f t="shared" si="2">F143*1000*H143</x:f>
        <x:v>317570.43120000005</x:v>
      </x:c>
      <x:c r="J143" t="n">
        <x:v>3.454</x:v>
      </x:c>
    </x:row>
    <x:row r="144">
      <x:c r="A144" s="3" t="n">
        <x:v>2023</x:v>
      </x:c>
      <x:c r="B144" s="2" t="str">
        <x:v>Noviembre</x:v>
      </x:c>
      <x:c r="C144" s="2" t="str">
        <x:v>RE-001065-1</x:v>
      </x:c>
      <x:c r="D144" s="2" t="str">
        <x:v>PARQUE EOLICO SAN XOAN</x:v>
      </x:c>
      <x:c r="E144" s="4" t="n">
        <x:v>4.008</x:v>
      </x:c>
      <x:c r="F144" s="4" t="n">
        <x:f>J144*0.98</x:f>
        <x:v>3.8514</x:v>
      </x:c>
      <x:c r="G144" s="4" t="n">
        <x:v>15.84</x:v>
      </x:c>
      <x:c r="H144" s="4" t="n">
        <x:v>63.45</x:v>
      </x:c>
      <x:c r="I144" s="5" t="n">
        <x:f t="shared" si="2">F144*1000*H144</x:f>
        <x:v>244371.33000000002</x:v>
      </x:c>
      <x:c r="J144" t="n">
        <x:v>3.93</x:v>
      </x:c>
    </x:row>
    <x:row r="145">
      <x:c r="A145" s="3" t="n">
        <x:v>2023</x:v>
      </x:c>
      <x:c r="B145" s="2" t="str">
        <x:v>Diciembre</x:v>
      </x:c>
      <x:c r="C145" s="2" t="str">
        <x:v>RE-001065-1</x:v>
      </x:c>
      <x:c r="D145" s="2" t="str">
        <x:v>PARQUE EOLICO SAN XOAN</x:v>
      </x:c>
      <x:c r="E145" s="4" t="n">
        <x:v>4.254</x:v>
      </x:c>
      <x:c r="F145" s="4" t="n">
        <x:f>J145*0.94</x:f>
        <x:v>3.9169799999999997</x:v>
      </x:c>
      <x:c r="G145" s="4" t="n">
        <x:v>15.84</x:v>
      </x:c>
      <x:c r="H145" s="4" t="n">
        <x:v>72.17</x:v>
      </x:c>
      <x:c r="I145" s="5" t="n">
        <x:f t="shared" si="2">F145*1000*H145</x:f>
        <x:v>282688.44659999997</x:v>
      </x:c>
      <x:c r="J145" t="n">
        <x:v>4.167</x:v>
      </x:c>
    </x:row>
    <x:row r="146">
      <x:c r="A146" s="3" t="n">
        <x:v>2023</x:v>
      </x:c>
      <x:c r="B146" s="2" t="str">
        <x:v>Enero</x:v>
      </x:c>
      <x:c r="C146" s="2" t="str">
        <x:v>RE-001066-1</x:v>
      </x:c>
      <x:c r="D146" s="2" t="str">
        <x:v>PARQUE EOLICO DE BUSTELO I</x:v>
      </x:c>
      <x:c r="E146" s="4" t="n">
        <x:v>5.621</x:v>
      </x:c>
      <x:c r="F146" s="4" t="n">
        <x:f>J146*1.01</x:f>
        <x:v>5.57318</x:v>
      </x:c>
      <x:c r="G146" s="4" t="n">
        <x:v>24.7</x:v>
      </x:c>
      <x:c r="H146" s="4" t="n">
        <x:v>69.55</x:v>
      </x:c>
      <x:c r="I146" s="5" t="n">
        <x:f t="shared" si="2">F146*1000*H146</x:f>
        <x:v>387614.66899999994</x:v>
      </x:c>
      <x:c r="J146" t="n">
        <x:v>5.518</x:v>
      </x:c>
    </x:row>
    <x:row r="147">
      <x:c r="A147" s="3" t="n">
        <x:v>2023</x:v>
      </x:c>
      <x:c r="B147" s="2" t="str">
        <x:v>Febrero</x:v>
      </x:c>
      <x:c r="C147" s="2" t="str">
        <x:v>RE-001066-1</x:v>
      </x:c>
      <x:c r="D147" s="2" t="str">
        <x:v>PARQUE EOLICO DE BUSTELO I</x:v>
      </x:c>
      <x:c r="E147" s="4" t="n">
        <x:v>5.866</x:v>
      </x:c>
      <x:c r="F147" s="4" t="n">
        <x:f>J147*0.97</x:f>
        <x:v>5.524150000000001</x:v>
      </x:c>
      <x:c r="G147" s="4" t="n">
        <x:v>24.7</x:v>
      </x:c>
      <x:c r="H147" s="4" t="n">
        <x:v>133.47</x:v>
      </x:c>
      <x:c r="I147" s="5" t="n">
        <x:f t="shared" si="2">F147*1000*H147</x:f>
        <x:v>737308.3005</x:v>
      </x:c>
      <x:c r="J147" t="n">
        <x:v>5.695</x:v>
      </x:c>
    </x:row>
    <x:row r="148">
      <x:c r="A148" s="3" t="n">
        <x:v>2023</x:v>
      </x:c>
      <x:c r="B148" s="2" t="str">
        <x:v>Marzo</x:v>
      </x:c>
      <x:c r="C148" s="2" t="str">
        <x:v>RE-001066-1</x:v>
      </x:c>
      <x:c r="D148" s="2" t="str">
        <x:v>PARQUE EOLICO DE BUSTELO I</x:v>
      </x:c>
      <x:c r="E148" s="4" t="n">
        <x:v>6.373</x:v>
      </x:c>
      <x:c r="F148" s="4" t="n">
        <x:f>J148*1.04</x:f>
        <x:v>6.4168</x:v>
      </x:c>
      <x:c r="G148" s="4" t="n">
        <x:v>24.7</x:v>
      </x:c>
      <x:c r="H148" s="4" t="n">
        <x:v>89.61</x:v>
      </x:c>
      <x:c r="I148" s="5" t="n">
        <x:f t="shared" si="2">F148*1000*H148</x:f>
        <x:v>575009.448</x:v>
      </x:c>
      <x:c r="J148" t="n">
        <x:v>6.17</x:v>
      </x:c>
    </x:row>
    <x:row r="149">
      <x:c r="A149" s="3" t="n">
        <x:v>2023</x:v>
      </x:c>
      <x:c r="B149" s="2" t="str">
        <x:v>Abril</x:v>
      </x:c>
      <x:c r="C149" s="2" t="str">
        <x:v>RE-001066-1</x:v>
      </x:c>
      <x:c r="D149" s="2" t="str">
        <x:v>PARQUE EOLICO DE BUSTELO I</x:v>
      </x:c>
      <x:c r="E149" s="4" t="n">
        <x:v>4.715</x:v>
      </x:c>
      <x:c r="F149" s="4" t="n">
        <x:f>J149*1</x:f>
        <x:v>4.624</x:v>
      </x:c>
      <x:c r="G149" s="4" t="n">
        <x:v>24.7</x:v>
      </x:c>
      <x:c r="H149" s="4" t="n">
        <x:v>73.73</x:v>
      </x:c>
      <x:c r="I149" s="5" t="n">
        <x:f t="shared" si="2">F149*1000*H149</x:f>
        <x:v>340927.52</x:v>
      </x:c>
      <x:c r="J149" t="n">
        <x:v>4.624</x:v>
      </x:c>
    </x:row>
    <x:row r="150">
      <x:c r="A150" s="3" t="n">
        <x:v>2023</x:v>
      </x:c>
      <x:c r="B150" s="2" t="str">
        <x:v>Mayo</x:v>
      </x:c>
      <x:c r="C150" s="2" t="str">
        <x:v>RE-001066-1</x:v>
      </x:c>
      <x:c r="D150" s="2" t="str">
        <x:v>PARQUE EOLICO DE BUSTELO I</x:v>
      </x:c>
      <x:c r="E150" s="4" t="n">
        <x:v>4.409</x:v>
      </x:c>
      <x:c r="F150" s="4" t="n">
        <x:f>J150*0.96</x:f>
        <x:v>4.152959999999999</x:v>
      </x:c>
      <x:c r="G150" s="4" t="n">
        <x:v>24.7</x:v>
      </x:c>
      <x:c r="H150" s="4" t="n">
        <x:v>74.21</x:v>
      </x:c>
      <x:c r="I150" s="5" t="n">
        <x:f t="shared" si="2">F150*1000*H150</x:f>
        <x:v>308191.16159999993</x:v>
      </x:c>
      <x:c r="J150" t="n">
        <x:v>4.326</x:v>
      </x:c>
    </x:row>
    <x:row r="151">
      <x:c r="A151" s="3" t="n">
        <x:v>2023</x:v>
      </x:c>
      <x:c r="B151" s="2" t="str">
        <x:v>Junio</x:v>
      </x:c>
      <x:c r="C151" s="2" t="str">
        <x:v>RE-001066-1</x:v>
      </x:c>
      <x:c r="D151" s="2" t="str">
        <x:v>PARQUE EOLICO DE BUSTELO I</x:v>
      </x:c>
      <x:c r="E151" s="4" t="n">
        <x:v>3.097</x:v>
      </x:c>
      <x:c r="F151" s="4" t="n">
        <x:f>J151*1.03</x:f>
        <x:v>3.1106000000000003</x:v>
      </x:c>
      <x:c r="G151" s="4" t="n">
        <x:v>24.7</x:v>
      </x:c>
      <x:c r="H151" s="4" t="n">
        <x:v>93.02</x:v>
      </x:c>
      <x:c r="I151" s="5" t="n">
        <x:f t="shared" si="2">F151*1000*H151</x:f>
        <x:v>289348.01200000005</x:v>
      </x:c>
      <x:c r="J151" t="n">
        <x:v>3.02</x:v>
      </x:c>
    </x:row>
    <x:row r="152">
      <x:c r="A152" s="3" t="n">
        <x:v>2023</x:v>
      </x:c>
      <x:c r="B152" s="2" t="str">
        <x:v>Julio</x:v>
      </x:c>
      <x:c r="C152" s="2" t="str">
        <x:v>RE-001066-1</x:v>
      </x:c>
      <x:c r="D152" s="2" t="str">
        <x:v>PARQUE EOLICO DE BUSTELO I</x:v>
      </x:c>
      <x:c r="E152" s="4" t="n">
        <x:v>3.174</x:v>
      </x:c>
      <x:c r="F152" s="4" t="n">
        <x:f>J152*0.99</x:f>
        <x:v>3.07395</x:v>
      </x:c>
      <x:c r="G152" s="4" t="n">
        <x:v>24.7</x:v>
      </x:c>
      <x:c r="H152" s="4" t="n">
        <x:v>90.47</x:v>
      </x:c>
      <x:c r="I152" s="5" t="n">
        <x:f t="shared" si="2">F152*1000*H152</x:f>
        <x:v>278100.25649999996</x:v>
      </x:c>
      <x:c r="J152" t="n">
        <x:v>3.105</x:v>
      </x:c>
    </x:row>
    <x:row r="153">
      <x:c r="A153" s="3" t="n">
        <x:v>2023</x:v>
      </x:c>
      <x:c r="B153" s="2" t="str">
        <x:v>Agosto</x:v>
      </x:c>
      <x:c r="C153" s="2" t="str">
        <x:v>RE-001066-1</x:v>
      </x:c>
      <x:c r="D153" s="2" t="str">
        <x:v>PARQUE EOLICO DE BUSTELO I</x:v>
      </x:c>
      <x:c r="E153" s="4" t="n">
        <x:v>3.934</x:v>
      </x:c>
      <x:c r="F153" s="4" t="n">
        <x:f>J153*0.95</x:f>
        <x:v>3.62045</x:v>
      </x:c>
      <x:c r="G153" s="4" t="n">
        <x:v>24.7</x:v>
      </x:c>
      <x:c r="H153" s="4" t="n">
        <x:v>96.05</x:v>
      </x:c>
      <x:c r="I153" s="5" t="n">
        <x:f t="shared" si="2">F153*1000*H153</x:f>
        <x:v>347744.2225</x:v>
      </x:c>
      <x:c r="J153" t="n">
        <x:v>3.811</x:v>
      </x:c>
    </x:row>
    <x:row r="154">
      <x:c r="A154" s="3" t="n">
        <x:v>2023</x:v>
      </x:c>
      <x:c r="B154" s="2" t="str">
        <x:v>Septiembre</x:v>
      </x:c>
      <x:c r="C154" s="2" t="str">
        <x:v>RE-001066-1</x:v>
      </x:c>
      <x:c r="D154" s="2" t="str">
        <x:v>PARQUE EOLICO DE BUSTELO I</x:v>
      </x:c>
      <x:c r="E154" s="4" t="n">
        <x:v>3.935</x:v>
      </x:c>
      <x:c r="F154" s="4" t="n">
        <x:f>J154*1.02</x:f>
        <x:v>3.93108</x:v>
      </x:c>
      <x:c r="G154" s="4" t="n">
        <x:v>24.7</x:v>
      </x:c>
      <x:c r="H154" s="4" t="n">
        <x:v>103.34</x:v>
      </x:c>
      <x:c r="I154" s="5" t="n">
        <x:f t="shared" si="2">F154*1000*H154</x:f>
        <x:v>406237.8072</x:v>
      </x:c>
      <x:c r="J154" t="n">
        <x:v>3.854</x:v>
      </x:c>
    </x:row>
    <x:row r="155">
      <x:c r="A155" s="3" t="n">
        <x:v>2023</x:v>
      </x:c>
      <x:c r="B155" s="2" t="str">
        <x:v>Octubre</x:v>
      </x:c>
      <x:c r="C155" s="2" t="str">
        <x:v>RE-001066-1</x:v>
      </x:c>
      <x:c r="D155" s="2" t="str">
        <x:v>PARQUE EOLICO DE BUSTELO I</x:v>
      </x:c>
      <x:c r="E155" s="4" t="n">
        <x:v>5.695</x:v>
      </x:c>
      <x:c r="F155" s="4" t="n">
        <x:f>J155*0.98</x:f>
        <x:v>5.44194</x:v>
      </x:c>
      <x:c r="G155" s="4" t="n">
        <x:v>24.7</x:v>
      </x:c>
      <x:c r="H155" s="4" t="n">
        <x:v>90.14</x:v>
      </x:c>
      <x:c r="I155" s="5" t="n">
        <x:f t="shared" si="2">F155*1000*H155</x:f>
        <x:v>490536.4716</x:v>
      </x:c>
      <x:c r="J155" t="n">
        <x:v>5.553</x:v>
      </x:c>
    </x:row>
    <x:row r="156">
      <x:c r="A156" s="3" t="n">
        <x:v>2023</x:v>
      </x:c>
      <x:c r="B156" s="2" t="str">
        <x:v>Noviembre</x:v>
      </x:c>
      <x:c r="C156" s="2" t="str">
        <x:v>RE-001066-1</x:v>
      </x:c>
      <x:c r="D156" s="2" t="str">
        <x:v>PARQUE EOLICO DE BUSTELO I</x:v>
      </x:c>
      <x:c r="E156" s="4" t="n">
        <x:v>6.597</x:v>
      </x:c>
      <x:c r="F156" s="4" t="n">
        <x:f>J156*0.94</x:f>
        <x:v>6.00284</x:v>
      </x:c>
      <x:c r="G156" s="4" t="n">
        <x:v>24.7</x:v>
      </x:c>
      <x:c r="H156" s="4" t="n">
        <x:v>63.45</x:v>
      </x:c>
      <x:c r="I156" s="5" t="n">
        <x:f t="shared" si="2">F156*1000*H156</x:f>
        <x:v>380880.19800000003</x:v>
      </x:c>
      <x:c r="J156" t="n">
        <x:v>6.386</x:v>
      </x:c>
    </x:row>
    <x:row r="157">
      <x:c r="A157" s="3" t="n">
        <x:v>2023</x:v>
      </x:c>
      <x:c r="B157" s="2" t="str">
        <x:v>Diciembre</x:v>
      </x:c>
      <x:c r="C157" s="2" t="str">
        <x:v>RE-001066-1</x:v>
      </x:c>
      <x:c r="D157" s="2" t="str">
        <x:v>PARQUE EOLICO DE BUSTELO I</x:v>
      </x:c>
      <x:c r="E157" s="4" t="n">
        <x:v>7.123</x:v>
      </x:c>
      <x:c r="F157" s="4" t="n">
        <x:f>J157*1.01</x:f>
        <x:v>7.012429999999999</x:v>
      </x:c>
      <x:c r="G157" s="4" t="n">
        <x:v>24.7</x:v>
      </x:c>
      <x:c r="H157" s="4" t="n">
        <x:v>72.17</x:v>
      </x:c>
      <x:c r="I157" s="5" t="n">
        <x:f t="shared" si="2">F157*1000*H157</x:f>
        <x:v>506087.0731</x:v>
      </x:c>
      <x:c r="J157" t="n">
        <x:v>6.943</x:v>
      </x:c>
    </x:row>
    <x:row r="158">
      <x:c r="A158" s="3" t="n">
        <x:v>2023</x:v>
      </x:c>
      <x:c r="B158" s="2" t="str">
        <x:v>Enero</x:v>
      </x:c>
      <x:c r="C158" s="2" t="str">
        <x:v>RE-001067-1</x:v>
      </x:c>
      <x:c r="D158" s="2" t="str">
        <x:v>PARQUE EOLICO DE BARBANZA II</x:v>
      </x:c>
      <x:c r="E158" s="4" t="n">
        <x:v>2.39</x:v>
      </x:c>
      <x:c r="F158" s="4" t="n">
        <x:f>J158*0.97</x:f>
        <x:v>2.26592</x:v>
      </x:c>
      <x:c r="G158" s="4" t="n">
        <x:v>9.24</x:v>
      </x:c>
      <x:c r="H158" s="4" t="n">
        <x:v>69.55</x:v>
      </x:c>
      <x:c r="I158" s="5" t="n">
        <x:f t="shared" si="2">F158*1000*H158</x:f>
        <x:v>157594.736</x:v>
      </x:c>
      <x:c r="J158" t="n">
        <x:v>2.336</x:v>
      </x:c>
    </x:row>
    <x:row r="159">
      <x:c r="A159" s="3" t="n">
        <x:v>2023</x:v>
      </x:c>
      <x:c r="B159" s="2" t="str">
        <x:v>Febrero</x:v>
      </x:c>
      <x:c r="C159" s="2" t="str">
        <x:v>RE-001067-1</x:v>
      </x:c>
      <x:c r="D159" s="2" t="str">
        <x:v>PARQUE EOLICO DE BARBANZA II</x:v>
      </x:c>
      <x:c r="E159" s="4" t="n">
        <x:v>2.068</x:v>
      </x:c>
      <x:c r="F159" s="4" t="n">
        <x:f>J159*1.04</x:f>
        <x:v>2.1164</x:v>
      </x:c>
      <x:c r="G159" s="4" t="n">
        <x:v>9.24</x:v>
      </x:c>
      <x:c r="H159" s="4" t="n">
        <x:v>133.47</x:v>
      </x:c>
      <x:c r="I159" s="5" t="n">
        <x:f t="shared" si="2">F159*1000*H159</x:f>
        <x:v>282475.908</x:v>
      </x:c>
      <x:c r="J159" t="n">
        <x:v>2.035</x:v>
      </x:c>
    </x:row>
    <x:row r="160">
      <x:c r="A160" s="3" t="n">
        <x:v>2023</x:v>
      </x:c>
      <x:c r="B160" s="2" t="str">
        <x:v>Marzo</x:v>
      </x:c>
      <x:c r="C160" s="2" t="str">
        <x:v>RE-001067-1</x:v>
      </x:c>
      <x:c r="D160" s="2" t="str">
        <x:v>PARQUE EOLICO DE BARBANZA II</x:v>
      </x:c>
      <x:c r="E160" s="4" t="n">
        <x:v>2.148</x:v>
      </x:c>
      <x:c r="F160" s="4" t="n">
        <x:f>J160*1</x:f>
        <x:v>2.114</x:v>
      </x:c>
      <x:c r="G160" s="4" t="n">
        <x:v>9.24</x:v>
      </x:c>
      <x:c r="H160" s="4" t="n">
        <x:v>89.61</x:v>
      </x:c>
      <x:c r="I160" s="5" t="n">
        <x:f t="shared" si="2">F160*1000*H160</x:f>
        <x:v>189435.54</x:v>
      </x:c>
      <x:c r="J160" t="n">
        <x:v>2.114</x:v>
      </x:c>
    </x:row>
    <x:row r="161">
      <x:c r="A161" s="3" t="n">
        <x:v>2023</x:v>
      </x:c>
      <x:c r="B161" s="2" t="str">
        <x:v>Abril</x:v>
      </x:c>
      <x:c r="C161" s="2" t="str">
        <x:v>RE-001067-1</x:v>
      </x:c>
      <x:c r="D161" s="2" t="str">
        <x:v>PARQUE EOLICO DE BARBANZA II</x:v>
      </x:c>
      <x:c r="E161" s="4" t="n">
        <x:v>2.145</x:v>
      </x:c>
      <x:c r="F161" s="4" t="n">
        <x:f>J161*0.96</x:f>
        <x:v>2.00352</x:v>
      </x:c>
      <x:c r="G161" s="4" t="n">
        <x:v>9.24</x:v>
      </x:c>
      <x:c r="H161" s="4" t="n">
        <x:v>73.73</x:v>
      </x:c>
      <x:c r="I161" s="5" t="n">
        <x:f t="shared" si="2">F161*1000*H161</x:f>
        <x:v>147719.5296</x:v>
      </x:c>
      <x:c r="J161" t="n">
        <x:v>2.087</x:v>
      </x:c>
    </x:row>
    <x:row r="162">
      <x:c r="A162" s="3" t="n">
        <x:v>2023</x:v>
      </x:c>
      <x:c r="B162" s="2" t="str">
        <x:v>Mayo</x:v>
      </x:c>
      <x:c r="C162" s="2" t="str">
        <x:v>RE-001067-1</x:v>
      </x:c>
      <x:c r="D162" s="2" t="str">
        <x:v>PARQUE EOLICO DE BARBANZA II</x:v>
      </x:c>
      <x:c r="E162" s="4" t="n">
        <x:v>1.687</x:v>
      </x:c>
      <x:c r="F162" s="4" t="n">
        <x:f>J162*1.03</x:f>
        <x:v>1.6871399999999999</x:v>
      </x:c>
      <x:c r="G162" s="4" t="n">
        <x:v>9.24</x:v>
      </x:c>
      <x:c r="H162" s="4" t="n">
        <x:v>74.21</x:v>
      </x:c>
      <x:c r="I162" s="5" t="n">
        <x:f t="shared" si="2">F162*1000*H162</x:f>
        <x:v>125202.65939999997</x:v>
      </x:c>
      <x:c r="J162" t="n">
        <x:v>1.638</x:v>
      </x:c>
    </x:row>
    <x:row r="163">
      <x:c r="A163" s="3" t="n">
        <x:v>2023</x:v>
      </x:c>
      <x:c r="B163" s="2" t="str">
        <x:v>Junio</x:v>
      </x:c>
      <x:c r="C163" s="2" t="str">
        <x:v>RE-001067-1</x:v>
      </x:c>
      <x:c r="D163" s="2" t="str">
        <x:v>PARQUE EOLICO DE BARBANZA II</x:v>
      </x:c>
      <x:c r="E163" s="4" t="n">
        <x:v>1.289</x:v>
      </x:c>
      <x:c r="F163" s="4" t="n">
        <x:f>J163*0.99</x:f>
        <x:v>1.2375</x:v>
      </x:c>
      <x:c r="G163" s="4" t="n">
        <x:v>9.24</x:v>
      </x:c>
      <x:c r="H163" s="4" t="n">
        <x:v>93.02</x:v>
      </x:c>
      <x:c r="I163" s="5" t="n">
        <x:f t="shared" si="2">F163*1000*H163</x:f>
        <x:v>115112.25</x:v>
      </x:c>
      <x:c r="J163" t="n">
        <x:v>1.25</x:v>
      </x:c>
    </x:row>
    <x:row r="164">
      <x:c r="A164" s="3" t="n">
        <x:v>2023</x:v>
      </x:c>
      <x:c r="B164" s="2" t="str">
        <x:v>Julio</x:v>
      </x:c>
      <x:c r="C164" s="2" t="str">
        <x:v>RE-001067-1</x:v>
      </x:c>
      <x:c r="D164" s="2" t="str">
        <x:v>PARQUE EOLICO DE BARBANZA II</x:v>
      </x:c>
      <x:c r="E164" s="4" t="n">
        <x:v>1.277</x:v>
      </x:c>
      <x:c r="F164" s="4" t="n">
        <x:f>J164*0.95</x:f>
        <x:v>1.18465</x:v>
      </x:c>
      <x:c r="G164" s="4" t="n">
        <x:v>9.24</x:v>
      </x:c>
      <x:c r="H164" s="4" t="n">
        <x:v>90.47</x:v>
      </x:c>
      <x:c r="I164" s="5" t="n">
        <x:f t="shared" si="2">F164*1000*H164</x:f>
        <x:v>107175.28550000001</x:v>
      </x:c>
      <x:c r="J164" t="n">
        <x:v>1.247</x:v>
      </x:c>
    </x:row>
    <x:row r="165">
      <x:c r="A165" s="3" t="n">
        <x:v>2023</x:v>
      </x:c>
      <x:c r="B165" s="2" t="str">
        <x:v>Agosto</x:v>
      </x:c>
      <x:c r="C165" s="2" t="str">
        <x:v>RE-001067-1</x:v>
      </x:c>
      <x:c r="D165" s="2" t="str">
        <x:v>PARQUE EOLICO DE BARBANZA II</x:v>
      </x:c>
      <x:c r="E165" s="4" t="n">
        <x:v>1.348</x:v>
      </x:c>
      <x:c r="F165" s="4" t="n">
        <x:f>J165*1.02</x:f>
        <x:v>1.3402800000000001</x:v>
      </x:c>
      <x:c r="G165" s="4" t="n">
        <x:v>9.24</x:v>
      </x:c>
      <x:c r="H165" s="4" t="n">
        <x:v>96.05</x:v>
      </x:c>
      <x:c r="I165" s="5" t="n">
        <x:f t="shared" si="2">F165*1000*H165</x:f>
        <x:v>128733.89400000001</x:v>
      </x:c>
      <x:c r="J165" t="n">
        <x:v>1.314</x:v>
      </x:c>
    </x:row>
    <x:row r="166">
      <x:c r="A166" s="3" t="n">
        <x:v>2023</x:v>
      </x:c>
      <x:c r="B166" s="2" t="str">
        <x:v>Septiembre</x:v>
      </x:c>
      <x:c r="C166" s="2" t="str">
        <x:v>RE-001067-1</x:v>
      </x:c>
      <x:c r="D166" s="2" t="str">
        <x:v>PARQUE EOLICO DE BARBANZA II</x:v>
      </x:c>
      <x:c r="E166" s="4" t="n">
        <x:v>1.563</x:v>
      </x:c>
      <x:c r="F166" s="4" t="n">
        <x:f>J166*0.98</x:f>
        <x:v>1.48764</x:v>
      </x:c>
      <x:c r="G166" s="4" t="n">
        <x:v>9.24</x:v>
      </x:c>
      <x:c r="H166" s="4" t="n">
        <x:v>103.34</x:v>
      </x:c>
      <x:c r="I166" s="5" t="n">
        <x:f t="shared" si="2">F166*1000*H166</x:f>
        <x:v>153732.7176</x:v>
      </x:c>
      <x:c r="J166" t="n">
        <x:v>1.518</x:v>
      </x:c>
    </x:row>
    <x:row r="167">
      <x:c r="A167" s="3" t="n">
        <x:v>2023</x:v>
      </x:c>
      <x:c r="B167" s="2" t="str">
        <x:v>Octubre</x:v>
      </x:c>
      <x:c r="C167" s="2" t="str">
        <x:v>RE-001067-1</x:v>
      </x:c>
      <x:c r="D167" s="2" t="str">
        <x:v>PARQUE EOLICO DE BARBANZA II</x:v>
      </x:c>
      <x:c r="E167" s="4" t="n">
        <x:v>2.22</x:v>
      </x:c>
      <x:c r="F167" s="4" t="n">
        <x:f>J167*0.94</x:f>
        <x:v>2.03792</x:v>
      </x:c>
      <x:c r="G167" s="4" t="n">
        <x:v>9.24</x:v>
      </x:c>
      <x:c r="H167" s="4" t="n">
        <x:v>90.14</x:v>
      </x:c>
      <x:c r="I167" s="5" t="n">
        <x:f t="shared" si="2">F167*1000*H167</x:f>
        <x:v>183698.10880000002</x:v>
      </x:c>
      <x:c r="J167" t="n">
        <x:v>2.168</x:v>
      </x:c>
    </x:row>
    <x:row r="168">
      <x:c r="A168" s="3" t="n">
        <x:v>2023</x:v>
      </x:c>
      <x:c r="B168" s="2" t="str">
        <x:v>Noviembre</x:v>
      </x:c>
      <x:c r="C168" s="2" t="str">
        <x:v>RE-001067-1</x:v>
      </x:c>
      <x:c r="D168" s="2" t="str">
        <x:v>PARQUE EOLICO DE BARBANZA II</x:v>
      </x:c>
      <x:c r="E168" s="4" t="n">
        <x:v>2.254</x:v>
      </x:c>
      <x:c r="F168" s="4" t="n">
        <x:f>J168*1.01</x:f>
        <x:v>2.20483</x:v>
      </x:c>
      <x:c r="G168" s="4" t="n">
        <x:v>9.24</x:v>
      </x:c>
      <x:c r="H168" s="4" t="n">
        <x:v>63.45</x:v>
      </x:c>
      <x:c r="I168" s="5" t="n">
        <x:f t="shared" si="2">F168*1000*H168</x:f>
        <x:v>139896.4635</x:v>
      </x:c>
      <x:c r="J168" t="n">
        <x:v>2.183</x:v>
      </x:c>
    </x:row>
    <x:row r="169">
      <x:c r="A169" s="3" t="n">
        <x:v>2023</x:v>
      </x:c>
      <x:c r="B169" s="2" t="str">
        <x:v>Diciembre</x:v>
      </x:c>
      <x:c r="C169" s="2" t="str">
        <x:v>RE-001067-1</x:v>
      </x:c>
      <x:c r="D169" s="2" t="str">
        <x:v>PARQUE EOLICO DE BARBANZA II</x:v>
      </x:c>
      <x:c r="E169" s="4" t="n">
        <x:v>2.68</x:v>
      </x:c>
      <x:c r="F169" s="4" t="n">
        <x:f>J169*0.97</x:f>
        <x:v>2.53364</x:v>
      </x:c>
      <x:c r="G169" s="4" t="n">
        <x:v>9.24</x:v>
      </x:c>
      <x:c r="H169" s="4" t="n">
        <x:v>72.17</x:v>
      </x:c>
      <x:c r="I169" s="5" t="n">
        <x:f t="shared" si="2">F169*1000*H169</x:f>
        <x:v>182852.79880000002</x:v>
      </x:c>
      <x:c r="J169" t="n">
        <x:v>2.612</x:v>
      </x:c>
    </x:row>
    <x:row r="170">
      <x:c r="A170" s="3" t="n">
        <x:v>2023</x:v>
      </x:c>
      <x:c r="B170" s="2" t="str">
        <x:v>Enero</x:v>
      </x:c>
      <x:c r="C170" s="2" t="str">
        <x:v>RE-001068-1</x:v>
      </x:c>
      <x:c r="D170" s="2" t="str">
        <x:v>P.E. DE BARBANZA</x:v>
      </x:c>
      <x:c r="E170" s="4" t="n">
        <x:v>4.905</x:v>
      </x:c>
      <x:c r="F170" s="4" t="n">
        <x:f>J170*1.04</x:f>
        <x:v>5.00968</x:v>
      </x:c>
      <x:c r="G170" s="4" t="n">
        <x:v>19.8</x:v>
      </x:c>
      <x:c r="H170" s="4" t="n">
        <x:v>69.55</x:v>
      </x:c>
      <x:c r="I170" s="5" t="n">
        <x:f t="shared" si="2">F170*1000*H170</x:f>
        <x:v>348423.244</x:v>
      </x:c>
      <x:c r="J170" t="n">
        <x:v>4.817</x:v>
      </x:c>
    </x:row>
    <x:row r="171">
      <x:c r="A171" s="3" t="n">
        <x:v>2023</x:v>
      </x:c>
      <x:c r="B171" s="2" t="str">
        <x:v>Febrero</x:v>
      </x:c>
      <x:c r="C171" s="2" t="str">
        <x:v>RE-001068-1</x:v>
      </x:c>
      <x:c r="D171" s="2" t="str">
        <x:v>P.E. DE BARBANZA</x:v>
      </x:c>
      <x:c r="E171" s="4" t="n">
        <x:v>4.485</x:v>
      </x:c>
      <x:c r="F171" s="4" t="n">
        <x:f>J171*1</x:f>
        <x:v>4.409</x:v>
      </x:c>
      <x:c r="G171" s="4" t="n">
        <x:v>19.8</x:v>
      </x:c>
      <x:c r="H171" s="4" t="n">
        <x:v>133.47</x:v>
      </x:c>
      <x:c r="I171" s="5" t="n">
        <x:f t="shared" si="2">F171*1000*H171</x:f>
        <x:v>588469.23</x:v>
      </x:c>
      <x:c r="J171" t="n">
        <x:v>4.409</x:v>
      </x:c>
    </x:row>
    <x:row r="172">
      <x:c r="A172" s="3" t="n">
        <x:v>2023</x:v>
      </x:c>
      <x:c r="B172" s="2" t="str">
        <x:v>Marzo</x:v>
      </x:c>
      <x:c r="C172" s="2" t="str">
        <x:v>RE-001068-1</x:v>
      </x:c>
      <x:c r="D172" s="2" t="str">
        <x:v>P.E. DE BARBANZA</x:v>
      </x:c>
      <x:c r="E172" s="4" t="n">
        <x:v>5.467</x:v>
      </x:c>
      <x:c r="F172" s="4" t="n">
        <x:f>J172*0.96</x:f>
        <x:v>5.11104</x:v>
      </x:c>
      <x:c r="G172" s="4" t="n">
        <x:v>19.8</x:v>
      </x:c>
      <x:c r="H172" s="4" t="n">
        <x:v>89.61</x:v>
      </x:c>
      <x:c r="I172" s="5" t="n">
        <x:f t="shared" si="2">F172*1000*H172</x:f>
        <x:v>458000.2944</x:v>
      </x:c>
      <x:c r="J172" t="n">
        <x:v>5.324</x:v>
      </x:c>
    </x:row>
    <x:row r="173">
      <x:c r="A173" s="3" t="n">
        <x:v>2023</x:v>
      </x:c>
      <x:c r="B173" s="2" t="str">
        <x:v>Abril</x:v>
      </x:c>
      <x:c r="C173" s="2" t="str">
        <x:v>RE-001068-1</x:v>
      </x:c>
      <x:c r="D173" s="2" t="str">
        <x:v>P.E. DE BARBANZA</x:v>
      </x:c>
      <x:c r="E173" s="4" t="n">
        <x:v>3.836</x:v>
      </x:c>
      <x:c r="F173" s="4" t="n">
        <x:f>J173*1.03</x:f>
        <x:v>3.8254200000000003</x:v>
      </x:c>
      <x:c r="G173" s="4" t="n">
        <x:v>19.8</x:v>
      </x:c>
      <x:c r="H173" s="4" t="n">
        <x:v>73.73</x:v>
      </x:c>
      <x:c r="I173" s="5" t="n">
        <x:f t="shared" si="2">F173*1000*H173</x:f>
        <x:v>282048.21660000004</x:v>
      </x:c>
      <x:c r="J173" t="n">
        <x:v>3.714</x:v>
      </x:c>
    </x:row>
    <x:row r="174">
      <x:c r="A174" s="3" t="n">
        <x:v>2023</x:v>
      </x:c>
      <x:c r="B174" s="2" t="str">
        <x:v>Mayo</x:v>
      </x:c>
      <x:c r="C174" s="2" t="str">
        <x:v>RE-001068-1</x:v>
      </x:c>
      <x:c r="D174" s="2" t="str">
        <x:v>P.E. DE BARBANZA</x:v>
      </x:c>
      <x:c r="E174" s="4" t="n">
        <x:v>3.105</x:v>
      </x:c>
      <x:c r="F174" s="4" t="n">
        <x:f>J174*0.99</x:f>
        <x:v>3.00861</x:v>
      </x:c>
      <x:c r="G174" s="4" t="n">
        <x:v>19.8</x:v>
      </x:c>
      <x:c r="H174" s="4" t="n">
        <x:v>74.21</x:v>
      </x:c>
      <x:c r="I174" s="5" t="n">
        <x:f t="shared" si="2">F174*1000*H174</x:f>
        <x:v>223268.94809999998</x:v>
      </x:c>
      <x:c r="J174" t="n">
        <x:v>3.039</x:v>
      </x:c>
    </x:row>
    <x:row r="175">
      <x:c r="A175" s="3" t="n">
        <x:v>2023</x:v>
      </x:c>
      <x:c r="B175" s="2" t="str">
        <x:v>Junio</x:v>
      </x:c>
      <x:c r="C175" s="2" t="str">
        <x:v>RE-001068-1</x:v>
      </x:c>
      <x:c r="D175" s="2" t="str">
        <x:v>P.E. DE BARBANZA</x:v>
      </x:c>
      <x:c r="E175" s="4" t="n">
        <x:v>3.401</x:v>
      </x:c>
      <x:c r="F175" s="4" t="n">
        <x:f>J175*0.95</x:f>
        <x:v>3.1559</x:v>
      </x:c>
      <x:c r="G175" s="4" t="n">
        <x:v>19.8</x:v>
      </x:c>
      <x:c r="H175" s="4" t="n">
        <x:v>93.02</x:v>
      </x:c>
      <x:c r="I175" s="5" t="n">
        <x:f t="shared" si="2">F175*1000*H175</x:f>
        <x:v>293561.81799999997</x:v>
      </x:c>
      <x:c r="J175" t="n">
        <x:v>3.322</x:v>
      </x:c>
    </x:row>
    <x:row r="176">
      <x:c r="A176" s="3" t="n">
        <x:v>2023</x:v>
      </x:c>
      <x:c r="B176" s="2" t="str">
        <x:v>Julio</x:v>
      </x:c>
      <x:c r="C176" s="2" t="str">
        <x:v>RE-001068-1</x:v>
      </x:c>
      <x:c r="D176" s="2" t="str">
        <x:v>P.E. DE BARBANZA</x:v>
      </x:c>
      <x:c r="E176" s="4" t="n">
        <x:v>2.576</x:v>
      </x:c>
      <x:c r="F176" s="4" t="n">
        <x:f>J176*1.02</x:f>
        <x:v>2.58774</x:v>
      </x:c>
      <x:c r="G176" s="4" t="n">
        <x:v>19.8</x:v>
      </x:c>
      <x:c r="H176" s="4" t="n">
        <x:v>90.47</x:v>
      </x:c>
      <x:c r="I176" s="5" t="n">
        <x:f t="shared" si="2">F176*1000*H176</x:f>
        <x:v>234112.8378</x:v>
      </x:c>
      <x:c r="J176" t="n">
        <x:v>2.537</x:v>
      </x:c>
    </x:row>
    <x:row r="177">
      <x:c r="A177" s="3" t="n">
        <x:v>2023</x:v>
      </x:c>
      <x:c r="B177" s="2" t="str">
        <x:v>Agosto</x:v>
      </x:c>
      <x:c r="C177" s="2" t="str">
        <x:v>RE-001068-1</x:v>
      </x:c>
      <x:c r="D177" s="2" t="str">
        <x:v>P.E. DE BARBANZA</x:v>
      </x:c>
      <x:c r="E177" s="4" t="n">
        <x:v>3.293</x:v>
      </x:c>
      <x:c r="F177" s="4" t="n">
        <x:f>J177*0.98</x:f>
        <x:v>3.16344</x:v>
      </x:c>
      <x:c r="G177" s="4" t="n">
        <x:v>19.8</x:v>
      </x:c>
      <x:c r="H177" s="4" t="n">
        <x:v>96.05</x:v>
      </x:c>
      <x:c r="I177" s="5" t="n">
        <x:f t="shared" si="2">F177*1000*H177</x:f>
        <x:v>303848.412</x:v>
      </x:c>
      <x:c r="J177" t="n">
        <x:v>3.228</x:v>
      </x:c>
    </x:row>
    <x:row r="178">
      <x:c r="A178" s="3" t="n">
        <x:v>2023</x:v>
      </x:c>
      <x:c r="B178" s="2" t="str">
        <x:v>Septiembre</x:v>
      </x:c>
      <x:c r="C178" s="2" t="str">
        <x:v>RE-001068-1</x:v>
      </x:c>
      <x:c r="D178" s="2" t="str">
        <x:v>P.E. DE BARBANZA</x:v>
      </x:c>
      <x:c r="E178" s="4" t="n">
        <x:v>3.24</x:v>
      </x:c>
      <x:c r="F178" s="4" t="n">
        <x:f>J178*0.94</x:f>
        <x:v>2.961</x:v>
      </x:c>
      <x:c r="G178" s="4" t="n">
        <x:v>19.8</x:v>
      </x:c>
      <x:c r="H178" s="4" t="n">
        <x:v>103.34</x:v>
      </x:c>
      <x:c r="I178" s="5" t="n">
        <x:f t="shared" si="2">F178*1000*H178</x:f>
        <x:v>305989.74</x:v>
      </x:c>
      <x:c r="J178" t="n">
        <x:v>3.15</x:v>
      </x:c>
    </x:row>
    <x:row r="179">
      <x:c r="A179" s="3" t="n">
        <x:v>2023</x:v>
      </x:c>
      <x:c r="B179" s="2" t="str">
        <x:v>Octubre</x:v>
      </x:c>
      <x:c r="C179" s="2" t="str">
        <x:v>RE-001068-1</x:v>
      </x:c>
      <x:c r="D179" s="2" t="str">
        <x:v>P.E. DE BARBANZA</x:v>
      </x:c>
      <x:c r="E179" s="4" t="n">
        <x:v>4.471</x:v>
      </x:c>
      <x:c r="F179" s="4" t="n">
        <x:f>J179*1.01</x:f>
        <x:v>4.427840000000001</x:v>
      </x:c>
      <x:c r="G179" s="4" t="n">
        <x:v>19.8</x:v>
      </x:c>
      <x:c r="H179" s="4" t="n">
        <x:v>90.14</x:v>
      </x:c>
      <x:c r="I179" s="5" t="n">
        <x:f t="shared" si="2">F179*1000*H179</x:f>
        <x:v>399125.4976000001</x:v>
      </x:c>
      <x:c r="J179" t="n">
        <x:v>4.384</x:v>
      </x:c>
    </x:row>
    <x:row r="180">
      <x:c r="A180" s="3" t="n">
        <x:v>2023</x:v>
      </x:c>
      <x:c r="B180" s="2" t="str">
        <x:v>Noviembre</x:v>
      </x:c>
      <x:c r="C180" s="2" t="str">
        <x:v>RE-001068-1</x:v>
      </x:c>
      <x:c r="D180" s="2" t="str">
        <x:v>P.E. DE BARBANZA</x:v>
      </x:c>
      <x:c r="E180" s="4" t="n">
        <x:v>4.45</x:v>
      </x:c>
      <x:c r="F180" s="4" t="n">
        <x:f>J180*0.97</x:f>
        <x:v>4.24181</x:v>
      </x:c>
      <x:c r="G180" s="4" t="n">
        <x:v>19.8</x:v>
      </x:c>
      <x:c r="H180" s="4" t="n">
        <x:v>63.45</x:v>
      </x:c>
      <x:c r="I180" s="5" t="n">
        <x:f t="shared" si="2">F180*1000*H180</x:f>
        <x:v>269142.84450000006</x:v>
      </x:c>
      <x:c r="J180" t="n">
        <x:v>4.373</x:v>
      </x:c>
    </x:row>
    <x:row r="181">
      <x:c r="A181" s="3" t="n">
        <x:v>2023</x:v>
      </x:c>
      <x:c r="B181" s="2" t="str">
        <x:v>Diciembre</x:v>
      </x:c>
      <x:c r="C181" s="2" t="str">
        <x:v>RE-001068-1</x:v>
      </x:c>
      <x:c r="D181" s="2" t="str">
        <x:v>P.E. DE BARBANZA</x:v>
      </x:c>
      <x:c r="E181" s="4" t="n">
        <x:v>6.289</x:v>
      </x:c>
      <x:c r="F181" s="4" t="n">
        <x:f>J181*1.04</x:f>
        <x:v>6.44072</x:v>
      </x:c>
      <x:c r="G181" s="4" t="n">
        <x:v>19.8</x:v>
      </x:c>
      <x:c r="H181" s="4" t="n">
        <x:v>72.17</x:v>
      </x:c>
      <x:c r="I181" s="5" t="n">
        <x:f t="shared" si="2">F181*1000*H181</x:f>
        <x:v>464826.76239999995</x:v>
      </x:c>
      <x:c r="J181" t="n">
        <x:v>6.193</x:v>
      </x:c>
    </x:row>
    <x:row r="182">
      <x:c r="A182" s="3" t="n">
        <x:v>2023</x:v>
      </x:c>
      <x:c r="B182" s="2" t="str">
        <x:v>Enero</x:v>
      </x:c>
      <x:c r="C182" s="2" t="str">
        <x:v>RE-001069-1</x:v>
      </x:c>
      <x:c r="D182" s="2" t="str">
        <x:v>PARQUE EOLICO A CAPELADA II</x:v>
      </x:c>
      <x:c r="E182" s="4" t="n">
        <x:v>3.991</x:v>
      </x:c>
      <x:c r="F182" s="4" t="n">
        <x:f>J182*1</x:f>
        <x:v>3.912</x:v>
      </x:c>
      <x:c r="G182" s="4" t="n">
        <x:v>14.85</x:v>
      </x:c>
      <x:c r="H182" s="4" t="n">
        <x:v>69.55</x:v>
      </x:c>
      <x:c r="I182" s="5" t="n">
        <x:f t="shared" si="2">F182*1000*H182</x:f>
        <x:v>272079.6</x:v>
      </x:c>
      <x:c r="J182" t="n">
        <x:v>3.912</x:v>
      </x:c>
    </x:row>
    <x:row r="183">
      <x:c r="A183" s="3" t="n">
        <x:v>2023</x:v>
      </x:c>
      <x:c r="B183" s="2" t="str">
        <x:v>Febrero</x:v>
      </x:c>
      <x:c r="C183" s="2" t="str">
        <x:v>RE-001069-1</x:v>
      </x:c>
      <x:c r="D183" s="2" t="str">
        <x:v>PARQUE EOLICO A CAPELADA II</x:v>
      </x:c>
      <x:c r="E183" s="4" t="n">
        <x:v>3.206</x:v>
      </x:c>
      <x:c r="F183" s="4" t="n">
        <x:f>J183*0.96</x:f>
        <x:v>3.02112</x:v>
      </x:c>
      <x:c r="G183" s="4" t="n">
        <x:v>14.85</x:v>
      </x:c>
      <x:c r="H183" s="4" t="n">
        <x:v>133.47</x:v>
      </x:c>
      <x:c r="I183" s="5" t="n">
        <x:f t="shared" si="2">F183*1000*H183</x:f>
        <x:v>403228.88639999996</x:v>
      </x:c>
      <x:c r="J183" t="n">
        <x:v>3.147</x:v>
      </x:c>
    </x:row>
    <x:row r="184">
      <x:c r="A184" s="3" t="n">
        <x:v>2023</x:v>
      </x:c>
      <x:c r="B184" s="2" t="str">
        <x:v>Marzo</x:v>
      </x:c>
      <x:c r="C184" s="2" t="str">
        <x:v>RE-001069-1</x:v>
      </x:c>
      <x:c r="D184" s="2" t="str">
        <x:v>PARQUE EOLICO A CAPELADA II</x:v>
      </x:c>
      <x:c r="E184" s="4" t="n">
        <x:v>4.099</x:v>
      </x:c>
      <x:c r="F184" s="4" t="n">
        <x:f>J184*1.03</x:f>
        <x:v>4.10043</x:v>
      </x:c>
      <x:c r="G184" s="4" t="n">
        <x:v>14.85</x:v>
      </x:c>
      <x:c r="H184" s="4" t="n">
        <x:v>89.61</x:v>
      </x:c>
      <x:c r="I184" s="5" t="n">
        <x:f t="shared" si="2">F184*1000*H184</x:f>
        <x:v>367439.5323</x:v>
      </x:c>
      <x:c r="J184" t="n">
        <x:v>3.981</x:v>
      </x:c>
    </x:row>
    <x:row r="185">
      <x:c r="A185" s="3" t="n">
        <x:v>2023</x:v>
      </x:c>
      <x:c r="B185" s="2" t="str">
        <x:v>Abril</x:v>
      </x:c>
      <x:c r="C185" s="2" t="str">
        <x:v>RE-001069-1</x:v>
      </x:c>
      <x:c r="D185" s="2" t="str">
        <x:v>PARQUE EOLICO A CAPELADA II</x:v>
      </x:c>
      <x:c r="E185" s="4" t="n">
        <x:v>2.75</x:v>
      </x:c>
      <x:c r="F185" s="4" t="n">
        <x:f>J185*0.99</x:f>
        <x:v>2.6631</x:v>
      </x:c>
      <x:c r="G185" s="4" t="n">
        <x:v>14.85</x:v>
      </x:c>
      <x:c r="H185" s="4" t="n">
        <x:v>73.73</x:v>
      </x:c>
      <x:c r="I185" s="5" t="n">
        <x:f t="shared" si="2">F185*1000*H185</x:f>
        <x:v>196350.363</x:v>
      </x:c>
      <x:c r="J185" t="n">
        <x:v>2.69</x:v>
      </x:c>
    </x:row>
    <x:row r="186">
      <x:c r="A186" s="3" t="n">
        <x:v>2023</x:v>
      </x:c>
      <x:c r="B186" s="2" t="str">
        <x:v>Mayo</x:v>
      </x:c>
      <x:c r="C186" s="2" t="str">
        <x:v>RE-001069-1</x:v>
      </x:c>
      <x:c r="D186" s="2" t="str">
        <x:v>PARQUE EOLICO A CAPELADA II</x:v>
      </x:c>
      <x:c r="E186" s="4" t="n">
        <x:v>3.196</x:v>
      </x:c>
      <x:c r="F186" s="4" t="n">
        <x:f>J186*0.95</x:f>
        <x:v>2.964</x:v>
      </x:c>
      <x:c r="G186" s="4" t="n">
        <x:v>14.85</x:v>
      </x:c>
      <x:c r="H186" s="4" t="n">
        <x:v>74.21</x:v>
      </x:c>
      <x:c r="I186" s="5" t="n">
        <x:f t="shared" si="2">F186*1000*H186</x:f>
        <x:v>219958.43999999997</x:v>
      </x:c>
      <x:c r="J186" t="n">
        <x:v>3.12</x:v>
      </x:c>
    </x:row>
    <x:row r="187">
      <x:c r="A187" s="3" t="n">
        <x:v>2023</x:v>
      </x:c>
      <x:c r="B187" s="2" t="str">
        <x:v>Junio</x:v>
      </x:c>
      <x:c r="C187" s="2" t="str">
        <x:v>RE-001069-1</x:v>
      </x:c>
      <x:c r="D187" s="2" t="str">
        <x:v>PARQUE EOLICO A CAPELADA II</x:v>
      </x:c>
      <x:c r="E187" s="4" t="n">
        <x:v>2.417</x:v>
      </x:c>
      <x:c r="F187" s="4" t="n">
        <x:f>J187*1.02</x:f>
        <x:v>2.4010800000000003</x:v>
      </x:c>
      <x:c r="G187" s="4" t="n">
        <x:v>14.85</x:v>
      </x:c>
      <x:c r="H187" s="4" t="n">
        <x:v>93.02</x:v>
      </x:c>
      <x:c r="I187" s="5" t="n">
        <x:f t="shared" si="2">F187*1000*H187</x:f>
        <x:v>223348.46160000004</x:v>
      </x:c>
      <x:c r="J187" t="n">
        <x:v>2.354</x:v>
      </x:c>
    </x:row>
    <x:row r="188">
      <x:c r="A188" s="3" t="n">
        <x:v>2023</x:v>
      </x:c>
      <x:c r="B188" s="2" t="str">
        <x:v>Julio</x:v>
      </x:c>
      <x:c r="C188" s="2" t="str">
        <x:v>RE-001069-1</x:v>
      </x:c>
      <x:c r="D188" s="2" t="str">
        <x:v>PARQUE EOLICO A CAPELADA II</x:v>
      </x:c>
      <x:c r="E188" s="4" t="n">
        <x:v>2.41</x:v>
      </x:c>
      <x:c r="F188" s="4" t="n">
        <x:f>J188*0.98</x:f>
        <x:v>2.32652</x:v>
      </x:c>
      <x:c r="G188" s="4" t="n">
        <x:v>14.85</x:v>
      </x:c>
      <x:c r="H188" s="4" t="n">
        <x:v>90.47</x:v>
      </x:c>
      <x:c r="I188" s="5" t="n">
        <x:f t="shared" si="2">F188*1000*H188</x:f>
        <x:v>210480.2644</x:v>
      </x:c>
      <x:c r="J188" t="n">
        <x:v>2.374</x:v>
      </x:c>
    </x:row>
    <x:row r="189">
      <x:c r="A189" s="3" t="n">
        <x:v>2023</x:v>
      </x:c>
      <x:c r="B189" s="2" t="str">
        <x:v>Agosto</x:v>
      </x:c>
      <x:c r="C189" s="2" t="str">
        <x:v>RE-001069-1</x:v>
      </x:c>
      <x:c r="D189" s="2" t="str">
        <x:v>PARQUE EOLICO A CAPELADA II</x:v>
      </x:c>
      <x:c r="E189" s="4" t="n">
        <x:v>2.086</x:v>
      </x:c>
      <x:c r="F189" s="4" t="n">
        <x:f>J189*0.94</x:f>
        <x:v>1.9119599999999997</x:v>
      </x:c>
      <x:c r="G189" s="4" t="n">
        <x:v>14.85</x:v>
      </x:c>
      <x:c r="H189" s="4" t="n">
        <x:v>96.05</x:v>
      </x:c>
      <x:c r="I189" s="5" t="n">
        <x:f t="shared" si="2">F189*1000*H189</x:f>
        <x:v>183643.75799999994</x:v>
      </x:c>
      <x:c r="J189" t="n">
        <x:v>2.034</x:v>
      </x:c>
    </x:row>
    <x:row r="190">
      <x:c r="A190" s="3" t="n">
        <x:v>2023</x:v>
      </x:c>
      <x:c r="B190" s="2" t="str">
        <x:v>Septiembre</x:v>
      </x:c>
      <x:c r="C190" s="2" t="str">
        <x:v>RE-001069-1</x:v>
      </x:c>
      <x:c r="D190" s="2" t="str">
        <x:v>PARQUE EOLICO A CAPELADA II</x:v>
      </x:c>
      <x:c r="E190" s="4" t="n">
        <x:v>2.376</x:v>
      </x:c>
      <x:c r="F190" s="4" t="n">
        <x:f>J190*1.01</x:f>
        <x:v>2.3442100000000003</x:v>
      </x:c>
      <x:c r="G190" s="4" t="n">
        <x:v>14.85</x:v>
      </x:c>
      <x:c r="H190" s="4" t="n">
        <x:v>103.34</x:v>
      </x:c>
      <x:c r="I190" s="5" t="n">
        <x:f t="shared" si="2">F190*1000*H190</x:f>
        <x:v>242250.66140000007</x:v>
      </x:c>
      <x:c r="J190" t="n">
        <x:v>2.321</x:v>
      </x:c>
    </x:row>
    <x:row r="191">
      <x:c r="A191" s="3" t="n">
        <x:v>2023</x:v>
      </x:c>
      <x:c r="B191" s="2" t="str">
        <x:v>Octubre</x:v>
      </x:c>
      <x:c r="C191" s="2" t="str">
        <x:v>RE-001069-1</x:v>
      </x:c>
      <x:c r="D191" s="2" t="str">
        <x:v>PARQUE EOLICO A CAPELADA II</x:v>
      </x:c>
      <x:c r="E191" s="4" t="n">
        <x:v>3.863</x:v>
      </x:c>
      <x:c r="F191" s="4" t="n">
        <x:f>J191*0.97</x:f>
        <x:v>3.66854</x:v>
      </x:c>
      <x:c r="G191" s="4" t="n">
        <x:v>14.85</x:v>
      </x:c>
      <x:c r="H191" s="4" t="n">
        <x:v>90.14</x:v>
      </x:c>
      <x:c r="I191" s="5" t="n">
        <x:f t="shared" si="2">F191*1000*H191</x:f>
        <x:v>330682.1956</x:v>
      </x:c>
      <x:c r="J191" t="n">
        <x:v>3.782</x:v>
      </x:c>
    </x:row>
    <x:row r="192">
      <x:c r="A192" s="3" t="n">
        <x:v>2023</x:v>
      </x:c>
      <x:c r="B192" s="2" t="str">
        <x:v>Noviembre</x:v>
      </x:c>
      <x:c r="C192" s="2" t="str">
        <x:v>RE-001069-1</x:v>
      </x:c>
      <x:c r="D192" s="2" t="str">
        <x:v>PARQUE EOLICO A CAPELADA II</x:v>
      </x:c>
      <x:c r="E192" s="4" t="n">
        <x:v>4.093</x:v>
      </x:c>
      <x:c r="F192" s="4" t="n">
        <x:f>J192*1.04</x:f>
        <x:v>4.13088</x:v>
      </x:c>
      <x:c r="G192" s="4" t="n">
        <x:v>14.85</x:v>
      </x:c>
      <x:c r="H192" s="4" t="n">
        <x:v>63.45</x:v>
      </x:c>
      <x:c r="I192" s="5" t="n">
        <x:f t="shared" si="2">F192*1000*H192</x:f>
        <x:v>262104.336</x:v>
      </x:c>
      <x:c r="J192" t="n">
        <x:v>3.972</x:v>
      </x:c>
    </x:row>
    <x:row r="193">
      <x:c r="A193" s="3" t="n">
        <x:v>2023</x:v>
      </x:c>
      <x:c r="B193" s="2" t="str">
        <x:v>Diciembre</x:v>
      </x:c>
      <x:c r="C193" s="2" t="str">
        <x:v>RE-001069-1</x:v>
      </x:c>
      <x:c r="D193" s="2" t="str">
        <x:v>PARQUE EOLICO A CAPELADA II</x:v>
      </x:c>
      <x:c r="E193" s="4" t="n">
        <x:v>4.55</x:v>
      </x:c>
      <x:c r="F193" s="4" t="n">
        <x:f>J193*1</x:f>
        <x:v>4.466</x:v>
      </x:c>
      <x:c r="G193" s="4" t="n">
        <x:v>14.85</x:v>
      </x:c>
      <x:c r="H193" s="4" t="n">
        <x:v>72.17</x:v>
      </x:c>
      <x:c r="I193" s="5" t="n">
        <x:f t="shared" si="2">F193*1000*H193</x:f>
        <x:v>322311.22000000003</x:v>
      </x:c>
      <x:c r="J193" t="n">
        <x:v>4.466</x:v>
      </x:c>
    </x:row>
    <x:row r="194">
      <x:c r="A194" s="3" t="n">
        <x:v>2023</x:v>
      </x:c>
      <x:c r="B194" s="2" t="str">
        <x:v>Enero</x:v>
      </x:c>
      <x:c r="C194" s="2" t="str">
        <x:v>RE-001071-1</x:v>
      </x:c>
      <x:c r="D194" s="2" t="str">
        <x:v>PLANTA EOLICA DE ZAS</x:v>
      </x:c>
      <x:c r="E194" s="4" t="n">
        <x:v>6.263</x:v>
      </x:c>
      <x:c r="F194" s="4" t="n">
        <x:f>J194*0.96</x:f>
        <x:v>5.88096</x:v>
      </x:c>
      <x:c r="G194" s="4" t="n">
        <x:v>24</x:v>
      </x:c>
      <x:c r="H194" s="4" t="n">
        <x:v>69.55</x:v>
      </x:c>
      <x:c r="I194" s="5" t="n">
        <x:f t="shared" ref="I194:I257" si="3">F194*1000*H194</x:f>
        <x:v>409020.768</x:v>
      </x:c>
      <x:c r="J194" t="n">
        <x:v>6.126</x:v>
      </x:c>
    </x:row>
    <x:row r="195">
      <x:c r="A195" s="3" t="n">
        <x:v>2023</x:v>
      </x:c>
      <x:c r="B195" s="2" t="str">
        <x:v>Febrero</x:v>
      </x:c>
      <x:c r="C195" s="2" t="str">
        <x:v>RE-001071-1</x:v>
      </x:c>
      <x:c r="D195" s="2" t="str">
        <x:v>PLANTA EOLICA DE ZAS</x:v>
      </x:c>
      <x:c r="E195" s="4" t="n">
        <x:v>5.473</x:v>
      </x:c>
      <x:c r="F195" s="4" t="n">
        <x:f>J195*1.03</x:f>
        <x:v>5.474450000000001</x:v>
      </x:c>
      <x:c r="G195" s="4" t="n">
        <x:v>24</x:v>
      </x:c>
      <x:c r="H195" s="4" t="n">
        <x:v>133.47</x:v>
      </x:c>
      <x:c r="I195" s="5" t="n">
        <x:f t="shared" si="3">F195*1000*H195</x:f>
        <x:v>730674.8415000001</x:v>
      </x:c>
      <x:c r="J195" t="n">
        <x:v>5.315</x:v>
      </x:c>
    </x:row>
    <x:row r="196">
      <x:c r="A196" s="3" t="n">
        <x:v>2023</x:v>
      </x:c>
      <x:c r="B196" s="2" t="str">
        <x:v>Marzo</x:v>
      </x:c>
      <x:c r="C196" s="2" t="str">
        <x:v>RE-001071-1</x:v>
      </x:c>
      <x:c r="D196" s="2" t="str">
        <x:v>PLANTA EOLICA DE ZAS</x:v>
      </x:c>
      <x:c r="E196" s="4" t="n">
        <x:v>6.461</x:v>
      </x:c>
      <x:c r="F196" s="4" t="n">
        <x:f>J196*0.99</x:f>
        <x:v>6.22413</x:v>
      </x:c>
      <x:c r="G196" s="4" t="n">
        <x:v>24</x:v>
      </x:c>
      <x:c r="H196" s="4" t="n">
        <x:v>89.61</x:v>
      </x:c>
      <x:c r="I196" s="5" t="n">
        <x:f t="shared" si="3">F196*1000*H196</x:f>
        <x:v>557744.2893000001</x:v>
      </x:c>
      <x:c r="J196" t="n">
        <x:v>6.287</x:v>
      </x:c>
    </x:row>
    <x:row r="197">
      <x:c r="A197" s="3" t="n">
        <x:v>2023</x:v>
      </x:c>
      <x:c r="B197" s="2" t="str">
        <x:v>Abril</x:v>
      </x:c>
      <x:c r="C197" s="2" t="str">
        <x:v>RE-001071-1</x:v>
      </x:c>
      <x:c r="D197" s="2" t="str">
        <x:v>PLANTA EOLICA DE ZAS</x:v>
      </x:c>
      <x:c r="E197" s="4" t="n">
        <x:v>4.563</x:v>
      </x:c>
      <x:c r="F197" s="4" t="n">
        <x:f>J197*0.95</x:f>
        <x:v>4.261699999999999</x:v>
      </x:c>
      <x:c r="G197" s="4" t="n">
        <x:v>24</x:v>
      </x:c>
      <x:c r="H197" s="4" t="n">
        <x:v>73.73</x:v>
      </x:c>
      <x:c r="I197" s="5" t="n">
        <x:f t="shared" si="3">F197*1000*H197</x:f>
        <x:v>314215.141</x:v>
      </x:c>
      <x:c r="J197" t="n">
        <x:v>4.486</x:v>
      </x:c>
    </x:row>
    <x:row r="198">
      <x:c r="A198" s="3" t="n">
        <x:v>2023</x:v>
      </x:c>
      <x:c r="B198" s="2" t="str">
        <x:v>Mayo</x:v>
      </x:c>
      <x:c r="C198" s="2" t="str">
        <x:v>RE-001071-1</x:v>
      </x:c>
      <x:c r="D198" s="2" t="str">
        <x:v>PLANTA EOLICA DE ZAS</x:v>
      </x:c>
      <x:c r="E198" s="4" t="n">
        <x:v>4.745</x:v>
      </x:c>
      <x:c r="F198" s="4" t="n">
        <x:f>J198*1.02</x:f>
        <x:v>4.6848600000000005</x:v>
      </x:c>
      <x:c r="G198" s="4" t="n">
        <x:v>24</x:v>
      </x:c>
      <x:c r="H198" s="4" t="n">
        <x:v>74.21</x:v>
      </x:c>
      <x:c r="I198" s="5" t="n">
        <x:f t="shared" si="3">F198*1000*H198</x:f>
        <x:v>347663.4606</x:v>
      </x:c>
      <x:c r="J198" t="n">
        <x:v>4.593</x:v>
      </x:c>
    </x:row>
    <x:row r="199">
      <x:c r="A199" s="3" t="n">
        <x:v>2023</x:v>
      </x:c>
      <x:c r="B199" s="2" t="str">
        <x:v>Junio</x:v>
      </x:c>
      <x:c r="C199" s="2" t="str">
        <x:v>RE-001071-1</x:v>
      </x:c>
      <x:c r="D199" s="2" t="str">
        <x:v>PLANTA EOLICA DE ZAS</x:v>
      </x:c>
      <x:c r="E199" s="4" t="n">
        <x:v>3.588</x:v>
      </x:c>
      <x:c r="F199" s="4" t="n">
        <x:f>J199*0.98</x:f>
        <x:v>3.40452</x:v>
      </x:c>
      <x:c r="G199" s="4" t="n">
        <x:v>24</x:v>
      </x:c>
      <x:c r="H199" s="4" t="n">
        <x:v>93.02</x:v>
      </x:c>
      <x:c r="I199" s="5" t="n">
        <x:f t="shared" si="3">F199*1000*H199</x:f>
        <x:v>316688.45040000003</x:v>
      </x:c>
      <x:c r="J199" t="n">
        <x:v>3.474</x:v>
      </x:c>
    </x:row>
    <x:row r="200">
      <x:c r="A200" s="3" t="n">
        <x:v>2023</x:v>
      </x:c>
      <x:c r="B200" s="2" t="str">
        <x:v>Julio</x:v>
      </x:c>
      <x:c r="C200" s="2" t="str">
        <x:v>RE-001071-1</x:v>
      </x:c>
      <x:c r="D200" s="2" t="str">
        <x:v>PLANTA EOLICA DE ZAS</x:v>
      </x:c>
      <x:c r="E200" s="4" t="n">
        <x:v>3.619</x:v>
      </x:c>
      <x:c r="F200" s="4" t="n">
        <x:f>J200*0.94</x:f>
        <x:v>3.3097399999999997</x:v>
      </x:c>
      <x:c r="G200" s="4" t="n">
        <x:v>24</x:v>
      </x:c>
      <x:c r="H200" s="4" t="n">
        <x:v>90.47</x:v>
      </x:c>
      <x:c r="I200" s="5" t="n">
        <x:f t="shared" si="3">F200*1000*H200</x:f>
        <x:v>299432.1778</x:v>
      </x:c>
      <x:c r="J200" t="n">
        <x:v>3.521</x:v>
      </x:c>
    </x:row>
    <x:row r="201">
      <x:c r="A201" s="3" t="n">
        <x:v>2023</x:v>
      </x:c>
      <x:c r="B201" s="2" t="str">
        <x:v>Agosto</x:v>
      </x:c>
      <x:c r="C201" s="2" t="str">
        <x:v>RE-001071-1</x:v>
      </x:c>
      <x:c r="D201" s="2" t="str">
        <x:v>PLANTA EOLICA DE ZAS</x:v>
      </x:c>
      <x:c r="E201" s="4" t="n">
        <x:v>3.49</x:v>
      </x:c>
      <x:c r="F201" s="4" t="n">
        <x:f>J201*1.01</x:f>
        <x:v>3.46834</x:v>
      </x:c>
      <x:c r="G201" s="4" t="n">
        <x:v>24</x:v>
      </x:c>
      <x:c r="H201" s="4" t="n">
        <x:v>96.05</x:v>
      </x:c>
      <x:c r="I201" s="5" t="n">
        <x:f t="shared" si="3">F201*1000*H201</x:f>
        <x:v>333134.05700000003</x:v>
      </x:c>
      <x:c r="J201" t="n">
        <x:v>3.434</x:v>
      </x:c>
    </x:row>
    <x:row r="202">
      <x:c r="A202" s="3" t="n">
        <x:v>2023</x:v>
      </x:c>
      <x:c r="B202" s="2" t="str">
        <x:v>Septiembre</x:v>
      </x:c>
      <x:c r="C202" s="2" t="str">
        <x:v>RE-001071-1</x:v>
      </x:c>
      <x:c r="D202" s="2" t="str">
        <x:v>PLANTA EOLICA DE ZAS</x:v>
      </x:c>
      <x:c r="E202" s="4" t="n">
        <x:v>4.348</x:v>
      </x:c>
      <x:c r="F202" s="4" t="n">
        <x:f>J202*0.97</x:f>
        <x:v>4.13608</x:v>
      </x:c>
      <x:c r="G202" s="4" t="n">
        <x:v>24</x:v>
      </x:c>
      <x:c r="H202" s="4" t="n">
        <x:v>103.34</x:v>
      </x:c>
      <x:c r="I202" s="5" t="n">
        <x:f t="shared" si="3">F202*1000*H202</x:f>
        <x:v>427422.5072</x:v>
      </x:c>
      <x:c r="J202" t="n">
        <x:v>4.264</x:v>
      </x:c>
    </x:row>
    <x:row r="203">
      <x:c r="A203" s="3" t="n">
        <x:v>2023</x:v>
      </x:c>
      <x:c r="B203" s="2" t="str">
        <x:v>Octubre</x:v>
      </x:c>
      <x:c r="C203" s="2" t="str">
        <x:v>RE-001071-1</x:v>
      </x:c>
      <x:c r="D203" s="2" t="str">
        <x:v>PLANTA EOLICA DE ZAS</x:v>
      </x:c>
      <x:c r="E203" s="4" t="n">
        <x:v>5.472</x:v>
      </x:c>
      <x:c r="F203" s="4" t="n">
        <x:f>J203*1.04</x:f>
        <x:v>5.59728</x:v>
      </x:c>
      <x:c r="G203" s="4" t="n">
        <x:v>24</x:v>
      </x:c>
      <x:c r="H203" s="4" t="n">
        <x:v>90.14</x:v>
      </x:c>
      <x:c r="I203" s="5" t="n">
        <x:f t="shared" si="3">F203*1000*H203</x:f>
        <x:v>504538.81919999997</x:v>
      </x:c>
      <x:c r="J203" t="n">
        <x:v>5.382</x:v>
      </x:c>
    </x:row>
    <x:row r="204">
      <x:c r="A204" s="3" t="n">
        <x:v>2023</x:v>
      </x:c>
      <x:c r="B204" s="2" t="str">
        <x:v>Noviembre</x:v>
      </x:c>
      <x:c r="C204" s="2" t="str">
        <x:v>RE-001071-1</x:v>
      </x:c>
      <x:c r="D204" s="2" t="str">
        <x:v>PLANTA EOLICA DE ZAS</x:v>
      </x:c>
      <x:c r="E204" s="4" t="n">
        <x:v>7.113</x:v>
      </x:c>
      <x:c r="F204" s="4" t="n">
        <x:f>J204*1</x:f>
        <x:v>6.969</x:v>
      </x:c>
      <x:c r="G204" s="4" t="n">
        <x:v>24</x:v>
      </x:c>
      <x:c r="H204" s="4" t="n">
        <x:v>63.45</x:v>
      </x:c>
      <x:c r="I204" s="5" t="n">
        <x:f t="shared" si="3">F204*1000*H204</x:f>
        <x:v>442183.05000000005</x:v>
      </x:c>
      <x:c r="J204" t="n">
        <x:v>6.969</x:v>
      </x:c>
    </x:row>
    <x:row r="205">
      <x:c r="A205" s="3" t="n">
        <x:v>2023</x:v>
      </x:c>
      <x:c r="B205" s="2" t="str">
        <x:v>Diciembre</x:v>
      </x:c>
      <x:c r="C205" s="2" t="str">
        <x:v>RE-001071-1</x:v>
      </x:c>
      <x:c r="D205" s="2" t="str">
        <x:v>PLANTA EOLICA DE ZAS</x:v>
      </x:c>
      <x:c r="E205" s="4" t="n">
        <x:v>6.998</x:v>
      </x:c>
      <x:c r="F205" s="4" t="n">
        <x:f>J205*0.96</x:f>
        <x:v>6.60288</x:v>
      </x:c>
      <x:c r="G205" s="4" t="n">
        <x:v>24</x:v>
      </x:c>
      <x:c r="H205" s="4" t="n">
        <x:v>72.17</x:v>
      </x:c>
      <x:c r="I205" s="5" t="n">
        <x:f t="shared" si="3">F205*1000*H205</x:f>
        <x:v>476529.8496</x:v>
      </x:c>
      <x:c r="J205" t="n">
        <x:v>6.878</x:v>
      </x:c>
    </x:row>
    <x:row r="206">
      <x:c r="A206" s="3" t="n">
        <x:v>2023</x:v>
      </x:c>
      <x:c r="B206" s="2" t="str">
        <x:v>Enero</x:v>
      </x:c>
      <x:c r="C206" s="2" t="str">
        <x:v>RE-001120-1</x:v>
      </x:c>
      <x:c r="D206" s="2" t="str">
        <x:v>P. E. OS CORVOS Y COUCEPENIDO</x:v>
      </x:c>
      <x:c r="E206" s="4" t="n">
        <x:v>6.6424</x:v>
      </x:c>
      <x:c r="F206" s="4" t="n">
        <x:f>J206*1.03</x:f>
        <x:v>6.736349818181818</x:v>
      </x:c>
      <x:c r="G206" s="4" t="n">
        <x:v>22.8</x:v>
      </x:c>
      <x:c r="H206" s="4" t="n">
        <x:v>69.55</x:v>
      </x:c>
      <x:c r="I206" s="5" t="n">
        <x:f t="shared" si="3">F206*1000*H206</x:f>
        <x:v>468513.1298545454</x:v>
      </x:c>
      <x:c r="J206" t="n">
        <x:v>6.5401454545454545</x:v>
      </x:c>
    </x:row>
    <x:row r="207">
      <x:c r="A207" s="3" t="n">
        <x:v>2023</x:v>
      </x:c>
      <x:c r="B207" s="2" t="str">
        <x:v>Enero</x:v>
      </x:c>
      <x:c r="C207" s="2" t="str">
        <x:v>RE-001120-2</x:v>
      </x:c>
      <x:c r="D207" s="2" t="str">
        <x:v>P. E. OS CORVOS Y COUCEPENIDO</x:v>
      </x:c>
      <x:c r="E207" s="4" t="n">
        <x:v>2.9716000000000005</x:v>
      </x:c>
      <x:c r="F207" s="4" t="n">
        <x:f>J207*1.03</x:f>
        <x:v>3.0136301818181814</x:v>
      </x:c>
      <x:c r="G207" s="4" t="n">
        <x:v>10.2</x:v>
      </x:c>
      <x:c r="H207" s="4" t="n">
        <x:v>69.55</x:v>
      </x:c>
      <x:c r="I207" s="5" t="n">
        <x:f t="shared" si="3">F207*1000*H207</x:f>
        <x:v>209597.9791454545</x:v>
      </x:c>
      <x:c r="J207" t="n">
        <x:v>2.925854545454545</x:v>
      </x:c>
    </x:row>
    <x:row r="208">
      <x:c r="A208" s="3" t="n">
        <x:v>2023</x:v>
      </x:c>
      <x:c r="B208" s="2" t="str">
        <x:v>Febrero</x:v>
      </x:c>
      <x:c r="C208" s="2" t="str">
        <x:v>RE-001120-1</x:v>
      </x:c>
      <x:c r="D208" s="2" t="str">
        <x:v>P. E. OS CORVOS Y COUCEPENIDO</x:v>
      </x:c>
      <x:c r="E208" s="4" t="n">
        <x:v>5.5341818181818185</x:v>
      </x:c>
      <x:c r="F208" s="4" t="n">
        <x:f>J208*0.99</x:f>
        <x:v>5.343408</x:v>
      </x:c>
      <x:c r="G208" s="4" t="n">
        <x:v>22.8</x:v>
      </x:c>
      <x:c r="H208" s="4" t="n">
        <x:v>133.47</x:v>
      </x:c>
      <x:c r="I208" s="5" t="n">
        <x:f t="shared" si="3">F208*1000*H208</x:f>
        <x:v>713184.66576</x:v>
      </x:c>
      <x:c r="J208" t="n">
        <x:v>5.3973818181818185</x:v>
      </x:c>
    </x:row>
    <x:row r="209">
      <x:c r="A209" s="3" t="n">
        <x:v>2023</x:v>
      </x:c>
      <x:c r="B209" s="2" t="str">
        <x:v>Febrero</x:v>
      </x:c>
      <x:c r="C209" s="2" t="str">
        <x:v>RE-001120-2</x:v>
      </x:c>
      <x:c r="D209" s="2" t="str">
        <x:v>P. E. OS CORVOS Y COUCEPENIDO</x:v>
      </x:c>
      <x:c r="E209" s="4" t="n">
        <x:v>2.4758181818181813</x:v>
      </x:c>
      <x:c r="F209" s="4" t="n">
        <x:f>J209*0.99</x:f>
        <x:v>2.390472</x:v>
      </x:c>
      <x:c r="G209" s="4" t="n">
        <x:v>10.2</x:v>
      </x:c>
      <x:c r="H209" s="4" t="n">
        <x:v>133.47</x:v>
      </x:c>
      <x:c r="I209" s="5" t="n">
        <x:f t="shared" si="3">F209*1000*H209</x:f>
        <x:v>319056.29783999996</x:v>
      </x:c>
      <x:c r="J209" t="n">
        <x:v>2.4146181818181818</x:v>
      </x:c>
    </x:row>
    <x:row r="210">
      <x:c r="A210" s="3" t="n">
        <x:v>2023</x:v>
      </x:c>
      <x:c r="B210" s="2" t="str">
        <x:v>Marzo</x:v>
      </x:c>
      <x:c r="C210" s="2" t="str">
        <x:v>RE-001120-1</x:v>
      </x:c>
      <x:c r="D210" s="2" t="str">
        <x:v>P. E. OS CORVOS Y COUCEPENIDO</x:v>
      </x:c>
      <x:c r="E210" s="4" t="n">
        <x:v>5.647490909090909</x:v>
      </x:c>
      <x:c r="F210" s="4" t="n">
        <x:f>J210*0.95</x:f>
        <x:v>5.247627272727273</x:v>
      </x:c>
      <x:c r="G210" s="4" t="n">
        <x:v>22.8</x:v>
      </x:c>
      <x:c r="H210" s="4" t="n">
        <x:v>89.61</x:v>
      </x:c>
      <x:c r="I210" s="5" t="n">
        <x:f t="shared" si="3">F210*1000*H210</x:f>
        <x:v>470239.879909091</x:v>
      </x:c>
      <x:c r="J210" t="n">
        <x:v>5.523818181818182</x:v>
      </x:c>
    </x:row>
    <x:row r="211">
      <x:c r="A211" s="3" t="n">
        <x:v>2023</x:v>
      </x:c>
      <x:c r="B211" s="2" t="str">
        <x:v>Marzo</x:v>
      </x:c>
      <x:c r="C211" s="2" t="str">
        <x:v>RE-001120-2</x:v>
      </x:c>
      <x:c r="D211" s="2" t="str">
        <x:v>P. E. OS CORVOS Y COUCEPENIDO</x:v>
      </x:c>
      <x:c r="E211" s="4" t="n">
        <x:v>2.526509090909091</x:v>
      </x:c>
      <x:c r="F211" s="4" t="n">
        <x:f>J211*0.95</x:f>
        <x:v>2.347622727272727</x:v>
      </x:c>
      <x:c r="G211" s="4" t="n">
        <x:v>10.2</x:v>
      </x:c>
      <x:c r="H211" s="4" t="n">
        <x:v>89.61</x:v>
      </x:c>
      <x:c r="I211" s="5" t="n">
        <x:f t="shared" si="3">F211*1000*H211</x:f>
        <x:v>210370.47259090905</x:v>
      </x:c>
      <x:c r="J211" t="n">
        <x:v>2.471181818181818</x:v>
      </x:c>
    </x:row>
    <x:row r="212">
      <x:c r="A212" s="3" t="n">
        <x:v>2023</x:v>
      </x:c>
      <x:c r="B212" s="2" t="str">
        <x:v>Abril</x:v>
      </x:c>
      <x:c r="C212" s="2" t="str">
        <x:v>RE-001120-1</x:v>
      </x:c>
      <x:c r="D212" s="2" t="str">
        <x:v>P. E. OS CORVOS Y COUCEPENIDO</x:v>
      </x:c>
      <x:c r="E212" s="4" t="n">
        <x:v>5.4409090909090905</x:v>
      </x:c>
      <x:c r="F212" s="4" t="n">
        <x:f>J212*1.02</x:f>
        <x:v>5.448951272727273</x:v>
      </x:c>
      <x:c r="G212" s="4" t="n">
        <x:v>22.8</x:v>
      </x:c>
      <x:c r="H212" s="4" t="n">
        <x:v>73.73</x:v>
      </x:c>
      <x:c r="I212" s="5" t="n">
        <x:f t="shared" si="3">F212*1000*H212</x:f>
        <x:v>401751.1773381819</x:v>
      </x:c>
      <x:c r="J212" t="n">
        <x:v>5.342109090909091</x:v>
      </x:c>
    </x:row>
    <x:row r="213">
      <x:c r="A213" s="3" t="n">
        <x:v>2023</x:v>
      </x:c>
      <x:c r="B213" s="2" t="str">
        <x:v>Abril</x:v>
      </x:c>
      <x:c r="C213" s="2" t="str">
        <x:v>RE-001120-2</x:v>
      </x:c>
      <x:c r="D213" s="2" t="str">
        <x:v>P. E. OS CORVOS Y COUCEPENIDO</x:v>
      </x:c>
      <x:c r="E213" s="4" t="n">
        <x:v>2.4340909090909095</x:v>
      </x:c>
      <x:c r="F213" s="4" t="n">
        <x:f>J213*1.02</x:f>
        <x:v>2.437688727272728</x:v>
      </x:c>
      <x:c r="G213" s="4" t="n">
        <x:v>10.2</x:v>
      </x:c>
      <x:c r="H213" s="4" t="n">
        <x:v>73.73</x:v>
      </x:c>
      <x:c r="I213" s="5" t="n">
        <x:f t="shared" si="3">F213*1000*H213</x:f>
        <x:v>179730.78986181825</x:v>
      </x:c>
      <x:c r="J213" t="n">
        <x:v>2.3898909090909095</x:v>
      </x:c>
    </x:row>
    <x:row r="214">
      <x:c r="A214" s="3" t="n">
        <x:v>2023</x:v>
      </x:c>
      <x:c r="B214" s="2" t="str">
        <x:v>Mayo</x:v>
      </x:c>
      <x:c r="C214" s="2" t="str">
        <x:v>RE-001120-1</x:v>
      </x:c>
      <x:c r="D214" s="2" t="str">
        <x:v>P. E. OS CORVOS Y COUCEPENIDO</x:v>
      </x:c>
      <x:c r="E214" s="4" t="n">
        <x:v>3.7461090909090906</x:v>
      </x:c>
      <x:c r="F214" s="4" t="n">
        <x:f>J214*0.98</x:f>
        <x:v>3.554727272727273</x:v>
      </x:c>
      <x:c r="G214" s="4" t="n">
        <x:v>22.8</x:v>
      </x:c>
      <x:c r="H214" s="4" t="n">
        <x:v>74.21</x:v>
      </x:c>
      <x:c r="I214" s="5" t="n">
        <x:f t="shared" si="3">F214*1000*H214</x:f>
        <x:v>263796.3109090909</x:v>
      </x:c>
      <x:c r="J214" t="n">
        <x:v>3.6272727272727274</x:v>
      </x:c>
    </x:row>
    <x:row r="215">
      <x:c r="A215" s="3" t="n">
        <x:v>2023</x:v>
      </x:c>
      <x:c r="B215" s="2" t="str">
        <x:v>Mayo</x:v>
      </x:c>
      <x:c r="C215" s="2" t="str">
        <x:v>RE-001120-2</x:v>
      </x:c>
      <x:c r="D215" s="2" t="str">
        <x:v>P. E. OS CORVOS Y COUCEPENIDO</x:v>
      </x:c>
      <x:c r="E215" s="4" t="n">
        <x:v>1.675890909090909</x:v>
      </x:c>
      <x:c r="F215" s="4" t="n">
        <x:f>J215*0.98</x:f>
        <x:v>1.590272727272727</x:v>
      </x:c>
      <x:c r="G215" s="4" t="n">
        <x:v>10.2</x:v>
      </x:c>
      <x:c r="H215" s="4" t="n">
        <x:v>74.21</x:v>
      </x:c>
      <x:c r="I215" s="5" t="n">
        <x:f t="shared" si="3">F215*1000*H215</x:f>
        <x:v>118014.13909090907</x:v>
      </x:c>
      <x:c r="J215" t="n">
        <x:v>1.6227272727272726</x:v>
      </x:c>
    </x:row>
    <x:row r="216">
      <x:c r="A216" s="3" t="n">
        <x:v>2023</x:v>
      </x:c>
      <x:c r="B216" s="2" t="str">
        <x:v>Junio</x:v>
      </x:c>
      <x:c r="C216" s="2" t="str">
        <x:v>RE-001120-1</x:v>
      </x:c>
      <x:c r="D216" s="2" t="str">
        <x:v>P. E. OS CORVOS Y COUCEPENIDO</x:v>
      </x:c>
      <x:c r="E216" s="4" t="n">
        <x:v>3.3419272727272724</x:v>
      </x:c>
      <x:c r="F216" s="4" t="n">
        <x:f>J216*0.94</x:f>
        <x:v>3.068023272727273</x:v>
      </x:c>
      <x:c r="G216" s="4" t="n">
        <x:v>22.8</x:v>
      </x:c>
      <x:c r="H216" s="4" t="n">
        <x:v>93.02</x:v>
      </x:c>
      <x:c r="I216" s="5" t="n">
        <x:f t="shared" si="3">F216*1000*H216</x:f>
        <x:v>285387.5248290909</x:v>
      </x:c>
      <x:c r="J216" t="n">
        <x:v>3.263854545454546</x:v>
      </x:c>
    </x:row>
    <x:row r="217">
      <x:c r="A217" s="3" t="n">
        <x:v>2023</x:v>
      </x:c>
      <x:c r="B217" s="2" t="str">
        <x:v>Junio</x:v>
      </x:c>
      <x:c r="C217" s="2" t="str">
        <x:v>RE-001120-2</x:v>
      </x:c>
      <x:c r="D217" s="2" t="str">
        <x:v>P. E. OS CORVOS Y COUCEPENIDO</x:v>
      </x:c>
      <x:c r="E217" s="4" t="n">
        <x:v>1.4950727272727273</x:v>
      </x:c>
      <x:c r="F217" s="4" t="n">
        <x:f>J217*0.94</x:f>
        <x:v>1.3725367272727271</x:v>
      </x:c>
      <x:c r="G217" s="4" t="n">
        <x:v>10.2</x:v>
      </x:c>
      <x:c r="H217" s="4" t="n">
        <x:v>93.02</x:v>
      </x:c>
      <x:c r="I217" s="5" t="n">
        <x:f t="shared" si="3">F217*1000*H217</x:f>
        <x:v>127673.36637090908</x:v>
      </x:c>
      <x:c r="J217" t="n">
        <x:v>1.4601454545454544</x:v>
      </x:c>
    </x:row>
    <x:row r="218">
      <x:c r="A218" s="3" t="n">
        <x:v>2023</x:v>
      </x:c>
      <x:c r="B218" s="2" t="str">
        <x:v>Julio</x:v>
      </x:c>
      <x:c r="C218" s="2" t="str">
        <x:v>RE-001120-1</x:v>
      </x:c>
      <x:c r="D218" s="2" t="str">
        <x:v>P. E. OS CORVOS Y COUCEPENIDO</x:v>
      </x:c>
      <x:c r="E218" s="4" t="n">
        <x:v>3.1996</x:v>
      </x:c>
      <x:c r="F218" s="4" t="n">
        <x:f>J218*1.01</x:f>
        <x:v>3.1792596363636365</x:v>
      </x:c>
      <x:c r="G218" s="4" t="n">
        <x:v>22.8</x:v>
      </x:c>
      <x:c r="H218" s="4" t="n">
        <x:v>90.47</x:v>
      </x:c>
      <x:c r="I218" s="5" t="n">
        <x:f t="shared" si="3">F218*1000*H218</x:f>
        <x:v>287627.6193018182</x:v>
      </x:c>
      <x:c r="J218" t="n">
        <x:v>3.1477818181818185</x:v>
      </x:c>
    </x:row>
    <x:row r="219">
      <x:c r="A219" s="3" t="n">
        <x:v>2023</x:v>
      </x:c>
      <x:c r="B219" s="2" t="str">
        <x:v>Julio</x:v>
      </x:c>
      <x:c r="C219" s="2" t="str">
        <x:v>RE-001120-2</x:v>
      </x:c>
      <x:c r="D219" s="2" t="str">
        <x:v>P. E. OS CORVOS Y COUCEPENIDO</x:v>
      </x:c>
      <x:c r="E219" s="4" t="n">
        <x:v>1.4314</x:v>
      </x:c>
      <x:c r="F219" s="4" t="n">
        <x:f>J219*1.01</x:f>
        <x:v>1.4223003636363634</x:v>
      </x:c>
      <x:c r="G219" s="4" t="n">
        <x:v>10.2</x:v>
      </x:c>
      <x:c r="H219" s="4" t="n">
        <x:v>90.47</x:v>
      </x:c>
      <x:c r="I219" s="5" t="n">
        <x:f t="shared" si="3">F219*1000*H219</x:f>
        <x:v>128675.51389818179</x:v>
      </x:c>
      <x:c r="J219" t="n">
        <x:v>1.4082181818181816</x:v>
      </x:c>
    </x:row>
    <x:row r="220">
      <x:c r="A220" s="3" t="n">
        <x:v>2023</x:v>
      </x:c>
      <x:c r="B220" s="2" t="str">
        <x:v>Agosto</x:v>
      </x:c>
      <x:c r="C220" s="2" t="str">
        <x:v>RE-001120-1</x:v>
      </x:c>
      <x:c r="D220" s="2" t="str">
        <x:v>P. E. OS CORVOS Y COUCEPENIDO</x:v>
      </x:c>
      <x:c r="E220" s="4" t="n">
        <x:v>3.5222545454545453</x:v>
      </x:c>
      <x:c r="F220" s="4" t="n">
        <x:f>J220*0.97</x:f>
        <x:v>3.3254421818181816</x:v>
      </x:c>
      <x:c r="G220" s="4" t="n">
        <x:v>22.8</x:v>
      </x:c>
      <x:c r="H220" s="4" t="n">
        <x:v>96.05</x:v>
      </x:c>
      <x:c r="I220" s="5" t="n">
        <x:f t="shared" si="3">F220*1000*H220</x:f>
        <x:v>319408.7215636363</x:v>
      </x:c>
      <x:c r="J220" t="n">
        <x:v>3.428290909090909</x:v>
      </x:c>
    </x:row>
    <x:row r="221">
      <x:c r="A221" s="3" t="n">
        <x:v>2023</x:v>
      </x:c>
      <x:c r="B221" s="2" t="str">
        <x:v>Agosto</x:v>
      </x:c>
      <x:c r="C221" s="2" t="str">
        <x:v>RE-001120-2</x:v>
      </x:c>
      <x:c r="D221" s="2" t="str">
        <x:v>P. E. OS CORVOS Y COUCEPENIDO</x:v>
      </x:c>
      <x:c r="E221" s="4" t="n">
        <x:v>1.5757454545454546</x:v>
      </x:c>
      <x:c r="F221" s="4" t="n">
        <x:f>J221*0.97</x:f>
        <x:v>1.4876978181818181</x:v>
      </x:c>
      <x:c r="G221" s="4" t="n">
        <x:v>10.2</x:v>
      </x:c>
      <x:c r="H221" s="4" t="n">
        <x:v>96.05</x:v>
      </x:c>
      <x:c r="I221" s="5" t="n">
        <x:f t="shared" si="3">F221*1000*H221</x:f>
        <x:v>142893.37543636363</x:v>
      </x:c>
      <x:c r="J221" t="n">
        <x:v>1.533709090909091</x:v>
      </x:c>
    </x:row>
    <x:row r="222">
      <x:c r="A222" s="3" t="n">
        <x:v>2023</x:v>
      </x:c>
      <x:c r="B222" s="2" t="str">
        <x:v>Septiembre</x:v>
      </x:c>
      <x:c r="C222" s="2" t="str">
        <x:v>RE-001120-1</x:v>
      </x:c>
      <x:c r="D222" s="2" t="str">
        <x:v>P. E. OS CORVOS Y COUCEPENIDO</x:v>
      </x:c>
      <x:c r="E222" s="4" t="n">
        <x:v>4.304363636363636</x:v>
      </x:c>
      <x:c r="F222" s="4" t="n">
        <x:f>J222*1.04</x:f>
        <x:v>4.366600727272727</x:v>
      </x:c>
      <x:c r="G222" s="4" t="n">
        <x:v>22.8</x:v>
      </x:c>
      <x:c r="H222" s="4" t="n">
        <x:v>103.34</x:v>
      </x:c>
      <x:c r="I222" s="5" t="n">
        <x:f t="shared" si="3">F222*1000*H222</x:f>
        <x:v>451244.5191563637</x:v>
      </x:c>
      <x:c r="J222" t="n">
        <x:v>4.198654545454546</x:v>
      </x:c>
    </x:row>
    <x:row r="223">
      <x:c r="A223" s="3" t="n">
        <x:v>2023</x:v>
      </x:c>
      <x:c r="B223" s="2" t="str">
        <x:v>Septiembre</x:v>
      </x:c>
      <x:c r="C223" s="2" t="str">
        <x:v>RE-001120-2</x:v>
      </x:c>
      <x:c r="D223" s="2" t="str">
        <x:v>P. E. OS CORVOS Y COUCEPENIDO</x:v>
      </x:c>
      <x:c r="E223" s="4" t="n">
        <x:v>1.9256363636363645</x:v>
      </x:c>
      <x:c r="F223" s="4" t="n">
        <x:f>J223*1.04</x:f>
        <x:v>1.9534792727272723</x:v>
      </x:c>
      <x:c r="G223" s="4" t="n">
        <x:v>10.2</x:v>
      </x:c>
      <x:c r="H223" s="4" t="n">
        <x:v>103.34</x:v>
      </x:c>
      <x:c r="I223" s="5" t="n">
        <x:f t="shared" si="3">F223*1000*H223</x:f>
        <x:v>201872.5480436363</x:v>
      </x:c>
      <x:c r="J223" t="n">
        <x:v>1.878345454545454</x:v>
      </x:c>
    </x:row>
    <x:row r="224">
      <x:c r="A224" s="3" t="n">
        <x:v>2023</x:v>
      </x:c>
      <x:c r="B224" s="2" t="str">
        <x:v>Octubre</x:v>
      </x:c>
      <x:c r="C224" s="2" t="str">
        <x:v>RE-001120-1</x:v>
      </x:c>
      <x:c r="D224" s="2" t="str">
        <x:v>P. E. OS CORVOS Y COUCEPENIDO</x:v>
      </x:c>
      <x:c r="E224" s="4" t="n">
        <x:v>5.8554545454545455</x:v>
      </x:c>
      <x:c r="F224" s="4" t="n">
        <x:f>J224*1</x:f>
        <x:v>5.735927272727272</x:v>
      </x:c>
      <x:c r="G224" s="4" t="n">
        <x:v>22.8</x:v>
      </x:c>
      <x:c r="H224" s="4" t="n">
        <x:v>90.14</x:v>
      </x:c>
      <x:c r="I224" s="5" t="n">
        <x:f t="shared" si="3">F224*1000*H224</x:f>
        <x:v>517036.4843636363</x:v>
      </x:c>
      <x:c r="J224" t="n">
        <x:v>5.735927272727272</x:v>
      </x:c>
    </x:row>
    <x:row r="225">
      <x:c r="A225" s="3" t="n">
        <x:v>2023</x:v>
      </x:c>
      <x:c r="B225" s="2" t="str">
        <x:v>Octubre</x:v>
      </x:c>
      <x:c r="C225" s="2" t="str">
        <x:v>RE-001120-2</x:v>
      </x:c>
      <x:c r="D225" s="2" t="str">
        <x:v>P. E. OS CORVOS Y COUCEPENIDO</x:v>
      </x:c>
      <x:c r="E225" s="4" t="n">
        <x:v>2.619545454545454</x:v>
      </x:c>
      <x:c r="F225" s="4" t="n">
        <x:f>J225*1</x:f>
        <x:v>2.5660727272727275</x:v>
      </x:c>
      <x:c r="G225" s="4" t="n">
        <x:v>10.2</x:v>
      </x:c>
      <x:c r="H225" s="4" t="n">
        <x:v>90.14</x:v>
      </x:c>
      <x:c r="I225" s="5" t="n">
        <x:f t="shared" si="3">F225*1000*H225</x:f>
        <x:v>231305.79563636368</x:v>
      </x:c>
      <x:c r="J225" t="n">
        <x:v>2.5660727272727275</x:v>
      </x:c>
    </x:row>
    <x:row r="226">
      <x:c r="A226" s="3" t="n">
        <x:v>2023</x:v>
      </x:c>
      <x:c r="B226" s="2" t="str">
        <x:v>Noviembre</x:v>
      </x:c>
      <x:c r="C226" s="2" t="str">
        <x:v>RE-001120-1</x:v>
      </x:c>
      <x:c r="D226" s="2" t="str">
        <x:v>P. E. OS CORVOS Y COUCEPENIDO</x:v>
      </x:c>
      <x:c r="E226" s="4" t="n">
        <x:v>5.892763636363637</x:v>
      </x:c>
      <x:c r="F226" s="4" t="n">
        <x:f>J226*0.96</x:f>
        <x:v>5.483938909090909</x:v>
      </x:c>
      <x:c r="G226" s="4" t="n">
        <x:v>22.8</x:v>
      </x:c>
      <x:c r="H226" s="4" t="n">
        <x:v>63.45</x:v>
      </x:c>
      <x:c r="I226" s="5" t="n">
        <x:f t="shared" si="3">F226*1000*H226</x:f>
        <x:v>347955.92378181824</x:v>
      </x:c>
      <x:c r="J226" t="n">
        <x:v>5.712436363636364</x:v>
      </x:c>
    </x:row>
    <x:row r="227">
      <x:c r="A227" s="3" t="n">
        <x:v>2023</x:v>
      </x:c>
      <x:c r="B227" s="2" t="str">
        <x:v>Noviembre</x:v>
      </x:c>
      <x:c r="C227" s="2" t="str">
        <x:v>RE-001120-2</x:v>
      </x:c>
      <x:c r="D227" s="2" t="str">
        <x:v>P. E. OS CORVOS Y COUCEPENIDO</x:v>
      </x:c>
      <x:c r="E227" s="4" t="n">
        <x:v>2.636236363636363</x:v>
      </x:c>
      <x:c r="F227" s="4" t="n">
        <x:f>J227*0.96</x:f>
        <x:v>2.4533410909090914</x:v>
      </x:c>
      <x:c r="G227" s="4" t="n">
        <x:v>10.2</x:v>
      </x:c>
      <x:c r="H227" s="4" t="n">
        <x:v>63.45</x:v>
      </x:c>
      <x:c r="I227" s="5" t="n">
        <x:f t="shared" si="3">F227*1000*H227</x:f>
        <x:v>155664.49221818184</x:v>
      </x:c>
      <x:c r="J227" t="n">
        <x:v>2.5555636363636367</x:v>
      </x:c>
    </x:row>
    <x:row r="228">
      <x:c r="A228" s="3" t="n">
        <x:v>2023</x:v>
      </x:c>
      <x:c r="B228" s="2" t="str">
        <x:v>Diciembre</x:v>
      </x:c>
      <x:c r="C228" s="2" t="str">
        <x:v>RE-001120-1</x:v>
      </x:c>
      <x:c r="D228" s="2" t="str">
        <x:v>P. E. OS CORVOS Y COUCEPENIDO</x:v>
      </x:c>
      <x:c r="E228" s="4" t="n">
        <x:v>6.9982181818181814</x:v>
      </x:c>
      <x:c r="F228" s="4" t="n">
        <x:f>J228*1.03</x:f>
        <x:v>6.99253890909091</x:v>
      </x:c>
      <x:c r="G228" s="4" t="n">
        <x:v>22.8</x:v>
      </x:c>
      <x:c r="H228" s="4" t="n">
        <x:v>72.17</x:v>
      </x:c>
      <x:c r="I228" s="5" t="n">
        <x:f t="shared" si="3">F228*1000*H228</x:f>
        <x:v>504651.533069091</x:v>
      </x:c>
      <x:c r="J228" t="n">
        <x:v>6.788872727272728</x:v>
      </x:c>
    </x:row>
    <x:row r="229">
      <x:c r="A229" s="3" t="n">
        <x:v>2023</x:v>
      </x:c>
      <x:c r="B229" s="2" t="str">
        <x:v>Diciembre</x:v>
      </x:c>
      <x:c r="C229" s="2" t="str">
        <x:v>RE-001120-2</x:v>
      </x:c>
      <x:c r="D229" s="2" t="str">
        <x:v>P. E. OS CORVOS Y COUCEPENIDO</x:v>
      </x:c>
      <x:c r="E229" s="4" t="n">
        <x:v>3.130781818181818</x:v>
      </x:c>
      <x:c r="F229" s="4" t="n">
        <x:f>J229*1.03</x:f>
        <x:v>3.128241090909091</x:v>
      </x:c>
      <x:c r="G229" s="4" t="n">
        <x:v>10.2</x:v>
      </x:c>
      <x:c r="H229" s="4" t="n">
        <x:v>72.17</x:v>
      </x:c>
      <x:c r="I229" s="5" t="n">
        <x:f t="shared" si="3">F229*1000*H229</x:f>
        <x:v>225765.1595309091</x:v>
      </x:c>
      <x:c r="J229" t="n">
        <x:v>3.0371272727272727</x:v>
      </x:c>
    </x:row>
    <x:row r="230">
      <x:c r="A230" s="3" t="n">
        <x:v>2023</x:v>
      </x:c>
      <x:c r="B230" s="2" t="str">
        <x:v>Enero</x:v>
      </x:c>
      <x:c r="C230" s="2" t="str">
        <x:v>RE-001121-1</x:v>
      </x:c>
      <x:c r="D230" s="2" t="str">
        <x:v>PARQUE EOLICO DE VICEDO</x:v>
      </x:c>
      <x:c r="E230" s="4" t="n">
        <x:v>6.119</x:v>
      </x:c>
      <x:c r="F230" s="4" t="n">
        <x:f>J230*0.99</x:f>
        <x:v>5.88654</x:v>
      </x:c>
      <x:c r="G230" s="4" t="n">
        <x:v>24.6</x:v>
      </x:c>
      <x:c r="H230" s="4" t="n">
        <x:v>69.55</x:v>
      </x:c>
      <x:c r="I230" s="5" t="n">
        <x:f t="shared" si="3">F230*1000*H230</x:f>
        <x:v>409408.85699999996</x:v>
      </x:c>
      <x:c r="J230" t="n">
        <x:v>5.946</x:v>
      </x:c>
    </x:row>
    <x:row r="231">
      <x:c r="A231" s="3" t="n">
        <x:v>2023</x:v>
      </x:c>
      <x:c r="B231" s="2" t="str">
        <x:v>Febrero</x:v>
      </x:c>
      <x:c r="C231" s="2" t="str">
        <x:v>RE-001121-1</x:v>
      </x:c>
      <x:c r="D231" s="2" t="str">
        <x:v>PARQUE EOLICO DE VICEDO</x:v>
      </x:c>
      <x:c r="E231" s="4" t="n">
        <x:v>5.136</x:v>
      </x:c>
      <x:c r="F231" s="4" t="n">
        <x:f>J231*0.95</x:f>
        <x:v>4.784199999999999</x:v>
      </x:c>
      <x:c r="G231" s="4" t="n">
        <x:v>24.6</x:v>
      </x:c>
      <x:c r="H231" s="4" t="n">
        <x:v>133.47</x:v>
      </x:c>
      <x:c r="I231" s="5" t="n">
        <x:f t="shared" si="3">F231*1000*H231</x:f>
        <x:v>638547.1739999999</x:v>
      </x:c>
      <x:c r="J231" t="n">
        <x:v>5.036</x:v>
      </x:c>
    </x:row>
    <x:row r="232">
      <x:c r="A232" s="3" t="n">
        <x:v>2023</x:v>
      </x:c>
      <x:c r="B232" s="2" t="str">
        <x:v>Marzo</x:v>
      </x:c>
      <x:c r="C232" s="2" t="str">
        <x:v>RE-001121-1</x:v>
      </x:c>
      <x:c r="D232" s="2" t="str">
        <x:v>PARQUE EOLICO DE VICEDO</x:v>
      </x:c>
      <x:c r="E232" s="4" t="n">
        <x:v>5.881</x:v>
      </x:c>
      <x:c r="F232" s="4" t="n">
        <x:f>J232*1.02</x:f>
        <x:v>5.8068599999999995</x:v>
      </x:c>
      <x:c r="G232" s="4" t="n">
        <x:v>24.6</x:v>
      </x:c>
      <x:c r="H232" s="4" t="n">
        <x:v>89.61</x:v>
      </x:c>
      <x:c r="I232" s="5" t="n">
        <x:f t="shared" si="3">F232*1000*H232</x:f>
        <x:v>520352.72459999996</x:v>
      </x:c>
      <x:c r="J232" t="n">
        <x:v>5.693</x:v>
      </x:c>
    </x:row>
    <x:row r="233">
      <x:c r="A233" s="3" t="n">
        <x:v>2023</x:v>
      </x:c>
      <x:c r="B233" s="2" t="str">
        <x:v>Abril</x:v>
      </x:c>
      <x:c r="C233" s="2" t="str">
        <x:v>RE-001121-1</x:v>
      </x:c>
      <x:c r="D233" s="2" t="str">
        <x:v>PARQUE EOLICO DE VICEDO</x:v>
      </x:c>
      <x:c r="E233" s="4" t="n">
        <x:v>4.632</x:v>
      </x:c>
      <x:c r="F233" s="4" t="n">
        <x:f>J233*0.98</x:f>
        <x:v>4.4070599999999995</x:v>
      </x:c>
      <x:c r="G233" s="4" t="n">
        <x:v>24.6</x:v>
      </x:c>
      <x:c r="H233" s="4" t="n">
        <x:v>73.73</x:v>
      </x:c>
      <x:c r="I233" s="5" t="n">
        <x:f t="shared" si="3">F233*1000*H233</x:f>
        <x:v>324932.5338</x:v>
      </x:c>
      <x:c r="J233" t="n">
        <x:v>4.497</x:v>
      </x:c>
    </x:row>
    <x:row r="234">
      <x:c r="A234" s="3" t="n">
        <x:v>2023</x:v>
      </x:c>
      <x:c r="B234" s="2" t="str">
        <x:v>Mayo</x:v>
      </x:c>
      <x:c r="C234" s="2" t="str">
        <x:v>RE-001121-1</x:v>
      </x:c>
      <x:c r="D234" s="2" t="str">
        <x:v>PARQUE EOLICO DE VICEDO</x:v>
      </x:c>
      <x:c r="E234" s="4" t="n">
        <x:v>4.249</x:v>
      </x:c>
      <x:c r="F234" s="4" t="n">
        <x:f>J234*0.94</x:f>
        <x:v>3.9291999999999994</x:v>
      </x:c>
      <x:c r="G234" s="4" t="n">
        <x:v>24.6</x:v>
      </x:c>
      <x:c r="H234" s="4" t="n">
        <x:v>74.21</x:v>
      </x:c>
      <x:c r="I234" s="5" t="n">
        <x:f t="shared" si="3">F234*1000*H234</x:f>
        <x:v>291585.9319999999</x:v>
      </x:c>
      <x:c r="J234" t="n">
        <x:v>4.18</x:v>
      </x:c>
    </x:row>
    <x:row r="235">
      <x:c r="A235" s="3" t="n">
        <x:v>2023</x:v>
      </x:c>
      <x:c r="B235" s="2" t="str">
        <x:v>Junio</x:v>
      </x:c>
      <x:c r="C235" s="2" t="str">
        <x:v>RE-001121-1</x:v>
      </x:c>
      <x:c r="D235" s="2" t="str">
        <x:v>PARQUE EOLICO DE VICEDO</x:v>
      </x:c>
      <x:c r="E235" s="4" t="n">
        <x:v>4.092</x:v>
      </x:c>
      <x:c r="F235" s="4" t="n">
        <x:f>J235*1.01</x:f>
        <x:v>4.04303</x:v>
      </x:c>
      <x:c r="G235" s="4" t="n">
        <x:v>24.6</x:v>
      </x:c>
      <x:c r="H235" s="4" t="n">
        <x:v>93.02</x:v>
      </x:c>
      <x:c r="I235" s="5" t="n">
        <x:f t="shared" si="3">F235*1000*H235</x:f>
        <x:v>376082.65059999994</x:v>
      </x:c>
      <x:c r="J235" t="n">
        <x:v>4.003</x:v>
      </x:c>
    </x:row>
    <x:row r="236">
      <x:c r="A236" s="3" t="n">
        <x:v>2023</x:v>
      </x:c>
      <x:c r="B236" s="2" t="str">
        <x:v>Julio</x:v>
      </x:c>
      <x:c r="C236" s="2" t="str">
        <x:v>RE-001121-1</x:v>
      </x:c>
      <x:c r="D236" s="2" t="str">
        <x:v>PARQUE EOLICO DE VICEDO</x:v>
      </x:c>
      <x:c r="E236" s="4" t="n">
        <x:v>4.043</x:v>
      </x:c>
      <x:c r="F236" s="4" t="n">
        <x:f>J236*0.97</x:f>
        <x:v>3.84702</x:v>
      </x:c>
      <x:c r="G236" s="4" t="n">
        <x:v>24.6</x:v>
      </x:c>
      <x:c r="H236" s="4" t="n">
        <x:v>90.47</x:v>
      </x:c>
      <x:c r="I236" s="5" t="n">
        <x:f t="shared" si="3">F236*1000*H236</x:f>
        <x:v>348039.8994</x:v>
      </x:c>
      <x:c r="J236" t="n">
        <x:v>3.966</x:v>
      </x:c>
    </x:row>
    <x:row r="237">
      <x:c r="A237" s="3" t="n">
        <x:v>2023</x:v>
      </x:c>
      <x:c r="B237" s="2" t="str">
        <x:v>Agosto</x:v>
      </x:c>
      <x:c r="C237" s="2" t="str">
        <x:v>RE-001121-1</x:v>
      </x:c>
      <x:c r="D237" s="2" t="str">
        <x:v>PARQUE EOLICO DE VICEDO</x:v>
      </x:c>
      <x:c r="E237" s="4" t="n">
        <x:v>3.746</x:v>
      </x:c>
      <x:c r="F237" s="4" t="n">
        <x:f>J237*1.04</x:f>
        <x:v>3.82304</x:v>
      </x:c>
      <x:c r="G237" s="4" t="n">
        <x:v>24.6</x:v>
      </x:c>
      <x:c r="H237" s="4" t="n">
        <x:v>96.05</x:v>
      </x:c>
      <x:c r="I237" s="5" t="n">
        <x:f t="shared" si="3">F237*1000*H237</x:f>
        <x:v>367202.992</x:v>
      </x:c>
      <x:c r="J237" t="n">
        <x:v>3.676</x:v>
      </x:c>
    </x:row>
    <x:row r="238">
      <x:c r="A238" s="3" t="n">
        <x:v>2023</x:v>
      </x:c>
      <x:c r="B238" s="2" t="str">
        <x:v>Septiembre</x:v>
      </x:c>
      <x:c r="C238" s="2" t="str">
        <x:v>RE-001121-1</x:v>
      </x:c>
      <x:c r="D238" s="2" t="str">
        <x:v>PARQUE EOLICO DE VICEDO</x:v>
      </x:c>
      <x:c r="E238" s="4" t="n">
        <x:v>3.858</x:v>
      </x:c>
      <x:c r="F238" s="4" t="n">
        <x:f>J238*1</x:f>
        <x:v>3.773</x:v>
      </x:c>
      <x:c r="G238" s="4" t="n">
        <x:v>24.6</x:v>
      </x:c>
      <x:c r="H238" s="4" t="n">
        <x:v>103.34</x:v>
      </x:c>
      <x:c r="I238" s="5" t="n">
        <x:f t="shared" si="3">F238*1000*H238</x:f>
        <x:v>389901.82</x:v>
      </x:c>
      <x:c r="J238" t="n">
        <x:v>3.773</x:v>
      </x:c>
    </x:row>
    <x:row r="239">
      <x:c r="A239" s="3" t="n">
        <x:v>2023</x:v>
      </x:c>
      <x:c r="B239" s="2" t="str">
        <x:v>Octubre</x:v>
      </x:c>
      <x:c r="C239" s="2" t="str">
        <x:v>RE-001121-1</x:v>
      </x:c>
      <x:c r="D239" s="2" t="str">
        <x:v>PARQUE EOLICO DE VICEDO</x:v>
      </x:c>
      <x:c r="E239" s="4" t="n">
        <x:v>5.121</x:v>
      </x:c>
      <x:c r="F239" s="4" t="n">
        <x:f>J239*0.96</x:f>
        <x:v>4.83744</x:v>
      </x:c>
      <x:c r="G239" s="4" t="n">
        <x:v>24.6</x:v>
      </x:c>
      <x:c r="H239" s="4" t="n">
        <x:v>90.14</x:v>
      </x:c>
      <x:c r="I239" s="5" t="n">
        <x:f t="shared" si="3">F239*1000*H239</x:f>
        <x:v>436046.8416</x:v>
      </x:c>
      <x:c r="J239" t="n">
        <x:v>5.039</x:v>
      </x:c>
    </x:row>
    <x:row r="240">
      <x:c r="A240" s="3" t="n">
        <x:v>2023</x:v>
      </x:c>
      <x:c r="B240" s="2" t="str">
        <x:v>Noviembre</x:v>
      </x:c>
      <x:c r="C240" s="2" t="str">
        <x:v>RE-001121-1</x:v>
      </x:c>
      <x:c r="D240" s="2" t="str">
        <x:v>PARQUE EOLICO DE VICEDO</x:v>
      </x:c>
      <x:c r="E240" s="4" t="n">
        <x:v>6.861</x:v>
      </x:c>
      <x:c r="F240" s="4" t="n">
        <x:f>J240*1.03</x:f>
        <x:v>6.89173</x:v>
      </x:c>
      <x:c r="G240" s="4" t="n">
        <x:v>24.6</x:v>
      </x:c>
      <x:c r="H240" s="4" t="n">
        <x:v>63.45</x:v>
      </x:c>
      <x:c r="I240" s="5" t="n">
        <x:f t="shared" si="3">F240*1000*H240</x:f>
        <x:v>437280.2685</x:v>
      </x:c>
      <x:c r="J240" t="n">
        <x:v>6.691</x:v>
      </x:c>
    </x:row>
    <x:row r="241">
      <x:c r="A241" s="3" t="n">
        <x:v>2023</x:v>
      </x:c>
      <x:c r="B241" s="2" t="str">
        <x:v>Diciembre</x:v>
      </x:c>
      <x:c r="C241" s="2" t="str">
        <x:v>RE-001121-1</x:v>
      </x:c>
      <x:c r="D241" s="2" t="str">
        <x:v>PARQUE EOLICO DE VICEDO</x:v>
      </x:c>
      <x:c r="E241" s="4" t="n">
        <x:v>6.582</x:v>
      </x:c>
      <x:c r="F241" s="4" t="n">
        <x:f>J241*0.99</x:f>
        <x:v>6.40926</x:v>
      </x:c>
      <x:c r="G241" s="4" t="n">
        <x:v>24.6</x:v>
      </x:c>
      <x:c r="H241" s="4" t="n">
        <x:v>72.17</x:v>
      </x:c>
      <x:c r="I241" s="5" t="n">
        <x:f t="shared" si="3">F241*1000*H241</x:f>
        <x:v>462556.29419999995</x:v>
      </x:c>
      <x:c r="J241" t="n">
        <x:v>6.474</x:v>
      </x:c>
    </x:row>
    <x:row r="242">
      <x:c r="A242" s="3" t="n">
        <x:v>2023</x:v>
      </x:c>
      <x:c r="B242" s="2" t="str">
        <x:v>Enero</x:v>
      </x:c>
      <x:c r="C242" s="2" t="str">
        <x:v>RE-001136-1</x:v>
      </x:c>
      <x:c r="D242" s="2" t="str">
        <x:v>P.E. PAXAREIRAS II-C (VIRXE DO MONTE)</x:v>
      </x:c>
      <x:c r="E242" s="4" t="n">
        <x:v>4.905</x:v>
      </x:c>
      <x:c r="F242" s="4" t="n">
        <x:f>J242*0.95</x:f>
        <x:v>4.5125</x:v>
      </x:c>
      <x:c r="G242" s="4" t="n">
        <x:v>19.2</x:v>
      </x:c>
      <x:c r="H242" s="4" t="n">
        <x:v>69.55</x:v>
      </x:c>
      <x:c r="I242" s="5" t="n">
        <x:f t="shared" si="3">F242*1000*H242</x:f>
        <x:v>313844.375</x:v>
      </x:c>
      <x:c r="J242" t="n">
        <x:v>4.75</x:v>
      </x:c>
    </x:row>
    <x:row r="243">
      <x:c r="A243" s="3" t="n">
        <x:v>2023</x:v>
      </x:c>
      <x:c r="B243" s="2" t="str">
        <x:v>Febrero</x:v>
      </x:c>
      <x:c r="C243" s="2" t="str">
        <x:v>RE-001136-1</x:v>
      </x:c>
      <x:c r="D243" s="2" t="str">
        <x:v>P.E. PAXAREIRAS II-C (VIRXE DO MONTE)</x:v>
      </x:c>
      <x:c r="E243" s="4" t="n">
        <x:v>4.854</x:v>
      </x:c>
      <x:c r="F243" s="4" t="n">
        <x:f>J243*1.02</x:f>
        <x:v>4.83888</x:v>
      </x:c>
      <x:c r="G243" s="4" t="n">
        <x:v>19.2</x:v>
      </x:c>
      <x:c r="H243" s="4" t="n">
        <x:v>133.47</x:v>
      </x:c>
      <x:c r="I243" s="5" t="n">
        <x:f t="shared" si="3">F243*1000*H243</x:f>
        <x:v>645845.3135999999</x:v>
      </x:c>
      <x:c r="J243" t="n">
        <x:v>4.744</x:v>
      </x:c>
    </x:row>
    <x:row r="244">
      <x:c r="A244" s="3" t="n">
        <x:v>2023</x:v>
      </x:c>
      <x:c r="B244" s="2" t="str">
        <x:v>Marzo</x:v>
      </x:c>
      <x:c r="C244" s="2" t="str">
        <x:v>RE-001136-1</x:v>
      </x:c>
      <x:c r="D244" s="2" t="str">
        <x:v>P.E. PAXAREIRAS II-C (VIRXE DO MONTE)</x:v>
      </x:c>
      <x:c r="E244" s="4" t="n">
        <x:v>4.542</x:v>
      </x:c>
      <x:c r="F244" s="4" t="n">
        <x:f>J244*0.98</x:f>
        <x:v>4.37178</x:v>
      </x:c>
      <x:c r="G244" s="4" t="n">
        <x:v>19.2</x:v>
      </x:c>
      <x:c r="H244" s="4" t="n">
        <x:v>89.61</x:v>
      </x:c>
      <x:c r="I244" s="5" t="n">
        <x:f t="shared" si="3">F244*1000*H244</x:f>
        <x:v>391755.20580000005</x:v>
      </x:c>
      <x:c r="J244" t="n">
        <x:v>4.461</x:v>
      </x:c>
    </x:row>
    <x:row r="245">
      <x:c r="A245" s="3" t="n">
        <x:v>2023</x:v>
      </x:c>
      <x:c r="B245" s="2" t="str">
        <x:v>Abril</x:v>
      </x:c>
      <x:c r="C245" s="2" t="str">
        <x:v>RE-001136-1</x:v>
      </x:c>
      <x:c r="D245" s="2" t="str">
        <x:v>P.E. PAXAREIRAS II-C (VIRXE DO MONTE)</x:v>
      </x:c>
      <x:c r="E245" s="4" t="n">
        <x:v>4.424</x:v>
      </x:c>
      <x:c r="F245" s="4" t="n">
        <x:f>J245*0.94</x:f>
        <x:v>4.0748999999999995</x:v>
      </x:c>
      <x:c r="G245" s="4" t="n">
        <x:v>19.2</x:v>
      </x:c>
      <x:c r="H245" s="4" t="n">
        <x:v>73.73</x:v>
      </x:c>
      <x:c r="I245" s="5" t="n">
        <x:f t="shared" si="3">F245*1000*H245</x:f>
        <x:v>300442.377</x:v>
      </x:c>
      <x:c r="J245" t="n">
        <x:v>4.335</x:v>
      </x:c>
    </x:row>
    <x:row r="246">
      <x:c r="A246" s="3" t="n">
        <x:v>2023</x:v>
      </x:c>
      <x:c r="B246" s="2" t="str">
        <x:v>Mayo</x:v>
      </x:c>
      <x:c r="C246" s="2" t="str">
        <x:v>RE-001136-1</x:v>
      </x:c>
      <x:c r="D246" s="2" t="str">
        <x:v>P.E. PAXAREIRAS II-C (VIRXE DO MONTE)</x:v>
      </x:c>
      <x:c r="E246" s="4" t="n">
        <x:v>3.504</x:v>
      </x:c>
      <x:c r="F246" s="4" t="n">
        <x:f>J246*1.01</x:f>
        <x:v>3.4430899999999998</x:v>
      </x:c>
      <x:c r="G246" s="4" t="n">
        <x:v>19.2</x:v>
      </x:c>
      <x:c r="H246" s="4" t="n">
        <x:v>74.21</x:v>
      </x:c>
      <x:c r="I246" s="5" t="n">
        <x:f t="shared" si="3">F246*1000*H246</x:f>
        <x:v>255511.70889999997</x:v>
      </x:c>
      <x:c r="J246" t="n">
        <x:v>3.409</x:v>
      </x:c>
    </x:row>
    <x:row r="247">
      <x:c r="A247" s="3" t="n">
        <x:v>2023</x:v>
      </x:c>
      <x:c r="B247" s="2" t="str">
        <x:v>Junio</x:v>
      </x:c>
      <x:c r="C247" s="2" t="str">
        <x:v>RE-001136-1</x:v>
      </x:c>
      <x:c r="D247" s="2" t="str">
        <x:v>P.E. PAXAREIRAS II-C (VIRXE DO MONTE)</x:v>
      </x:c>
      <x:c r="E247" s="4" t="n">
        <x:v>3.624</x:v>
      </x:c>
      <x:c r="F247" s="4" t="n">
        <x:f>J247*0.97</x:f>
        <x:v>3.4512599999999996</x:v>
      </x:c>
      <x:c r="G247" s="4" t="n">
        <x:v>19.2</x:v>
      </x:c>
      <x:c r="H247" s="4" t="n">
        <x:v>93.02</x:v>
      </x:c>
      <x:c r="I247" s="5" t="n">
        <x:f t="shared" si="3">F247*1000*H247</x:f>
        <x:v>321036.20519999997</x:v>
      </x:c>
      <x:c r="J247" t="n">
        <x:v>3.558</x:v>
      </x:c>
    </x:row>
    <x:row r="248">
      <x:c r="A248" s="3" t="n">
        <x:v>2023</x:v>
      </x:c>
      <x:c r="B248" s="2" t="str">
        <x:v>Julio</x:v>
      </x:c>
      <x:c r="C248" s="2" t="str">
        <x:v>RE-001136-1</x:v>
      </x:c>
      <x:c r="D248" s="2" t="str">
        <x:v>P.E. PAXAREIRAS II-C (VIRXE DO MONTE)</x:v>
      </x:c>
      <x:c r="E248" s="4" t="n">
        <x:v>2.661</x:v>
      </x:c>
      <x:c r="F248" s="4" t="n">
        <x:f>J248*1.04</x:f>
        <x:v>2.69984</x:v>
      </x:c>
      <x:c r="G248" s="4" t="n">
        <x:v>19.2</x:v>
      </x:c>
      <x:c r="H248" s="4" t="n">
        <x:v>90.47</x:v>
      </x:c>
      <x:c r="I248" s="5" t="n">
        <x:f t="shared" si="3">F248*1000*H248</x:f>
        <x:v>244254.5248</x:v>
      </x:c>
      <x:c r="J248" t="n">
        <x:v>2.596</x:v>
      </x:c>
    </x:row>
    <x:row r="249">
      <x:c r="A249" s="3" t="n">
        <x:v>2023</x:v>
      </x:c>
      <x:c r="B249" s="2" t="str">
        <x:v>Agosto</x:v>
      </x:c>
      <x:c r="C249" s="2" t="str">
        <x:v>RE-001136-1</x:v>
      </x:c>
      <x:c r="D249" s="2" t="str">
        <x:v>P.E. PAXAREIRAS II-C (VIRXE DO MONTE)</x:v>
      </x:c>
      <x:c r="E249" s="4" t="n">
        <x:v>3.574</x:v>
      </x:c>
      <x:c r="F249" s="4" t="n">
        <x:f>J249*1</x:f>
        <x:v>3.519</x:v>
      </x:c>
      <x:c r="G249" s="4" t="n">
        <x:v>19.2</x:v>
      </x:c>
      <x:c r="H249" s="4" t="n">
        <x:v>96.05</x:v>
      </x:c>
      <x:c r="I249" s="5" t="n">
        <x:f t="shared" si="3">F249*1000*H249</x:f>
        <x:v>337999.95</x:v>
      </x:c>
      <x:c r="J249" t="n">
        <x:v>3.519</x:v>
      </x:c>
    </x:row>
    <x:row r="250">
      <x:c r="A250" s="3" t="n">
        <x:v>2023</x:v>
      </x:c>
      <x:c r="B250" s="2" t="str">
        <x:v>Septiembre</x:v>
      </x:c>
      <x:c r="C250" s="2" t="str">
        <x:v>RE-001136-1</x:v>
      </x:c>
      <x:c r="D250" s="2" t="str">
        <x:v>P.E. PAXAREIRAS II-C (VIRXE DO MONTE)</x:v>
      </x:c>
      <x:c r="E250" s="4" t="n">
        <x:v>3.764</x:v>
      </x:c>
      <x:c r="F250" s="4" t="n">
        <x:f>J250*0.96</x:f>
        <x:v>3.52608</x:v>
      </x:c>
      <x:c r="G250" s="4" t="n">
        <x:v>19.2</x:v>
      </x:c>
      <x:c r="H250" s="4" t="n">
        <x:v>103.34</x:v>
      </x:c>
      <x:c r="I250" s="5" t="n">
        <x:f t="shared" si="3">F250*1000*H250</x:f>
        <x:v>364385.1072</x:v>
      </x:c>
      <x:c r="J250" t="n">
        <x:v>3.673</x:v>
      </x:c>
    </x:row>
    <x:row r="251">
      <x:c r="A251" s="3" t="n">
        <x:v>2023</x:v>
      </x:c>
      <x:c r="B251" s="2" t="str">
        <x:v>Octubre</x:v>
      </x:c>
      <x:c r="C251" s="2" t="str">
        <x:v>RE-001136-1</x:v>
      </x:c>
      <x:c r="D251" s="2" t="str">
        <x:v>P.E. PAXAREIRAS II-C (VIRXE DO MONTE)</x:v>
      </x:c>
      <x:c r="E251" s="4" t="n">
        <x:v>4.053</x:v>
      </x:c>
      <x:c r="F251" s="4" t="n">
        <x:f>J251*1.03</x:f>
        <x:v>4.06747</x:v>
      </x:c>
      <x:c r="G251" s="4" t="n">
        <x:v>19.2</x:v>
      </x:c>
      <x:c r="H251" s="4" t="n">
        <x:v>90.14</x:v>
      </x:c>
      <x:c r="I251" s="5" t="n">
        <x:f t="shared" si="3">F251*1000*H251</x:f>
        <x:v>366641.74580000003</x:v>
      </x:c>
      <x:c r="J251" t="n">
        <x:v>3.949</x:v>
      </x:c>
    </x:row>
    <x:row r="252">
      <x:c r="A252" s="3" t="n">
        <x:v>2023</x:v>
      </x:c>
      <x:c r="B252" s="2" t="str">
        <x:v>Noviembre</x:v>
      </x:c>
      <x:c r="C252" s="2" t="str">
        <x:v>RE-001136-1</x:v>
      </x:c>
      <x:c r="D252" s="2" t="str">
        <x:v>P.E. PAXAREIRAS II-C (VIRXE DO MONTE)</x:v>
      </x:c>
      <x:c r="E252" s="4" t="n">
        <x:v>5.441</x:v>
      </x:c>
      <x:c r="F252" s="4" t="n">
        <x:f>J252*0.99</x:f>
        <x:v>5.26878</x:v>
      </x:c>
      <x:c r="G252" s="4" t="n">
        <x:v>19.2</x:v>
      </x:c>
      <x:c r="H252" s="4" t="n">
        <x:v>63.45</x:v>
      </x:c>
      <x:c r="I252" s="5" t="n">
        <x:f t="shared" si="3">F252*1000*H252</x:f>
        <x:v>334304.091</x:v>
      </x:c>
      <x:c r="J252" t="n">
        <x:v>5.322</x:v>
      </x:c>
    </x:row>
    <x:row r="253">
      <x:c r="A253" s="3" t="n">
        <x:v>2023</x:v>
      </x:c>
      <x:c r="B253" s="2" t="str">
        <x:v>Diciembre</x:v>
      </x:c>
      <x:c r="C253" s="2" t="str">
        <x:v>RE-001136-1</x:v>
      </x:c>
      <x:c r="D253" s="2" t="str">
        <x:v>P.E. PAXAREIRAS II-C (VIRXE DO MONTE)</x:v>
      </x:c>
      <x:c r="E253" s="4" t="n">
        <x:v>5.582</x:v>
      </x:c>
      <x:c r="F253" s="4" t="n">
        <x:f>J253*0.95</x:f>
        <x:v>5.16705</x:v>
      </x:c>
      <x:c r="G253" s="4" t="n">
        <x:v>19.2</x:v>
      </x:c>
      <x:c r="H253" s="4" t="n">
        <x:v>72.17</x:v>
      </x:c>
      <x:c r="I253" s="5" t="n">
        <x:f t="shared" si="3">F253*1000*H253</x:f>
        <x:v>372905.9984999999</x:v>
      </x:c>
      <x:c r="J253" t="n">
        <x:v>5.439</x:v>
      </x:c>
    </x:row>
    <x:row r="254">
      <x:c r="A254" s="3" t="n">
        <x:v>2023</x:v>
      </x:c>
      <x:c r="B254" s="2" t="str">
        <x:v>Enero</x:v>
      </x:c>
      <x:c r="C254" s="2" t="str">
        <x:v>RE-001138-1</x:v>
      </x:c>
      <x:c r="D254" s="2" t="str">
        <x:v>P. E. DE MALPICA</x:v>
      </x:c>
      <x:c r="E254" s="4" t="n">
        <x:v>4.131</x:v>
      </x:c>
      <x:c r="F254" s="4" t="n">
        <x:f>J254*1.02</x:f>
        <x:v>4.12488</x:v>
      </x:c>
      <x:c r="G254" s="4" t="n">
        <x:v>16.45</x:v>
      </x:c>
      <x:c r="H254" s="4" t="n">
        <x:v>69.55</x:v>
      </x:c>
      <x:c r="I254" s="5" t="n">
        <x:f t="shared" si="3">F254*1000*H254</x:f>
        <x:v>286885.404</x:v>
      </x:c>
      <x:c r="J254" t="n">
        <x:v>4.044</x:v>
      </x:c>
    </x:row>
    <x:row r="255">
      <x:c r="A255" s="3" t="n">
        <x:v>2023</x:v>
      </x:c>
      <x:c r="B255" s="2" t="str">
        <x:v>Febrero</x:v>
      </x:c>
      <x:c r="C255" s="2" t="str">
        <x:v>RE-001138-1</x:v>
      </x:c>
      <x:c r="D255" s="2" t="str">
        <x:v>P. E. DE MALPICA</x:v>
      </x:c>
      <x:c r="E255" s="4" t="n">
        <x:v>4.266</x:v>
      </x:c>
      <x:c r="F255" s="4" t="n">
        <x:f>J255*0.98</x:f>
        <x:v>4.09738</x:v>
      </x:c>
      <x:c r="G255" s="4" t="n">
        <x:v>16.45</x:v>
      </x:c>
      <x:c r="H255" s="4" t="n">
        <x:v>133.47</x:v>
      </x:c>
      <x:c r="I255" s="5" t="n">
        <x:f t="shared" si="3">F255*1000*H255</x:f>
        <x:v>546877.3086</x:v>
      </x:c>
      <x:c r="J255" t="n">
        <x:v>4.181</x:v>
      </x:c>
    </x:row>
    <x:row r="256">
      <x:c r="A256" s="3" t="n">
        <x:v>2023</x:v>
      </x:c>
      <x:c r="B256" s="2" t="str">
        <x:v>Marzo</x:v>
      </x:c>
      <x:c r="C256" s="2" t="str">
        <x:v>RE-001138-1</x:v>
      </x:c>
      <x:c r="D256" s="2" t="str">
        <x:v>P. E. DE MALPICA</x:v>
      </x:c>
      <x:c r="E256" s="4" t="n">
        <x:v>4.234</x:v>
      </x:c>
      <x:c r="F256" s="4" t="n">
        <x:f>J256*0.94</x:f>
        <x:v>3.8915999999999995</x:v>
      </x:c>
      <x:c r="G256" s="4" t="n">
        <x:v>16.45</x:v>
      </x:c>
      <x:c r="H256" s="4" t="n">
        <x:v>89.61</x:v>
      </x:c>
      <x:c r="I256" s="5" t="n">
        <x:f t="shared" si="3">F256*1000*H256</x:f>
        <x:v>348726.27599999995</x:v>
      </x:c>
      <x:c r="J256" t="n">
        <x:v>4.14</x:v>
      </x:c>
    </x:row>
    <x:row r="257">
      <x:c r="A257" s="3" t="n">
        <x:v>2023</x:v>
      </x:c>
      <x:c r="B257" s="2" t="str">
        <x:v>Abril</x:v>
      </x:c>
      <x:c r="C257" s="2" t="str">
        <x:v>RE-001138-1</x:v>
      </x:c>
      <x:c r="D257" s="2" t="str">
        <x:v>P. E. DE MALPICA</x:v>
      </x:c>
      <x:c r="E257" s="4" t="n">
        <x:v>3.561</x:v>
      </x:c>
      <x:c r="F257" s="4" t="n">
        <x:f>J257*1.01</x:f>
        <x:v>3.54005</x:v>
      </x:c>
      <x:c r="G257" s="4" t="n">
        <x:v>16.45</x:v>
      </x:c>
      <x:c r="H257" s="4" t="n">
        <x:v>73.73</x:v>
      </x:c>
      <x:c r="I257" s="5" t="n">
        <x:f t="shared" si="3">F257*1000*H257</x:f>
        <x:v>261007.8865</x:v>
      </x:c>
      <x:c r="J257" t="n">
        <x:v>3.505</x:v>
      </x:c>
    </x:row>
    <x:row r="258">
      <x:c r="A258" s="3" t="n">
        <x:v>2023</x:v>
      </x:c>
      <x:c r="B258" s="2" t="str">
        <x:v>Mayo</x:v>
      </x:c>
      <x:c r="C258" s="2" t="str">
        <x:v>RE-001138-1</x:v>
      </x:c>
      <x:c r="D258" s="2" t="str">
        <x:v>P. E. DE MALPICA</x:v>
      </x:c>
      <x:c r="E258" s="4" t="n">
        <x:v>3.114</x:v>
      </x:c>
      <x:c r="F258" s="4" t="n">
        <x:f>J258*0.97</x:f>
        <x:v>2.92649</x:v>
      </x:c>
      <x:c r="G258" s="4" t="n">
        <x:v>16.45</x:v>
      </x:c>
      <x:c r="H258" s="4" t="n">
        <x:v>74.21</x:v>
      </x:c>
      <x:c r="I258" s="5" t="n">
        <x:f t="shared" ref="I258:I321" si="4">F258*1000*H258</x:f>
        <x:v>217174.82289999997</x:v>
      </x:c>
      <x:c r="J258" t="n">
        <x:v>3.017</x:v>
      </x:c>
    </x:row>
    <x:row r="259">
      <x:c r="A259" s="3" t="n">
        <x:v>2023</x:v>
      </x:c>
      <x:c r="B259" s="2" t="str">
        <x:v>Junio</x:v>
      </x:c>
      <x:c r="C259" s="2" t="str">
        <x:v>RE-001138-1</x:v>
      </x:c>
      <x:c r="D259" s="2" t="str">
        <x:v>P. E. DE MALPICA</x:v>
      </x:c>
      <x:c r="E259" s="4" t="n">
        <x:v>2.194</x:v>
      </x:c>
      <x:c r="F259" s="4" t="n">
        <x:f>J259*1.04</x:f>
        <x:v>2.2328799999999998</x:v>
      </x:c>
      <x:c r="G259" s="4" t="n">
        <x:v>16.45</x:v>
      </x:c>
      <x:c r="H259" s="4" t="n">
        <x:v>93.02</x:v>
      </x:c>
      <x:c r="I259" s="5" t="n">
        <x:f t="shared" si="4">F259*1000*H259</x:f>
        <x:v>207702.49759999997</x:v>
      </x:c>
      <x:c r="J259" t="n">
        <x:v>2.147</x:v>
      </x:c>
    </x:row>
    <x:row r="260">
      <x:c r="A260" s="3" t="n">
        <x:v>2023</x:v>
      </x:c>
      <x:c r="B260" s="2" t="str">
        <x:v>Julio</x:v>
      </x:c>
      <x:c r="C260" s="2" t="str">
        <x:v>RE-001138-1</x:v>
      </x:c>
      <x:c r="D260" s="2" t="str">
        <x:v>P. E. DE MALPICA</x:v>
      </x:c>
      <x:c r="E260" s="4" t="n">
        <x:v>2.101</x:v>
      </x:c>
      <x:c r="F260" s="4" t="n">
        <x:f>J260*1</x:f>
        <x:v>2.049</x:v>
      </x:c>
      <x:c r="G260" s="4" t="n">
        <x:v>16.45</x:v>
      </x:c>
      <x:c r="H260" s="4" t="n">
        <x:v>90.47</x:v>
      </x:c>
      <x:c r="I260" s="5" t="n">
        <x:f t="shared" si="4">F260*1000*H260</x:f>
        <x:v>185373.03</x:v>
      </x:c>
      <x:c r="J260" t="n">
        <x:v>2.049</x:v>
      </x:c>
    </x:row>
    <x:row r="261">
      <x:c r="A261" s="3" t="n">
        <x:v>2023</x:v>
      </x:c>
      <x:c r="B261" s="2" t="str">
        <x:v>Agosto</x:v>
      </x:c>
      <x:c r="C261" s="2" t="str">
        <x:v>RE-001138-1</x:v>
      </x:c>
      <x:c r="D261" s="2" t="str">
        <x:v>P. E. DE MALPICA</x:v>
      </x:c>
      <x:c r="E261" s="4" t="n">
        <x:v>2.422</x:v>
      </x:c>
      <x:c r="F261" s="4" t="n">
        <x:f>J261*0.96</x:f>
        <x:v>2.28672</x:v>
      </x:c>
      <x:c r="G261" s="4" t="n">
        <x:v>16.45</x:v>
      </x:c>
      <x:c r="H261" s="4" t="n">
        <x:v>96.05</x:v>
      </x:c>
      <x:c r="I261" s="5" t="n">
        <x:f t="shared" si="4">F261*1000*H261</x:f>
        <x:v>219639.45599999998</x:v>
      </x:c>
      <x:c r="J261" t="n">
        <x:v>2.382</x:v>
      </x:c>
    </x:row>
    <x:row r="262">
      <x:c r="A262" s="3" t="n">
        <x:v>2023</x:v>
      </x:c>
      <x:c r="B262" s="2" t="str">
        <x:v>Septiembre</x:v>
      </x:c>
      <x:c r="C262" s="2" t="str">
        <x:v>RE-001138-1</x:v>
      </x:c>
      <x:c r="D262" s="2" t="str">
        <x:v>P. E. DE MALPICA</x:v>
      </x:c>
      <x:c r="E262" s="4" t="n">
        <x:v>3.196</x:v>
      </x:c>
      <x:c r="F262" s="4" t="n">
        <x:f>J262*1.03</x:f>
        <x:v>3.2414099999999997</x:v>
      </x:c>
      <x:c r="G262" s="4" t="n">
        <x:v>16.45</x:v>
      </x:c>
      <x:c r="H262" s="4" t="n">
        <x:v>103.34</x:v>
      </x:c>
      <x:c r="I262" s="5" t="n">
        <x:f t="shared" si="4">F262*1000*H262</x:f>
        <x:v>334967.30939999997</x:v>
      </x:c>
      <x:c r="J262" t="n">
        <x:v>3.147</x:v>
      </x:c>
    </x:row>
    <x:row r="263">
      <x:c r="A263" s="3" t="n">
        <x:v>2023</x:v>
      </x:c>
      <x:c r="B263" s="2" t="str">
        <x:v>Octubre</x:v>
      </x:c>
      <x:c r="C263" s="2" t="str">
        <x:v>RE-001138-1</x:v>
      </x:c>
      <x:c r="D263" s="2" t="str">
        <x:v>P. E. DE MALPICA</x:v>
      </x:c>
      <x:c r="E263" s="4" t="n">
        <x:v>3.98</x:v>
      </x:c>
      <x:c r="F263" s="4" t="n">
        <x:f>J263*0.99</x:f>
        <x:v>3.87189</x:v>
      </x:c>
      <x:c r="G263" s="4" t="n">
        <x:v>16.45</x:v>
      </x:c>
      <x:c r="H263" s="4" t="n">
        <x:v>90.14</x:v>
      </x:c>
      <x:c r="I263" s="5" t="n">
        <x:f t="shared" si="4">F263*1000*H263</x:f>
        <x:v>349012.1646</x:v>
      </x:c>
      <x:c r="J263" t="n">
        <x:v>3.911</x:v>
      </x:c>
    </x:row>
    <x:row r="264">
      <x:c r="A264" s="3" t="n">
        <x:v>2023</x:v>
      </x:c>
      <x:c r="B264" s="2" t="str">
        <x:v>Noviembre</x:v>
      </x:c>
      <x:c r="C264" s="2" t="str">
        <x:v>RE-001138-1</x:v>
      </x:c>
      <x:c r="D264" s="2" t="str">
        <x:v>P. E. DE MALPICA</x:v>
      </x:c>
      <x:c r="E264" s="4" t="n">
        <x:v>4.702</x:v>
      </x:c>
      <x:c r="F264" s="4" t="n">
        <x:f>J264*0.95</x:f>
        <x:v>4.389</x:v>
      </x:c>
      <x:c r="G264" s="4" t="n">
        <x:v>16.45</x:v>
      </x:c>
      <x:c r="H264" s="4" t="n">
        <x:v>63.45</x:v>
      </x:c>
      <x:c r="I264" s="5" t="n">
        <x:f t="shared" si="4">F264*1000*H264</x:f>
        <x:v>278482.05</x:v>
      </x:c>
      <x:c r="J264" t="n">
        <x:v>4.62</x:v>
      </x:c>
    </x:row>
    <x:row r="265">
      <x:c r="A265" s="3" t="n">
        <x:v>2023</x:v>
      </x:c>
      <x:c r="B265" s="2" t="str">
        <x:v>Diciembre</x:v>
      </x:c>
      <x:c r="C265" s="2" t="str">
        <x:v>RE-001138-1</x:v>
      </x:c>
      <x:c r="D265" s="2" t="str">
        <x:v>P. E. DE MALPICA</x:v>
      </x:c>
      <x:c r="E265" s="4" t="n">
        <x:v>4.139</x:v>
      </x:c>
      <x:c r="F265" s="4" t="n">
        <x:f>J265*1.02</x:f>
        <x:v>4.11672</x:v>
      </x:c>
      <x:c r="G265" s="4" t="n">
        <x:v>16.45</x:v>
      </x:c>
      <x:c r="H265" s="4" t="n">
        <x:v>72.17</x:v>
      </x:c>
      <x:c r="I265" s="5" t="n">
        <x:f t="shared" si="4">F265*1000*H265</x:f>
        <x:v>297103.68240000005</x:v>
      </x:c>
      <x:c r="J265" t="n">
        <x:v>4.036</x:v>
      </x:c>
    </x:row>
    <x:row r="266">
      <x:c r="A266" s="3" t="n">
        <x:v>2023</x:v>
      </x:c>
      <x:c r="B266" s="2" t="str">
        <x:v>Enero</x:v>
      </x:c>
      <x:c r="C266" s="2" t="str">
        <x:v>RE-001153-1</x:v>
      </x:c>
      <x:c r="D266" s="2" t="str">
        <x:v>PARQUE EOLICO DE PAXAREIRAS IIF (A RUÑA)</x:v>
      </x:c>
      <x:c r="E266" s="4" t="n">
        <x:v>7.182</x:v>
      </x:c>
      <x:c r="F266" s="4" t="n">
        <x:f>J266*0.98</x:f>
        <x:v>6.86784</x:v>
      </x:c>
      <x:c r="G266" s="4" t="n">
        <x:v>24.6</x:v>
      </x:c>
      <x:c r="H266" s="4" t="n">
        <x:v>69.55</x:v>
      </x:c>
      <x:c r="I266" s="5" t="n">
        <x:f t="shared" si="4">F266*1000*H266</x:f>
        <x:v>477658.272</x:v>
      </x:c>
      <x:c r="J266" t="n">
        <x:v>7.008</x:v>
      </x:c>
    </x:row>
    <x:row r="267">
      <x:c r="A267" s="3" t="n">
        <x:v>2023</x:v>
      </x:c>
      <x:c r="B267" s="2" t="str">
        <x:v>Febrero</x:v>
      </x:c>
      <x:c r="C267" s="2" t="str">
        <x:v>RE-001153-1</x:v>
      </x:c>
      <x:c r="D267" s="2" t="str">
        <x:v>PARQUE EOLICO DE PAXAREIRAS IIF (A RUÑA)</x:v>
      </x:c>
      <x:c r="E267" s="4" t="n">
        <x:v>5.077</x:v>
      </x:c>
      <x:c r="F267" s="4" t="n">
        <x:f>J267*0.94</x:f>
        <x:v>4.69154</x:v>
      </x:c>
      <x:c r="G267" s="4" t="n">
        <x:v>24.6</x:v>
      </x:c>
      <x:c r="H267" s="4" t="n">
        <x:v>133.47</x:v>
      </x:c>
      <x:c r="I267" s="5" t="n">
        <x:f t="shared" si="4">F267*1000*H267</x:f>
        <x:v>626179.8438</x:v>
      </x:c>
      <x:c r="J267" t="n">
        <x:v>4.991</x:v>
      </x:c>
    </x:row>
    <x:row r="268">
      <x:c r="A268" s="3" t="n">
        <x:v>2023</x:v>
      </x:c>
      <x:c r="B268" s="2" t="str">
        <x:v>Marzo</x:v>
      </x:c>
      <x:c r="C268" s="2" t="str">
        <x:v>RE-001153-1</x:v>
      </x:c>
      <x:c r="D268" s="2" t="str">
        <x:v>PARQUE EOLICO DE PAXAREIRAS IIF (A RUÑA)</x:v>
      </x:c>
      <x:c r="E268" s="4" t="n">
        <x:v>6.269</x:v>
      </x:c>
      <x:c r="F268" s="4" t="n">
        <x:f>J268*1.01</x:f>
        <x:v>6.2216000000000005</x:v>
      </x:c>
      <x:c r="G268" s="4" t="n">
        <x:v>24.6</x:v>
      </x:c>
      <x:c r="H268" s="4" t="n">
        <x:v>89.61</x:v>
      </x:c>
      <x:c r="I268" s="5" t="n">
        <x:f t="shared" si="4">F268*1000*H268</x:f>
        <x:v>557517.576</x:v>
      </x:c>
      <x:c r="J268" t="n">
        <x:v>6.16</x:v>
      </x:c>
    </x:row>
    <x:row r="269">
      <x:c r="A269" s="3" t="n">
        <x:v>2023</x:v>
      </x:c>
      <x:c r="B269" s="2" t="str">
        <x:v>Abril</x:v>
      </x:c>
      <x:c r="C269" s="2" t="str">
        <x:v>RE-001153-1</x:v>
      </x:c>
      <x:c r="D269" s="2" t="str">
        <x:v>PARQUE EOLICO DE PAXAREIRAS IIF (A RUÑA)</x:v>
      </x:c>
      <x:c r="E269" s="4" t="n">
        <x:v>4.991</x:v>
      </x:c>
      <x:c r="F269" s="4" t="n">
        <x:f>J269*0.97</x:f>
        <x:v>4.69577</x:v>
      </x:c>
      <x:c r="G269" s="4" t="n">
        <x:v>24.6</x:v>
      </x:c>
      <x:c r="H269" s="4" t="n">
        <x:v>73.73</x:v>
      </x:c>
      <x:c r="I269" s="5" t="n">
        <x:f t="shared" si="4">F269*1000*H269</x:f>
        <x:v>346219.12210000004</x:v>
      </x:c>
      <x:c r="J269" t="n">
        <x:v>4.841</x:v>
      </x:c>
    </x:row>
    <x:row r="270">
      <x:c r="A270" s="3" t="n">
        <x:v>2023</x:v>
      </x:c>
      <x:c r="B270" s="2" t="str">
        <x:v>Mayo</x:v>
      </x:c>
      <x:c r="C270" s="2" t="str">
        <x:v>RE-001153-1</x:v>
      </x:c>
      <x:c r="D270" s="2" t="str">
        <x:v>PARQUE EOLICO DE PAXAREIRAS IIF (A RUÑA)</x:v>
      </x:c>
      <x:c r="E270" s="4" t="n">
        <x:v>3.725</x:v>
      </x:c>
      <x:c r="F270" s="4" t="n">
        <x:f>J270*1.04</x:f>
        <x:v>3.80328</x:v>
      </x:c>
      <x:c r="G270" s="4" t="n">
        <x:v>24.6</x:v>
      </x:c>
      <x:c r="H270" s="4" t="n">
        <x:v>74.21</x:v>
      </x:c>
      <x:c r="I270" s="5" t="n">
        <x:f t="shared" si="4">F270*1000*H270</x:f>
        <x:v>282241.4088</x:v>
      </x:c>
      <x:c r="J270" t="n">
        <x:v>3.657</x:v>
      </x:c>
    </x:row>
    <x:row r="271">
      <x:c r="A271" s="3" t="n">
        <x:v>2023</x:v>
      </x:c>
      <x:c r="B271" s="2" t="str">
        <x:v>Junio</x:v>
      </x:c>
      <x:c r="C271" s="2" t="str">
        <x:v>RE-001153-1</x:v>
      </x:c>
      <x:c r="D271" s="2" t="str">
        <x:v>PARQUE EOLICO DE PAXAREIRAS IIF (A RUÑA)</x:v>
      </x:c>
      <x:c r="E271" s="4" t="n">
        <x:v>3.948</x:v>
      </x:c>
      <x:c r="F271" s="4" t="n">
        <x:f>J271*1</x:f>
        <x:v>3.873</x:v>
      </x:c>
      <x:c r="G271" s="4" t="n">
        <x:v>24.6</x:v>
      </x:c>
      <x:c r="H271" s="4" t="n">
        <x:v>93.02</x:v>
      </x:c>
      <x:c r="I271" s="5" t="n">
        <x:f t="shared" si="4">F271*1000*H271</x:f>
        <x:v>360266.45999999996</x:v>
      </x:c>
      <x:c r="J271" t="n">
        <x:v>3.873</x:v>
      </x:c>
    </x:row>
    <x:row r="272">
      <x:c r="A272" s="3" t="n">
        <x:v>2023</x:v>
      </x:c>
      <x:c r="B272" s="2" t="str">
        <x:v>Julio</x:v>
      </x:c>
      <x:c r="C272" s="2" t="str">
        <x:v>RE-001153-1</x:v>
      </x:c>
      <x:c r="D272" s="2" t="str">
        <x:v>PARQUE EOLICO DE PAXAREIRAS IIF (A RUÑA)</x:v>
      </x:c>
      <x:c r="E272" s="4" t="n">
        <x:v>3.029</x:v>
      </x:c>
      <x:c r="F272" s="4" t="n">
        <x:f>J272*0.96</x:f>
        <x:v>2.84544</x:v>
      </x:c>
      <x:c r="G272" s="4" t="n">
        <x:v>24.6</x:v>
      </x:c>
      <x:c r="H272" s="4" t="n">
        <x:v>90.47</x:v>
      </x:c>
      <x:c r="I272" s="5" t="n">
        <x:f t="shared" si="4">F272*1000*H272</x:f>
        <x:v>257426.9568</x:v>
      </x:c>
      <x:c r="J272" t="n">
        <x:v>2.964</x:v>
      </x:c>
    </x:row>
    <x:row r="273">
      <x:c r="A273" s="3" t="n">
        <x:v>2023</x:v>
      </x:c>
      <x:c r="B273" s="2" t="str">
        <x:v>Agosto</x:v>
      </x:c>
      <x:c r="C273" s="2" t="str">
        <x:v>RE-001153-1</x:v>
      </x:c>
      <x:c r="D273" s="2" t="str">
        <x:v>PARQUE EOLICO DE PAXAREIRAS IIF (A RUÑA)</x:v>
      </x:c>
      <x:c r="E273" s="4" t="n">
        <x:v>3.232</x:v>
      </x:c>
      <x:c r="F273" s="4" t="n">
        <x:f>J273*1.03</x:f>
        <x:v>3.2692200000000002</x:v>
      </x:c>
      <x:c r="G273" s="4" t="n">
        <x:v>24.6</x:v>
      </x:c>
      <x:c r="H273" s="4" t="n">
        <x:v>96.05</x:v>
      </x:c>
      <x:c r="I273" s="5" t="n">
        <x:f t="shared" si="4">F273*1000*H273</x:f>
        <x:v>314008.581</x:v>
      </x:c>
      <x:c r="J273" t="n">
        <x:v>3.174</x:v>
      </x:c>
    </x:row>
    <x:row r="274">
      <x:c r="A274" s="3" t="n">
        <x:v>2023</x:v>
      </x:c>
      <x:c r="B274" s="2" t="str">
        <x:v>Septiembre</x:v>
      </x:c>
      <x:c r="C274" s="2" t="str">
        <x:v>RE-001153-1</x:v>
      </x:c>
      <x:c r="D274" s="2" t="str">
        <x:v>PARQUE EOLICO DE PAXAREIRAS IIF (A RUÑA)</x:v>
      </x:c>
      <x:c r="E274" s="4" t="n">
        <x:v>4.417</x:v>
      </x:c>
      <x:c r="F274" s="4" t="n">
        <x:f>J274*0.99</x:f>
        <x:v>4.30056</x:v>
      </x:c>
      <x:c r="G274" s="4" t="n">
        <x:v>24.6</x:v>
      </x:c>
      <x:c r="H274" s="4" t="n">
        <x:v>103.34</x:v>
      </x:c>
      <x:c r="I274" s="5" t="n">
        <x:f t="shared" si="4">F274*1000*H274</x:f>
        <x:v>444419.87039999996</x:v>
      </x:c>
      <x:c r="J274" t="n">
        <x:v>4.344</x:v>
      </x:c>
    </x:row>
    <x:row r="275">
      <x:c r="A275" s="3" t="n">
        <x:v>2023</x:v>
      </x:c>
      <x:c r="B275" s="2" t="str">
        <x:v>Octubre</x:v>
      </x:c>
      <x:c r="C275" s="2" t="str">
        <x:v>RE-001153-1</x:v>
      </x:c>
      <x:c r="D275" s="2" t="str">
        <x:v>PARQUE EOLICO DE PAXAREIRAS IIF (A RUÑA)</x:v>
      </x:c>
      <x:c r="E275" s="4" t="n">
        <x:v>5.301</x:v>
      </x:c>
      <x:c r="F275" s="4" t="n">
        <x:f>J275*0.95</x:f>
        <x:v>4.920999999999999</x:v>
      </x:c>
      <x:c r="G275" s="4" t="n">
        <x:v>24.6</x:v>
      </x:c>
      <x:c r="H275" s="4" t="n">
        <x:v>90.14</x:v>
      </x:c>
      <x:c r="I275" s="5" t="n">
        <x:f t="shared" si="4">F275*1000*H275</x:f>
        <x:v>443578.93999999994</x:v>
      </x:c>
      <x:c r="J275" t="n">
        <x:v>5.18</x:v>
      </x:c>
    </x:row>
    <x:row r="276">
      <x:c r="A276" s="3" t="n">
        <x:v>2023</x:v>
      </x:c>
      <x:c r="B276" s="2" t="str">
        <x:v>Noviembre</x:v>
      </x:c>
      <x:c r="C276" s="2" t="str">
        <x:v>RE-001153-1</x:v>
      </x:c>
      <x:c r="D276" s="2" t="str">
        <x:v>PARQUE EOLICO DE PAXAREIRAS IIF (A RUÑA)</x:v>
      </x:c>
      <x:c r="E276" s="4" t="n">
        <x:v>5.216</x:v>
      </x:c>
      <x:c r="F276" s="4" t="n">
        <x:f>J276*1.02</x:f>
        <x:v>5.2122</x:v>
      </x:c>
      <x:c r="G276" s="4" t="n">
        <x:v>24.6</x:v>
      </x:c>
      <x:c r="H276" s="4" t="n">
        <x:v>63.45</x:v>
      </x:c>
      <x:c r="I276" s="5" t="n">
        <x:f t="shared" si="4">F276*1000*H276</x:f>
        <x:v>330714.09</x:v>
      </x:c>
      <x:c r="J276" t="n">
        <x:v>5.11</x:v>
      </x:c>
    </x:row>
    <x:row r="277">
      <x:c r="A277" s="3" t="n">
        <x:v>2023</x:v>
      </x:c>
      <x:c r="B277" s="2" t="str">
        <x:v>Diciembre</x:v>
      </x:c>
      <x:c r="C277" s="2" t="str">
        <x:v>RE-001153-1</x:v>
      </x:c>
      <x:c r="D277" s="2" t="str">
        <x:v>PARQUE EOLICO DE PAXAREIRAS IIF (A RUÑA)</x:v>
      </x:c>
      <x:c r="E277" s="4" t="n">
        <x:v>6.285</x:v>
      </x:c>
      <x:c r="F277" s="4" t="n">
        <x:f>J277*0.98</x:f>
        <x:v>6.06522</x:v>
      </x:c>
      <x:c r="G277" s="4" t="n">
        <x:v>24.6</x:v>
      </x:c>
      <x:c r="H277" s="4" t="n">
        <x:v>72.17</x:v>
      </x:c>
      <x:c r="I277" s="5" t="n">
        <x:f t="shared" si="4">F277*1000*H277</x:f>
        <x:v>437726.92740000004</x:v>
      </x:c>
      <x:c r="J277" t="n">
        <x:v>6.189</x:v>
      </x:c>
    </x:row>
    <x:row r="278">
      <x:c r="A278" s="3" t="n">
        <x:v>2023</x:v>
      </x:c>
      <x:c r="B278" s="2" t="str">
        <x:v>Enero</x:v>
      </x:c>
      <x:c r="C278" s="2" t="str">
        <x:v>RE-001405-1</x:v>
      </x:c>
      <x:c r="D278" s="2" t="str">
        <x:v>PARQUE EOLICO CORME G-3</x:v>
      </x:c>
      <x:c r="E278" s="4" t="n">
        <x:v>4.917</x:v>
      </x:c>
      <x:c r="F278" s="4" t="n">
        <x:f>J278*0.94</x:f>
        <x:v>4.5110600000000005</x:v>
      </x:c>
      <x:c r="G278" s="4" t="n">
        <x:v>18.3</x:v>
      </x:c>
      <x:c r="H278" s="4" t="n">
        <x:v>69.55</x:v>
      </x:c>
      <x:c r="I278" s="5" t="n">
        <x:f t="shared" si="4">F278*1000*H278</x:f>
        <x:v>313744.223</x:v>
      </x:c>
      <x:c r="J278" t="n">
        <x:v>4.799</x:v>
      </x:c>
    </x:row>
    <x:row r="279">
      <x:c r="A279" s="3" t="n">
        <x:v>2023</x:v>
      </x:c>
      <x:c r="B279" s="2" t="str">
        <x:v>Febrero</x:v>
      </x:c>
      <x:c r="C279" s="2" t="str">
        <x:v>RE-001405-1</x:v>
      </x:c>
      <x:c r="D279" s="2" t="str">
        <x:v>PARQUE EOLICO CORME G-3</x:v>
      </x:c>
      <x:c r="E279" s="4" t="n">
        <x:v>4.893</x:v>
      </x:c>
      <x:c r="F279" s="4" t="n">
        <x:f>J279*1.01</x:f>
        <x:v>4.85002</x:v>
      </x:c>
      <x:c r="G279" s="4" t="n">
        <x:v>18.3</x:v>
      </x:c>
      <x:c r="H279" s="4" t="n">
        <x:v>133.47</x:v>
      </x:c>
      <x:c r="I279" s="5" t="n">
        <x:f t="shared" si="4">F279*1000*H279</x:f>
        <x:v>647332.1693999999</x:v>
      </x:c>
      <x:c r="J279" t="n">
        <x:v>4.802</x:v>
      </x:c>
    </x:row>
    <x:row r="280">
      <x:c r="A280" s="3" t="n">
        <x:v>2023</x:v>
      </x:c>
      <x:c r="B280" s="2" t="str">
        <x:v>Marzo</x:v>
      </x:c>
      <x:c r="C280" s="2" t="str">
        <x:v>RE-001405-1</x:v>
      </x:c>
      <x:c r="D280" s="2" t="str">
        <x:v>PARQUE EOLICO CORME G-3</x:v>
      </x:c>
      <x:c r="E280" s="4" t="n">
        <x:v>5.298</x:v>
      </x:c>
      <x:c r="F280" s="4" t="n">
        <x:f>J280*0.97</x:f>
        <x:v>5.01296</x:v>
      </x:c>
      <x:c r="G280" s="4" t="n">
        <x:v>18.3</x:v>
      </x:c>
      <x:c r="H280" s="4" t="n">
        <x:v>89.61</x:v>
      </x:c>
      <x:c r="I280" s="5" t="n">
        <x:f t="shared" si="4">F280*1000*H280</x:f>
        <x:v>449211.3456</x:v>
      </x:c>
      <x:c r="J280" t="n">
        <x:v>5.168</x:v>
      </x:c>
    </x:row>
    <x:row r="281">
      <x:c r="A281" s="3" t="n">
        <x:v>2023</x:v>
      </x:c>
      <x:c r="B281" s="2" t="str">
        <x:v>Abril</x:v>
      </x:c>
      <x:c r="C281" s="2" t="str">
        <x:v>RE-001405-1</x:v>
      </x:c>
      <x:c r="D281" s="2" t="str">
        <x:v>PARQUE EOLICO CORME G-3</x:v>
      </x:c>
      <x:c r="E281" s="4" t="n">
        <x:v>3.632</x:v>
      </x:c>
      <x:c r="F281" s="4" t="n">
        <x:f>J281*1.04</x:f>
        <x:v>3.67848</x:v>
      </x:c>
      <x:c r="G281" s="4" t="n">
        <x:v>18.3</x:v>
      </x:c>
      <x:c r="H281" s="4" t="n">
        <x:v>73.73</x:v>
      </x:c>
      <x:c r="I281" s="5" t="n">
        <x:f t="shared" si="4">F281*1000*H281</x:f>
        <x:v>271214.33040000004</x:v>
      </x:c>
      <x:c r="J281" t="n">
        <x:v>3.537</x:v>
      </x:c>
    </x:row>
    <x:row r="282">
      <x:c r="A282" s="3" t="n">
        <x:v>2023</x:v>
      </x:c>
      <x:c r="B282" s="2" t="str">
        <x:v>Mayo</x:v>
      </x:c>
      <x:c r="C282" s="2" t="str">
        <x:v>RE-001405-1</x:v>
      </x:c>
      <x:c r="D282" s="2" t="str">
        <x:v>PARQUE EOLICO CORME G-3</x:v>
      </x:c>
      <x:c r="E282" s="4" t="n">
        <x:v>4.007</x:v>
      </x:c>
      <x:c r="F282" s="4" t="n">
        <x:f>J282*1</x:f>
        <x:v>3.882</x:v>
      </x:c>
      <x:c r="G282" s="4" t="n">
        <x:v>18.3</x:v>
      </x:c>
      <x:c r="H282" s="4" t="n">
        <x:v>74.21</x:v>
      </x:c>
      <x:c r="I282" s="5" t="n">
        <x:f t="shared" si="4">F282*1000*H282</x:f>
        <x:v>288083.22</x:v>
      </x:c>
      <x:c r="J282" t="n">
        <x:v>3.882</x:v>
      </x:c>
    </x:row>
    <x:row r="283">
      <x:c r="A283" s="3" t="n">
        <x:v>2023</x:v>
      </x:c>
      <x:c r="B283" s="2" t="str">
        <x:v>Junio</x:v>
      </x:c>
      <x:c r="C283" s="2" t="str">
        <x:v>RE-001405-1</x:v>
      </x:c>
      <x:c r="D283" s="2" t="str">
        <x:v>PARQUE EOLICO CORME G-3</x:v>
      </x:c>
      <x:c r="E283" s="4" t="n">
        <x:v>3.267</x:v>
      </x:c>
      <x:c r="F283" s="4" t="n">
        <x:f>J283*0.96</x:f>
        <x:v>3.08928</x:v>
      </x:c>
      <x:c r="G283" s="4" t="n">
        <x:v>18.3</x:v>
      </x:c>
      <x:c r="H283" s="4" t="n">
        <x:v>93.02</x:v>
      </x:c>
      <x:c r="I283" s="5" t="n">
        <x:f t="shared" si="4">F283*1000*H283</x:f>
        <x:v>287364.8256</x:v>
      </x:c>
      <x:c r="J283" t="n">
        <x:v>3.218</x:v>
      </x:c>
    </x:row>
    <x:row r="284">
      <x:c r="A284" s="3" t="n">
        <x:v>2023</x:v>
      </x:c>
      <x:c r="B284" s="2" t="str">
        <x:v>Julio</x:v>
      </x:c>
      <x:c r="C284" s="2" t="str">
        <x:v>RE-001405-1</x:v>
      </x:c>
      <x:c r="D284" s="2" t="str">
        <x:v>PARQUE EOLICO CORME G-3</x:v>
      </x:c>
      <x:c r="E284" s="4" t="n">
        <x:v>2.92</x:v>
      </x:c>
      <x:c r="F284" s="4" t="n">
        <x:f>J284*1.03</x:f>
        <x:v>2.92108</x:v>
      </x:c>
      <x:c r="G284" s="4" t="n">
        <x:v>18.3</x:v>
      </x:c>
      <x:c r="H284" s="4" t="n">
        <x:v>90.47</x:v>
      </x:c>
      <x:c r="I284" s="5" t="n">
        <x:f t="shared" si="4">F284*1000*H284</x:f>
        <x:v>264270.1076</x:v>
      </x:c>
      <x:c r="J284" t="n">
        <x:v>2.836</x:v>
      </x:c>
    </x:row>
    <x:row r="285">
      <x:c r="A285" s="3" t="n">
        <x:v>2023</x:v>
      </x:c>
      <x:c r="B285" s="2" t="str">
        <x:v>Agosto</x:v>
      </x:c>
      <x:c r="C285" s="2" t="str">
        <x:v>RE-001405-1</x:v>
      </x:c>
      <x:c r="D285" s="2" t="str">
        <x:v>PARQUE EOLICO CORME G-3</x:v>
      </x:c>
      <x:c r="E285" s="4" t="n">
        <x:v>3.109</x:v>
      </x:c>
      <x:c r="F285" s="4" t="n">
        <x:f>J285*0.99</x:f>
        <x:v>3.00861</x:v>
      </x:c>
      <x:c r="G285" s="4" t="n">
        <x:v>18.3</x:v>
      </x:c>
      <x:c r="H285" s="4" t="n">
        <x:v>96.05</x:v>
      </x:c>
      <x:c r="I285" s="5" t="n">
        <x:f t="shared" si="4">F285*1000*H285</x:f>
        <x:v>288976.9905</x:v>
      </x:c>
      <x:c r="J285" t="n">
        <x:v>3.039</x:v>
      </x:c>
    </x:row>
    <x:row r="286">
      <x:c r="A286" s="3" t="n">
        <x:v>2023</x:v>
      </x:c>
      <x:c r="B286" s="2" t="str">
        <x:v>Septiembre</x:v>
      </x:c>
      <x:c r="C286" s="2" t="str">
        <x:v>RE-001405-1</x:v>
      </x:c>
      <x:c r="D286" s="2" t="str">
        <x:v>PARQUE EOLICO CORME G-3</x:v>
      </x:c>
      <x:c r="E286" s="4" t="n">
        <x:v>2.97</x:v>
      </x:c>
      <x:c r="F286" s="4" t="n">
        <x:f>J286*0.95</x:f>
        <x:v>2.7512</x:v>
      </x:c>
      <x:c r="G286" s="4" t="n">
        <x:v>18.3</x:v>
      </x:c>
      <x:c r="H286" s="4" t="n">
        <x:v>103.34</x:v>
      </x:c>
      <x:c r="I286" s="5" t="n">
        <x:f t="shared" si="4">F286*1000*H286</x:f>
        <x:v>284309.008</x:v>
      </x:c>
      <x:c r="J286" t="n">
        <x:v>2.896</x:v>
      </x:c>
    </x:row>
    <x:row r="287">
      <x:c r="A287" s="3" t="n">
        <x:v>2023</x:v>
      </x:c>
      <x:c r="B287" s="2" t="str">
        <x:v>Octubre</x:v>
      </x:c>
      <x:c r="C287" s="2" t="str">
        <x:v>RE-001405-1</x:v>
      </x:c>
      <x:c r="D287" s="2" t="str">
        <x:v>PARQUE EOLICO CORME G-3</x:v>
      </x:c>
      <x:c r="E287" s="4" t="n">
        <x:v>4.274</x:v>
      </x:c>
      <x:c r="F287" s="4" t="n">
        <x:f>J287*1.02</x:f>
        <x:v>4.27686</x:v>
      </x:c>
      <x:c r="G287" s="4" t="n">
        <x:v>18.3</x:v>
      </x:c>
      <x:c r="H287" s="4" t="n">
        <x:v>90.14</x:v>
      </x:c>
      <x:c r="I287" s="5" t="n">
        <x:f t="shared" si="4">F287*1000*H287</x:f>
        <x:v>385516.1604</x:v>
      </x:c>
      <x:c r="J287" t="n">
        <x:v>4.193</x:v>
      </x:c>
    </x:row>
    <x:row r="288">
      <x:c r="A288" s="3" t="n">
        <x:v>2023</x:v>
      </x:c>
      <x:c r="B288" s="2" t="str">
        <x:v>Noviembre</x:v>
      </x:c>
      <x:c r="C288" s="2" t="str">
        <x:v>RE-001405-1</x:v>
      </x:c>
      <x:c r="D288" s="2" t="str">
        <x:v>PARQUE EOLICO CORME G-3</x:v>
      </x:c>
      <x:c r="E288" s="4" t="n">
        <x:v>4.453</x:v>
      </x:c>
      <x:c r="F288" s="4" t="n">
        <x:f>J288*0.98</x:f>
        <x:v>4.2826</x:v>
      </x:c>
      <x:c r="G288" s="4" t="n">
        <x:v>18.3</x:v>
      </x:c>
      <x:c r="H288" s="4" t="n">
        <x:v>63.45</x:v>
      </x:c>
      <x:c r="I288" s="5" t="n">
        <x:f t="shared" si="4">F288*1000*H288</x:f>
        <x:v>271730.97000000003</x:v>
      </x:c>
      <x:c r="J288" t="n">
        <x:v>4.37</x:v>
      </x:c>
    </x:row>
    <x:row r="289">
      <x:c r="A289" s="3" t="n">
        <x:v>2023</x:v>
      </x:c>
      <x:c r="B289" s="2" t="str">
        <x:v>Diciembre</x:v>
      </x:c>
      <x:c r="C289" s="2" t="str">
        <x:v>RE-001405-1</x:v>
      </x:c>
      <x:c r="D289" s="2" t="str">
        <x:v>PARQUE EOLICO CORME G-3</x:v>
      </x:c>
      <x:c r="E289" s="4" t="n">
        <x:v>5.456</x:v>
      </x:c>
      <x:c r="F289" s="4" t="n">
        <x:f>J289*0.94</x:f>
        <x:v>5.022419999999999</x:v>
      </x:c>
      <x:c r="G289" s="4" t="n">
        <x:v>18.3</x:v>
      </x:c>
      <x:c r="H289" s="4" t="n">
        <x:v>72.17</x:v>
      </x:c>
      <x:c r="I289" s="5" t="n">
        <x:f t="shared" si="4">F289*1000*H289</x:f>
        <x:v>362468.05139999994</x:v>
      </x:c>
      <x:c r="J289" t="n">
        <x:v>5.343</x:v>
      </x:c>
    </x:row>
    <x:row r="290">
      <x:c r="A290" s="3" t="n">
        <x:v>2023</x:v>
      </x:c>
      <x:c r="B290" s="2" t="str">
        <x:v>Enero</x:v>
      </x:c>
      <x:c r="C290" s="2" t="str">
        <x:v>RE-001466-1</x:v>
      </x:c>
      <x:c r="D290" s="2" t="str">
        <x:v>P.E. DE CAREON</x:v>
      </x:c>
      <x:c r="E290" s="4" t="n">
        <x:v>4.585</x:v>
      </x:c>
      <x:c r="F290" s="4" t="n">
        <x:f>J290*1.01</x:f>
        <x:v>4.54702</x:v>
      </x:c>
      <x:c r="G290" s="4" t="n">
        <x:v>18</x:v>
      </x:c>
      <x:c r="H290" s="4" t="n">
        <x:v>69.55</x:v>
      </x:c>
      <x:c r="I290" s="5" t="n">
        <x:f t="shared" si="4">F290*1000*H290</x:f>
        <x:v>316245.241</x:v>
      </x:c>
      <x:c r="J290" t="n">
        <x:v>4.502</x:v>
      </x:c>
    </x:row>
    <x:row r="291">
      <x:c r="A291" s="3" t="n">
        <x:v>2023</x:v>
      </x:c>
      <x:c r="B291" s="2" t="str">
        <x:v>Febrero</x:v>
      </x:c>
      <x:c r="C291" s="2" t="str">
        <x:v>RE-001466-1</x:v>
      </x:c>
      <x:c r="D291" s="2" t="str">
        <x:v>P.E. DE CAREON</x:v>
      </x:c>
      <x:c r="E291" s="4" t="n">
        <x:v>4.317</x:v>
      </x:c>
      <x:c r="F291" s="4" t="n">
        <x:f>J291*0.97</x:f>
        <x:v>4.06818</x:v>
      </x:c>
      <x:c r="G291" s="4" t="n">
        <x:v>18</x:v>
      </x:c>
      <x:c r="H291" s="4" t="n">
        <x:v>133.47</x:v>
      </x:c>
      <x:c r="I291" s="5" t="n">
        <x:f t="shared" si="4">F291*1000*H291</x:f>
        <x:v>542979.9846</x:v>
      </x:c>
      <x:c r="J291" t="n">
        <x:v>4.194</x:v>
      </x:c>
    </x:row>
    <x:row r="292">
      <x:c r="A292" s="3" t="n">
        <x:v>2023</x:v>
      </x:c>
      <x:c r="B292" s="2" t="str">
        <x:v>Marzo</x:v>
      </x:c>
      <x:c r="C292" s="2" t="str">
        <x:v>RE-001466-1</x:v>
      </x:c>
      <x:c r="D292" s="2" t="str">
        <x:v>P.E. DE CAREON</x:v>
      </x:c>
      <x:c r="E292" s="4" t="n">
        <x:v>4.015</x:v>
      </x:c>
      <x:c r="F292" s="4" t="n">
        <x:f>J292*1.04</x:f>
        <x:v>4.04248</x:v>
      </x:c>
      <x:c r="G292" s="4" t="n">
        <x:v>18</x:v>
      </x:c>
      <x:c r="H292" s="4" t="n">
        <x:v>89.61</x:v>
      </x:c>
      <x:c r="I292" s="5" t="n">
        <x:f t="shared" si="4">F292*1000*H292</x:f>
        <x:v>362246.6328</x:v>
      </x:c>
      <x:c r="J292" t="n">
        <x:v>3.887</x:v>
      </x:c>
    </x:row>
    <x:row r="293">
      <x:c r="A293" s="3" t="n">
        <x:v>2023</x:v>
      </x:c>
      <x:c r="B293" s="2" t="str">
        <x:v>Abril</x:v>
      </x:c>
      <x:c r="C293" s="2" t="str">
        <x:v>RE-001466-1</x:v>
      </x:c>
      <x:c r="D293" s="2" t="str">
        <x:v>P.E. DE CAREON</x:v>
      </x:c>
      <x:c r="E293" s="4" t="n">
        <x:v>3.23</x:v>
      </x:c>
      <x:c r="F293" s="4" t="n">
        <x:f>J293*1</x:f>
        <x:v>3.144</x:v>
      </x:c>
      <x:c r="G293" s="4" t="n">
        <x:v>18</x:v>
      </x:c>
      <x:c r="H293" s="4" t="n">
        <x:v>73.73</x:v>
      </x:c>
      <x:c r="I293" s="5" t="n">
        <x:f t="shared" si="4">F293*1000*H293</x:f>
        <x:v>231807.12000000002</x:v>
      </x:c>
      <x:c r="J293" t="n">
        <x:v>3.144</x:v>
      </x:c>
    </x:row>
    <x:row r="294">
      <x:c r="A294" s="3" t="n">
        <x:v>2023</x:v>
      </x:c>
      <x:c r="B294" s="2" t="str">
        <x:v>Mayo</x:v>
      </x:c>
      <x:c r="C294" s="2" t="str">
        <x:v>RE-001466-1</x:v>
      </x:c>
      <x:c r="D294" s="2" t="str">
        <x:v>P.E. DE CAREON</x:v>
      </x:c>
      <x:c r="E294" s="4" t="n">
        <x:v>2.974</x:v>
      </x:c>
      <x:c r="F294" s="4" t="n">
        <x:f>J294*0.96</x:f>
        <x:v>2.80224</x:v>
      </x:c>
      <x:c r="G294" s="4" t="n">
        <x:v>18</x:v>
      </x:c>
      <x:c r="H294" s="4" t="n">
        <x:v>74.21</x:v>
      </x:c>
      <x:c r="I294" s="5" t="n">
        <x:f t="shared" si="4">F294*1000*H294</x:f>
        <x:v>207954.23039999997</x:v>
      </x:c>
      <x:c r="J294" t="n">
        <x:v>2.919</x:v>
      </x:c>
    </x:row>
    <x:row r="295">
      <x:c r="A295" s="3" t="n">
        <x:v>2023</x:v>
      </x:c>
      <x:c r="B295" s="2" t="str">
        <x:v>Junio</x:v>
      </x:c>
      <x:c r="C295" s="2" t="str">
        <x:v>RE-001466-1</x:v>
      </x:c>
      <x:c r="D295" s="2" t="str">
        <x:v>P.E. DE CAREON</x:v>
      </x:c>
      <x:c r="E295" s="4" t="n">
        <x:v>3.097</x:v>
      </x:c>
      <x:c r="F295" s="4" t="n">
        <x:f>J295*1.03</x:f>
        <x:v>3.13429</x:v>
      </x:c>
      <x:c r="G295" s="4" t="n">
        <x:v>18</x:v>
      </x:c>
      <x:c r="H295" s="4" t="n">
        <x:v>93.02</x:v>
      </x:c>
      <x:c r="I295" s="5" t="n">
        <x:f t="shared" si="4">F295*1000*H295</x:f>
        <x:v>291551.6558</x:v>
      </x:c>
      <x:c r="J295" t="n">
        <x:v>3.043</x:v>
      </x:c>
    </x:row>
    <x:row r="296">
      <x:c r="A296" s="3" t="n">
        <x:v>2023</x:v>
      </x:c>
      <x:c r="B296" s="2" t="str">
        <x:v>Julio</x:v>
      </x:c>
      <x:c r="C296" s="2" t="str">
        <x:v>RE-001466-1</x:v>
      </x:c>
      <x:c r="D296" s="2" t="str">
        <x:v>P.E. DE CAREON</x:v>
      </x:c>
      <x:c r="E296" s="4" t="n">
        <x:v>2.907</x:v>
      </x:c>
      <x:c r="F296" s="4" t="n">
        <x:f>J296*0.99</x:f>
        <x:v>2.81457</x:v>
      </x:c>
      <x:c r="G296" s="4" t="n">
        <x:v>18</x:v>
      </x:c>
      <x:c r="H296" s="4" t="n">
        <x:v>90.47</x:v>
      </x:c>
      <x:c r="I296" s="5" t="n">
        <x:f t="shared" si="4">F296*1000*H296</x:f>
        <x:v>254634.14789999998</x:v>
      </x:c>
      <x:c r="J296" t="n">
        <x:v>2.843</x:v>
      </x:c>
    </x:row>
    <x:row r="297">
      <x:c r="A297" s="3" t="n">
        <x:v>2023</x:v>
      </x:c>
      <x:c r="B297" s="2" t="str">
        <x:v>Agosto</x:v>
      </x:c>
      <x:c r="C297" s="2" t="str">
        <x:v>RE-001466-1</x:v>
      </x:c>
      <x:c r="D297" s="2" t="str">
        <x:v>P.E. DE CAREON</x:v>
      </x:c>
      <x:c r="E297" s="4" t="n">
        <x:v>2.954</x:v>
      </x:c>
      <x:c r="F297" s="4" t="n">
        <x:f>J297*0.95</x:f>
        <x:v>2.73885</x:v>
      </x:c>
      <x:c r="G297" s="4" t="n">
        <x:v>18</x:v>
      </x:c>
      <x:c r="H297" s="4" t="n">
        <x:v>96.05</x:v>
      </x:c>
      <x:c r="I297" s="5" t="n">
        <x:f t="shared" si="4">F297*1000*H297</x:f>
        <x:v>263066.5425</x:v>
      </x:c>
      <x:c r="J297" t="n">
        <x:v>2.883</x:v>
      </x:c>
    </x:row>
    <x:row r="298">
      <x:c r="A298" s="3" t="n">
        <x:v>2023</x:v>
      </x:c>
      <x:c r="B298" s="2" t="str">
        <x:v>Septiembre</x:v>
      </x:c>
      <x:c r="C298" s="2" t="str">
        <x:v>RE-001466-1</x:v>
      </x:c>
      <x:c r="D298" s="2" t="str">
        <x:v>P.E. DE CAREON</x:v>
      </x:c>
      <x:c r="E298" s="4" t="n">
        <x:v>3.151</x:v>
      </x:c>
      <x:c r="F298" s="4" t="n">
        <x:f>J298*1.02</x:f>
        <x:v>3.11406</x:v>
      </x:c>
      <x:c r="G298" s="4" t="n">
        <x:v>18</x:v>
      </x:c>
      <x:c r="H298" s="4" t="n">
        <x:v>103.34</x:v>
      </x:c>
      <x:c r="I298" s="5" t="n">
        <x:f t="shared" si="4">F298*1000*H298</x:f>
        <x:v>321806.9604</x:v>
      </x:c>
      <x:c r="J298" t="n">
        <x:v>3.053</x:v>
      </x:c>
    </x:row>
    <x:row r="299">
      <x:c r="A299" s="3" t="n">
        <x:v>2023</x:v>
      </x:c>
      <x:c r="B299" s="2" t="str">
        <x:v>Octubre</x:v>
      </x:c>
      <x:c r="C299" s="2" t="str">
        <x:v>RE-001466-1</x:v>
      </x:c>
      <x:c r="D299" s="2" t="str">
        <x:v>P.E. DE CAREON</x:v>
      </x:c>
      <x:c r="E299" s="4" t="n">
        <x:v>4.386</x:v>
      </x:c>
      <x:c r="F299" s="4" t="n">
        <x:f>J299*0.98</x:f>
        <x:v>4.17382</x:v>
      </x:c>
      <x:c r="G299" s="4" t="n">
        <x:v>18</x:v>
      </x:c>
      <x:c r="H299" s="4" t="n">
        <x:v>90.14</x:v>
      </x:c>
      <x:c r="I299" s="5" t="n">
        <x:f t="shared" si="4">F299*1000*H299</x:f>
        <x:v>376228.1348</x:v>
      </x:c>
      <x:c r="J299" t="n">
        <x:v>4.259</x:v>
      </x:c>
    </x:row>
    <x:row r="300">
      <x:c r="A300" s="3" t="n">
        <x:v>2023</x:v>
      </x:c>
      <x:c r="B300" s="2" t="str">
        <x:v>Noviembre</x:v>
      </x:c>
      <x:c r="C300" s="2" t="str">
        <x:v>RE-001466-1</x:v>
      </x:c>
      <x:c r="D300" s="2" t="str">
        <x:v>P.E. DE CAREON</x:v>
      </x:c>
      <x:c r="E300" s="4" t="n">
        <x:v>5.025</x:v>
      </x:c>
      <x:c r="F300" s="4" t="n">
        <x:f>J300*0.94</x:f>
        <x:v>4.6436</x:v>
      </x:c>
      <x:c r="G300" s="4" t="n">
        <x:v>18</x:v>
      </x:c>
      <x:c r="H300" s="4" t="n">
        <x:v>63.45</x:v>
      </x:c>
      <x:c r="I300" s="5" t="n">
        <x:f t="shared" si="4">F300*1000*H300</x:f>
        <x:v>294636.42000000004</x:v>
      </x:c>
      <x:c r="J300" t="n">
        <x:v>4.94</x:v>
      </x:c>
    </x:row>
    <x:row r="301">
      <x:c r="A301" s="3" t="n">
        <x:v>2023</x:v>
      </x:c>
      <x:c r="B301" s="2" t="str">
        <x:v>Diciembre</x:v>
      </x:c>
      <x:c r="C301" s="2" t="str">
        <x:v>RE-001466-1</x:v>
      </x:c>
      <x:c r="D301" s="2" t="str">
        <x:v>P.E. DE CAREON</x:v>
      </x:c>
      <x:c r="E301" s="4" t="n">
        <x:v>5.155</x:v>
      </x:c>
      <x:c r="F301" s="4" t="n">
        <x:f>J301*1.01</x:f>
        <x:v>5.04798</x:v>
      </x:c>
      <x:c r="G301" s="4" t="n">
        <x:v>18</x:v>
      </x:c>
      <x:c r="H301" s="4" t="n">
        <x:v>72.17</x:v>
      </x:c>
      <x:c r="I301" s="5" t="n">
        <x:f t="shared" si="4">F301*1000*H301</x:f>
        <x:v>364312.7166</x:v>
      </x:c>
      <x:c r="J301" t="n">
        <x:v>4.998</x:v>
      </x:c>
    </x:row>
    <x:row r="302">
      <x:c r="A302" s="3" t="n">
        <x:v>2023</x:v>
      </x:c>
      <x:c r="B302" s="2" t="str">
        <x:v>Enero</x:v>
      </x:c>
      <x:c r="C302" s="2" t="str">
        <x:v>RE-001604-1</x:v>
      </x:c>
      <x:c r="D302" s="2" t="str">
        <x:v>P.E. Somozas</x:v>
      </x:c>
      <x:c r="E302" s="4" t="n">
        <x:v>4.9284</x:v>
      </x:c>
      <x:c r="F302" s="4" t="n">
        <x:f>J302*0.97</x:f>
        <x:v>4.6763699999999995</x:v>
      </x:c>
      <x:c r="G302" s="4" t="n">
        <x:v>14.4</x:v>
      </x:c>
      <x:c r="H302" s="4" t="n">
        <x:v>69.55</x:v>
      </x:c>
      <x:c r="I302" s="5" t="n">
        <x:f t="shared" si="4">F302*1000*H302</x:f>
        <x:v>325241.53349999996</x:v>
      </x:c>
      <x:c r="J302" t="n">
        <x:v>4.821</x:v>
      </x:c>
    </x:row>
    <x:row r="303">
      <x:c r="A303" s="3" t="n">
        <x:v>2023</x:v>
      </x:c>
      <x:c r="B303" s="2" t="str">
        <x:v>Enero</x:v>
      </x:c>
      <x:c r="C303" s="2" t="str">
        <x:v>RE-001604-2</x:v>
      </x:c>
      <x:c r="D303" s="2" t="str">
        <x:v>P.E. Somozas</x:v>
      </x:c>
      <x:c r="E303" s="4" t="n">
        <x:v>3.90165</x:v>
      </x:c>
      <x:c r="F303" s="4" t="n">
        <x:f>J303*0.97</x:f>
        <x:v>3.70212625</x:v>
      </x:c>
      <x:c r="G303" s="4" t="n">
        <x:v>11.4</x:v>
      </x:c>
      <x:c r="H303" s="4" t="n">
        <x:v>69.55</x:v>
      </x:c>
      <x:c r="I303" s="5" t="n">
        <x:f t="shared" si="4">F303*1000*H303</x:f>
        <x:v>257482.8806875</x:v>
      </x:c>
      <x:c r="J303" t="n">
        <x:v>3.816625</x:v>
      </x:c>
    </x:row>
    <x:row r="304">
      <x:c r="A304" s="3" t="n">
        <x:v>2023</x:v>
      </x:c>
      <x:c r="B304" s="2" t="str">
        <x:v>Enero</x:v>
      </x:c>
      <x:c r="C304" s="2" t="str">
        <x:v>RE-001604-3</x:v>
      </x:c>
      <x:c r="D304" s="2" t="str">
        <x:v>P.E. Somozas</x:v>
      </x:c>
      <x:c r="E304" s="4" t="n">
        <x:v>7.597950000000001</x:v>
      </x:c>
      <x:c r="F304" s="4" t="n">
        <x:f>J304*0.97</x:f>
        <x:v>7.20940375</x:v>
      </x:c>
      <x:c r="G304" s="4" t="n">
        <x:v>22.2</x:v>
      </x:c>
      <x:c r="H304" s="4" t="n">
        <x:v>69.55</x:v>
      </x:c>
      <x:c r="I304" s="5" t="n">
        <x:f t="shared" si="4">F304*1000*H304</x:f>
        <x:v>501414.0308124999</x:v>
      </x:c>
      <x:c r="J304" t="n">
        <x:v>7.432375</x:v>
      </x:c>
    </x:row>
    <x:row r="305">
      <x:c r="A305" s="3" t="n">
        <x:v>2023</x:v>
      </x:c>
      <x:c r="B305" s="2" t="str">
        <x:v>Febrero</x:v>
      </x:c>
      <x:c r="C305" s="2" t="str">
        <x:v>RE-001604-1</x:v>
      </x:c>
      <x:c r="D305" s="2" t="str">
        <x:v>P.E. Somozas</x:v>
      </x:c>
      <x:c r="E305" s="4" t="n">
        <x:v>3.825</x:v>
      </x:c>
      <x:c r="F305" s="4" t="n">
        <x:f>J305*1.04</x:f>
        <x:v>3.913416</x:v>
      </x:c>
      <x:c r="G305" s="4" t="n">
        <x:v>14.4</x:v>
      </x:c>
      <x:c r="H305" s="4" t="n">
        <x:v>133.47</x:v>
      </x:c>
      <x:c r="I305" s="5" t="n">
        <x:f t="shared" si="4">F305*1000*H305</x:f>
        <x:v>522323.63352</x:v>
      </x:c>
      <x:c r="J305" t="n">
        <x:v>3.7628999999999997</x:v>
      </x:c>
    </x:row>
    <x:row r="306">
      <x:c r="A306" s="3" t="n">
        <x:v>2023</x:v>
      </x:c>
      <x:c r="B306" s="2" t="str">
        <x:v>Febrero</x:v>
      </x:c>
      <x:c r="C306" s="2" t="str">
        <x:v>RE-001604-2</x:v>
      </x:c>
      <x:c r="D306" s="2" t="str">
        <x:v>P.E. Somozas</x:v>
      </x:c>
      <x:c r="E306" s="4" t="n">
        <x:v>3.028125</x:v>
      </x:c>
      <x:c r="F306" s="4" t="n">
        <x:f>J306*1.04</x:f>
        <x:v>3.098121</x:v>
      </x:c>
      <x:c r="G306" s="4" t="n">
        <x:v>11.4</x:v>
      </x:c>
      <x:c r="H306" s="4" t="n">
        <x:v>133.47</x:v>
      </x:c>
      <x:c r="I306" s="5" t="n">
        <x:f t="shared" si="4">F306*1000*H306</x:f>
        <x:v>413506.20987</x:v>
      </x:c>
      <x:c r="J306" t="n">
        <x:v>2.9789624999999997</x:v>
      </x:c>
    </x:row>
    <x:row r="307">
      <x:c r="A307" s="3" t="n">
        <x:v>2023</x:v>
      </x:c>
      <x:c r="B307" s="2" t="str">
        <x:v>Febrero</x:v>
      </x:c>
      <x:c r="C307" s="2" t="str">
        <x:v>RE-001604-3</x:v>
      </x:c>
      <x:c r="D307" s="2" t="str">
        <x:v>P.E. Somozas</x:v>
      </x:c>
      <x:c r="E307" s="4" t="n">
        <x:v>5.896875</x:v>
      </x:c>
      <x:c r="F307" s="4" t="n">
        <x:f>J307*1.04</x:f>
        <x:v>6.033182999999999</x:v>
      </x:c>
      <x:c r="G307" s="4" t="n">
        <x:v>22.2</x:v>
      </x:c>
      <x:c r="H307" s="4" t="n">
        <x:v>133.47</x:v>
      </x:c>
      <x:c r="I307" s="5" t="n">
        <x:f t="shared" si="4">F307*1000*H307</x:f>
        <x:v>805248.9350099999</x:v>
      </x:c>
      <x:c r="J307" t="n">
        <x:v>5.801137499999999</x:v>
      </x:c>
    </x:row>
    <x:row r="308">
      <x:c r="A308" s="3" t="n">
        <x:v>2023</x:v>
      </x:c>
      <x:c r="B308" s="2" t="str">
        <x:v>Marzo</x:v>
      </x:c>
      <x:c r="C308" s="2" t="str">
        <x:v>RE-001604-1</x:v>
      </x:c>
      <x:c r="D308" s="2" t="str">
        <x:v>P.E. Somozas</x:v>
      </x:c>
      <x:c r="E308" s="4" t="n">
        <x:v>3.4278</x:v>
      </x:c>
      <x:c r="F308" s="4" t="n">
        <x:f>J308*1</x:f>
        <x:v>3.3672</x:v>
      </x:c>
      <x:c r="G308" s="4" t="n">
        <x:v>14.4</x:v>
      </x:c>
      <x:c r="H308" s="4" t="n">
        <x:v>89.61</x:v>
      </x:c>
      <x:c r="I308" s="5" t="n">
        <x:f t="shared" si="4">F308*1000*H308</x:f>
        <x:v>301734.79199999996</x:v>
      </x:c>
      <x:c r="J308" t="n">
        <x:v>3.3672</x:v>
      </x:c>
    </x:row>
    <x:row r="309">
      <x:c r="A309" s="3" t="n">
        <x:v>2023</x:v>
      </x:c>
      <x:c r="B309" s="2" t="str">
        <x:v>Marzo</x:v>
      </x:c>
      <x:c r="C309" s="2" t="str">
        <x:v>RE-001604-2</x:v>
      </x:c>
      <x:c r="D309" s="2" t="str">
        <x:v>P.E. Somozas</x:v>
      </x:c>
      <x:c r="E309" s="4" t="n">
        <x:v>2.7136750000000003</x:v>
      </x:c>
      <x:c r="F309" s="4" t="n">
        <x:f>J309*1</x:f>
        <x:v>2.6657</x:v>
      </x:c>
      <x:c r="G309" s="4" t="n">
        <x:v>11.4</x:v>
      </x:c>
      <x:c r="H309" s="4" t="n">
        <x:v>89.61</x:v>
      </x:c>
      <x:c r="I309" s="5" t="n">
        <x:f t="shared" si="4">F309*1000*H309</x:f>
        <x:v>238873.37700000004</x:v>
      </x:c>
      <x:c r="J309" t="n">
        <x:v>2.6657</x:v>
      </x:c>
    </x:row>
    <x:row r="310">
      <x:c r="A310" s="3" t="n">
        <x:v>2023</x:v>
      </x:c>
      <x:c r="B310" s="2" t="str">
        <x:v>Marzo</x:v>
      </x:c>
      <x:c r="C310" s="2" t="str">
        <x:v>RE-001604-3</x:v>
      </x:c>
      <x:c r="D310" s="2" t="str">
        <x:v>P.E. Somozas</x:v>
      </x:c>
      <x:c r="E310" s="4" t="n">
        <x:v>5.284525</x:v>
      </x:c>
      <x:c r="F310" s="4" t="n">
        <x:f>J310*1</x:f>
        <x:v>5.1911000000000005</x:v>
      </x:c>
      <x:c r="G310" s="4" t="n">
        <x:v>22.2</x:v>
      </x:c>
      <x:c r="H310" s="4" t="n">
        <x:v>89.61</x:v>
      </x:c>
      <x:c r="I310" s="5" t="n">
        <x:f t="shared" si="4">F310*1000*H310</x:f>
        <x:v>465174.471</x:v>
      </x:c>
      <x:c r="J310" t="n">
        <x:v>5.1911000000000005</x:v>
      </x:c>
    </x:row>
    <x:row r="311">
      <x:c r="A311" s="3" t="n">
        <x:v>2023</x:v>
      </x:c>
      <x:c r="B311" s="2" t="str">
        <x:v>Abril</x:v>
      </x:c>
      <x:c r="C311" s="2" t="str">
        <x:v>RE-001604-1</x:v>
      </x:c>
      <x:c r="D311" s="2" t="str">
        <x:v>P.E. Somozas</x:v>
      </x:c>
      <x:c r="E311" s="4" t="n">
        <x:v>3.2138999999999998</x:v>
      </x:c>
      <x:c r="F311" s="4" t="n">
        <x:f>J311*0.96</x:f>
        <x:v>2.992031999999999</x:v>
      </x:c>
      <x:c r="G311" s="4" t="n">
        <x:v>14.4</x:v>
      </x:c>
      <x:c r="H311" s="4" t="n">
        <x:v>73.73</x:v>
      </x:c>
      <x:c r="I311" s="5" t="n">
        <x:f t="shared" si="4">F311*1000*H311</x:f>
        <x:v>220602.51935999995</x:v>
      </x:c>
      <x:c r="J311" t="n">
        <x:v>3.1166999999999994</x:v>
      </x:c>
    </x:row>
    <x:row r="312">
      <x:c r="A312" s="3" t="n">
        <x:v>2023</x:v>
      </x:c>
      <x:c r="B312" s="2" t="str">
        <x:v>Abril</x:v>
      </x:c>
      <x:c r="C312" s="2" t="str">
        <x:v>RE-001604-2</x:v>
      </x:c>
      <x:c r="D312" s="2" t="str">
        <x:v>P.E. Somozas</x:v>
      </x:c>
      <x:c r="E312" s="4" t="n">
        <x:v>2.5443375</x:v>
      </x:c>
      <x:c r="F312" s="4" t="n">
        <x:f>J312*0.96</x:f>
        <x:v>2.3686919999999994</x:v>
      </x:c>
      <x:c r="G312" s="4" t="n">
        <x:v>11.4</x:v>
      </x:c>
      <x:c r="H312" s="4" t="n">
        <x:v>73.73</x:v>
      </x:c>
      <x:c r="I312" s="5" t="n">
        <x:f t="shared" si="4">F312*1000*H312</x:f>
        <x:v>174643.66116</x:v>
      </x:c>
      <x:c r="J312" t="n">
        <x:v>2.4673874999999996</x:v>
      </x:c>
    </x:row>
    <x:row r="313">
      <x:c r="A313" s="3" t="n">
        <x:v>2023</x:v>
      </x:c>
      <x:c r="B313" s="2" t="str">
        <x:v>Abril</x:v>
      </x:c>
      <x:c r="C313" s="2" t="str">
        <x:v>RE-001604-3</x:v>
      </x:c>
      <x:c r="D313" s="2" t="str">
        <x:v>P.E. Somozas</x:v>
      </x:c>
      <x:c r="E313" s="4" t="n">
        <x:v>4.954762499999999</x:v>
      </x:c>
      <x:c r="F313" s="4" t="n">
        <x:f>J313*0.96</x:f>
        <x:v>4.612716</x:v>
      </x:c>
      <x:c r="G313" s="4" t="n">
        <x:v>22.2</x:v>
      </x:c>
      <x:c r="H313" s="4" t="n">
        <x:v>73.73</x:v>
      </x:c>
      <x:c r="I313" s="5" t="n">
        <x:f t="shared" si="4">F313*1000*H313</x:f>
        <x:v>340095.55068</x:v>
      </x:c>
      <x:c r="J313" t="n">
        <x:v>4.8049125</x:v>
      </x:c>
    </x:row>
    <x:row r="314">
      <x:c r="A314" s="3" t="n">
        <x:v>2023</x:v>
      </x:c>
      <x:c r="B314" s="2" t="str">
        <x:v>Mayo</x:v>
      </x:c>
      <x:c r="C314" s="2" t="str">
        <x:v>RE-001604-1</x:v>
      </x:c>
      <x:c r="D314" s="2" t="str">
        <x:v>P.E. Somozas</x:v>
      </x:c>
      <x:c r="E314" s="4" t="n">
        <x:v>3.1287000000000003</x:v>
      </x:c>
      <x:c r="F314" s="4" t="n">
        <x:f>J314*1.03</x:f>
        <x:v>3.14562</x:v>
      </x:c>
      <x:c r="G314" s="4" t="n">
        <x:v>14.4</x:v>
      </x:c>
      <x:c r="H314" s="4" t="n">
        <x:v>74.21</x:v>
      </x:c>
      <x:c r="I314" s="5" t="n">
        <x:f t="shared" si="4">F314*1000*H314</x:f>
        <x:v>233436.46019999997</x:v>
      </x:c>
      <x:c r="J314" t="n">
        <x:v>3.054</x:v>
      </x:c>
    </x:row>
    <x:row r="315">
      <x:c r="A315" s="3" t="n">
        <x:v>2023</x:v>
      </x:c>
      <x:c r="B315" s="2" t="str">
        <x:v>Mayo</x:v>
      </x:c>
      <x:c r="C315" s="2" t="str">
        <x:v>RE-001604-2</x:v>
      </x:c>
      <x:c r="D315" s="2" t="str">
        <x:v>P.E. Somozas</x:v>
      </x:c>
      <x:c r="E315" s="4" t="n">
        <x:v>2.4768875</x:v>
      </x:c>
      <x:c r="F315" s="4" t="n">
        <x:f>J315*1.03</x:f>
        <x:v>2.4902824999999997</x:v>
      </x:c>
      <x:c r="G315" s="4" t="n">
        <x:v>11.4</x:v>
      </x:c>
      <x:c r="H315" s="4" t="n">
        <x:v>74.21</x:v>
      </x:c>
      <x:c r="I315" s="5" t="n">
        <x:f t="shared" si="4">F315*1000*H315</x:f>
        <x:v>184803.86432499997</x:v>
      </x:c>
      <x:c r="J315" t="n">
        <x:v>2.41775</x:v>
      </x:c>
    </x:row>
    <x:row r="316">
      <x:c r="A316" s="3" t="n">
        <x:v>2023</x:v>
      </x:c>
      <x:c r="B316" s="2" t="str">
        <x:v>Mayo</x:v>
      </x:c>
      <x:c r="C316" s="2" t="str">
        <x:v>RE-001604-3</x:v>
      </x:c>
      <x:c r="D316" s="2" t="str">
        <x:v>P.E. Somozas</x:v>
      </x:c>
      <x:c r="E316" s="4" t="n">
        <x:v>4.8234125</x:v>
      </x:c>
      <x:c r="F316" s="4" t="n">
        <x:f>J316*1.03</x:f>
        <x:v>4.8494975</x:v>
      </x:c>
      <x:c r="G316" s="4" t="n">
        <x:v>22.2</x:v>
      </x:c>
      <x:c r="H316" s="4" t="n">
        <x:v>74.21</x:v>
      </x:c>
      <x:c r="I316" s="5" t="n">
        <x:f t="shared" si="4">F316*1000*H316</x:f>
        <x:v>359881.209475</x:v>
      </x:c>
      <x:c r="J316" t="n">
        <x:v>4.70825</x:v>
      </x:c>
    </x:row>
    <x:row r="317">
      <x:c r="A317" s="3" t="n">
        <x:v>2023</x:v>
      </x:c>
      <x:c r="B317" s="2" t="str">
        <x:v>Junio</x:v>
      </x:c>
      <x:c r="C317" s="2" t="str">
        <x:v>RE-001604-1</x:v>
      </x:c>
      <x:c r="D317" s="2" t="str">
        <x:v>P.E. Somozas</x:v>
      </x:c>
      <x:c r="E317" s="4" t="n">
        <x:v>2.5763999999999996</x:v>
      </x:c>
      <x:c r="F317" s="4" t="n">
        <x:f>J317*0.99</x:f>
        <x:v>2.5111350000000003</x:v>
      </x:c>
      <x:c r="G317" s="4" t="n">
        <x:v>14.4</x:v>
      </x:c>
      <x:c r="H317" s="4" t="n">
        <x:v>93.02</x:v>
      </x:c>
      <x:c r="I317" s="5" t="n">
        <x:f t="shared" si="4">F317*1000*H317</x:f>
        <x:v>233585.7777</x:v>
      </x:c>
      <x:c r="J317" t="n">
        <x:v>2.5365</x:v>
      </x:c>
    </x:row>
    <x:row r="318">
      <x:c r="A318" s="3" t="n">
        <x:v>2023</x:v>
      </x:c>
      <x:c r="B318" s="2" t="str">
        <x:v>Junio</x:v>
      </x:c>
      <x:c r="C318" s="2" t="str">
        <x:v>RE-001604-2</x:v>
      </x:c>
      <x:c r="D318" s="2" t="str">
        <x:v>P.E. Somozas</x:v>
      </x:c>
      <x:c r="E318" s="4" t="n">
        <x:v>2.03965</x:v>
      </x:c>
      <x:c r="F318" s="4" t="n">
        <x:f>J318*0.99</x:f>
        <x:v>1.9879818749999998</x:v>
      </x:c>
      <x:c r="G318" s="4" t="n">
        <x:v>11.4</x:v>
      </x:c>
      <x:c r="H318" s="4" t="n">
        <x:v>93.02</x:v>
      </x:c>
      <x:c r="I318" s="5" t="n">
        <x:f t="shared" si="4">F318*1000*H318</x:f>
        <x:v>184922.07401249997</x:v>
      </x:c>
      <x:c r="J318" t="n">
        <x:v>2.0080625</x:v>
      </x:c>
    </x:row>
    <x:row r="319">
      <x:c r="A319" s="3" t="n">
        <x:v>2023</x:v>
      </x:c>
      <x:c r="B319" s="2" t="str">
        <x:v>Junio</x:v>
      </x:c>
      <x:c r="C319" s="2" t="str">
        <x:v>RE-001604-3</x:v>
      </x:c>
      <x:c r="D319" s="2" t="str">
        <x:v>P.E. Somozas</x:v>
      </x:c>
      <x:c r="E319" s="4" t="n">
        <x:v>3.9719499999999996</x:v>
      </x:c>
      <x:c r="F319" s="4" t="n">
        <x:f>J319*0.99</x:f>
        <x:v>3.8713331250000005</x:v>
      </x:c>
      <x:c r="G319" s="4" t="n">
        <x:v>22.2</x:v>
      </x:c>
      <x:c r="H319" s="4" t="n">
        <x:v>93.02</x:v>
      </x:c>
      <x:c r="I319" s="5" t="n">
        <x:f t="shared" si="4">F319*1000*H319</x:f>
        <x:v>360111.40728750004</x:v>
      </x:c>
      <x:c r="J319" t="n">
        <x:v>3.9104375000000005</x:v>
      </x:c>
    </x:row>
    <x:row r="320">
      <x:c r="A320" s="3" t="n">
        <x:v>2023</x:v>
      </x:c>
      <x:c r="B320" s="2" t="str">
        <x:v>Julio</x:v>
      </x:c>
      <x:c r="C320" s="2" t="str">
        <x:v>RE-001604-1</x:v>
      </x:c>
      <x:c r="D320" s="2" t="str">
        <x:v>P.E. Somozas</x:v>
      </x:c>
      <x:c r="E320" s="4" t="n">
        <x:v>2.4924</x:v>
      </x:c>
      <x:c r="F320" s="4" t="n">
        <x:f>J320*0.95</x:f>
        <x:v>2.298525</x:v>
      </x:c>
      <x:c r="G320" s="4" t="n">
        <x:v>14.4</x:v>
      </x:c>
      <x:c r="H320" s="4" t="n">
        <x:v>90.47</x:v>
      </x:c>
      <x:c r="I320" s="5" t="n">
        <x:f t="shared" si="4">F320*1000*H320</x:f>
        <x:v>207947.55675000002</x:v>
      </x:c>
      <x:c r="J320" t="n">
        <x:v>2.4195</x:v>
      </x:c>
    </x:row>
    <x:row r="321">
      <x:c r="A321" s="3" t="n">
        <x:v>2023</x:v>
      </x:c>
      <x:c r="B321" s="2" t="str">
        <x:v>Julio</x:v>
      </x:c>
      <x:c r="C321" s="2" t="str">
        <x:v>RE-001604-2</x:v>
      </x:c>
      <x:c r="D321" s="2" t="str">
        <x:v>P.E. Somozas</x:v>
      </x:c>
      <x:c r="E321" s="4" t="n">
        <x:v>1.97315</x:v>
      </x:c>
      <x:c r="F321" s="4" t="n">
        <x:f>J321*0.95</x:f>
        <x:v>1.8196656249999998</x:v>
      </x:c>
      <x:c r="G321" s="4" t="n">
        <x:v>11.4</x:v>
      </x:c>
      <x:c r="H321" s="4" t="n">
        <x:v>90.47</x:v>
      </x:c>
      <x:c r="I321" s="5" t="n">
        <x:f t="shared" si="4">F321*1000*H321</x:f>
        <x:v>164625.14909375</x:v>
      </x:c>
      <x:c r="J321" t="n">
        <x:v>1.9154375</x:v>
      </x:c>
    </x:row>
    <x:row r="322">
      <x:c r="A322" s="3" t="n">
        <x:v>2023</x:v>
      </x:c>
      <x:c r="B322" s="2" t="str">
        <x:v>Julio</x:v>
      </x:c>
      <x:c r="C322" s="2" t="str">
        <x:v>RE-001604-3</x:v>
      </x:c>
      <x:c r="D322" s="2" t="str">
        <x:v>P.E. Somozas</x:v>
      </x:c>
      <x:c r="E322" s="4" t="n">
        <x:v>3.8424499999999995</x:v>
      </x:c>
      <x:c r="F322" s="4" t="n">
        <x:f>J322*0.95</x:f>
        <x:v>3.5435593749999987</x:v>
      </x:c>
      <x:c r="G322" s="4" t="n">
        <x:v>22.2</x:v>
      </x:c>
      <x:c r="H322" s="4" t="n">
        <x:v>90.47</x:v>
      </x:c>
      <x:c r="I322" s="5" t="n">
        <x:f t="shared" ref="I322:I385" si="5">F322*1000*H322</x:f>
        <x:v>320585.8166562499</x:v>
      </x:c>
      <x:c r="J322" t="n">
        <x:v>3.730062499999999</x:v>
      </x:c>
    </x:row>
    <x:row r="323">
      <x:c r="A323" s="3" t="n">
        <x:v>2023</x:v>
      </x:c>
      <x:c r="B323" s="2" t="str">
        <x:v>Agosto</x:v>
      </x:c>
      <x:c r="C323" s="2" t="str">
        <x:v>RE-001604-1</x:v>
      </x:c>
      <x:c r="D323" s="2" t="str">
        <x:v>P.E. Somozas</x:v>
      </x:c>
      <x:c r="E323" s="4" t="n">
        <x:v>2.4999</x:v>
      </x:c>
      <x:c r="F323" s="4" t="n">
        <x:f>J323*1.02</x:f>
        <x:v>2.489004</x:v>
      </x:c>
      <x:c r="G323" s="4" t="n">
        <x:v>14.4</x:v>
      </x:c>
      <x:c r="H323" s="4" t="n">
        <x:v>96.05</x:v>
      </x:c>
      <x:c r="I323" s="5" t="n">
        <x:f t="shared" si="5">F323*1000*H323</x:f>
        <x:v>239068.83419999998</x:v>
      </x:c>
      <x:c r="J323" t="n">
        <x:v>2.4402</x:v>
      </x:c>
    </x:row>
    <x:row r="324">
      <x:c r="A324" s="3" t="n">
        <x:v>2023</x:v>
      </x:c>
      <x:c r="B324" s="2" t="str">
        <x:v>Agosto</x:v>
      </x:c>
      <x:c r="C324" s="2" t="str">
        <x:v>RE-001604-2</x:v>
      </x:c>
      <x:c r="D324" s="2" t="str">
        <x:v>P.E. Somozas</x:v>
      </x:c>
      <x:c r="E324" s="4" t="n">
        <x:v>1.9790874999999999</x:v>
      </x:c>
      <x:c r="F324" s="4" t="n">
        <x:f>J324*1.02</x:f>
        <x:v>1.9704615</x:v>
      </x:c>
      <x:c r="G324" s="4" t="n">
        <x:v>11.4</x:v>
      </x:c>
      <x:c r="H324" s="4" t="n">
        <x:v>96.05</x:v>
      </x:c>
      <x:c r="I324" s="5" t="n">
        <x:f t="shared" si="5">F324*1000*H324</x:f>
        <x:v>189262.827075</x:v>
      </x:c>
      <x:c r="J324" t="n">
        <x:v>1.9318250000000001</x:v>
      </x:c>
    </x:row>
    <x:row r="325">
      <x:c r="A325" s="3" t="n">
        <x:v>2023</x:v>
      </x:c>
      <x:c r="B325" s="2" t="str">
        <x:v>Agosto</x:v>
      </x:c>
      <x:c r="C325" s="2" t="str">
        <x:v>RE-001604-3</x:v>
      </x:c>
      <x:c r="D325" s="2" t="str">
        <x:v>P.E. Somozas</x:v>
      </x:c>
      <x:c r="E325" s="4" t="n">
        <x:v>3.8540125000000005</x:v>
      </x:c>
      <x:c r="F325" s="4" t="n">
        <x:f>J325*1.02</x:f>
        <x:v>3.8372145000000004</x:v>
      </x:c>
      <x:c r="G325" s="4" t="n">
        <x:v>22.2</x:v>
      </x:c>
      <x:c r="H325" s="4" t="n">
        <x:v>96.05</x:v>
      </x:c>
      <x:c r="I325" s="5" t="n">
        <x:f t="shared" si="5">F325*1000*H325</x:f>
        <x:v>368564.45272500004</x:v>
      </x:c>
      <x:c r="J325" t="n">
        <x:v>3.7619750000000005</x:v>
      </x:c>
    </x:row>
    <x:row r="326">
      <x:c r="A326" s="3" t="n">
        <x:v>2023</x:v>
      </x:c>
      <x:c r="B326" s="2" t="str">
        <x:v>Septiembre</x:v>
      </x:c>
      <x:c r="C326" s="2" t="str">
        <x:v>RE-001604-1</x:v>
      </x:c>
      <x:c r="D326" s="2" t="str">
        <x:v>P.E. Somozas</x:v>
      </x:c>
      <x:c r="E326" s="4" t="n">
        <x:v>2.4221999999999997</x:v>
      </x:c>
      <x:c r="F326" s="4" t="n">
        <x:f>J326*0.98</x:f>
        <x:v>2.3208360000000003</x:v>
      </x:c>
      <x:c r="G326" s="4" t="n">
        <x:v>14.4</x:v>
      </x:c>
      <x:c r="H326" s="4" t="n">
        <x:v>103.34</x:v>
      </x:c>
      <x:c r="I326" s="5" t="n">
        <x:f t="shared" si="5">F326*1000*H326</x:f>
        <x:v>239835.19224000003</x:v>
      </x:c>
      <x:c r="J326" t="n">
        <x:v>2.3682000000000003</x:v>
      </x:c>
    </x:row>
    <x:row r="327">
      <x:c r="A327" s="3" t="n">
        <x:v>2023</x:v>
      </x:c>
      <x:c r="B327" s="2" t="str">
        <x:v>Septiembre</x:v>
      </x:c>
      <x:c r="C327" s="2" t="str">
        <x:v>RE-001604-2</x:v>
      </x:c>
      <x:c r="D327" s="2" t="str">
        <x:v>P.E. Somozas</x:v>
      </x:c>
      <x:c r="E327" s="4" t="n">
        <x:v>1.9175749999999998</x:v>
      </x:c>
      <x:c r="F327" s="4" t="n">
        <x:f>J327*0.98</x:f>
        <x:v>1.8373285000000001</x:v>
      </x:c>
      <x:c r="G327" s="4" t="n">
        <x:v>11.4</x:v>
      </x:c>
      <x:c r="H327" s="4" t="n">
        <x:v>103.34</x:v>
      </x:c>
      <x:c r="I327" s="5" t="n">
        <x:f t="shared" si="5">F327*1000*H327</x:f>
        <x:v>189869.52719000002</x:v>
      </x:c>
      <x:c r="J327" t="n">
        <x:v>1.8748250000000002</x:v>
      </x:c>
    </x:row>
    <x:row r="328">
      <x:c r="A328" s="3" t="n">
        <x:v>2023</x:v>
      </x:c>
      <x:c r="B328" s="2" t="str">
        <x:v>Septiembre</x:v>
      </x:c>
      <x:c r="C328" s="2" t="str">
        <x:v>RE-001604-3</x:v>
      </x:c>
      <x:c r="D328" s="2" t="str">
        <x:v>P.E. Somozas</x:v>
      </x:c>
      <x:c r="E328" s="4" t="n">
        <x:v>3.7342250000000003</x:v>
      </x:c>
      <x:c r="F328" s="4" t="n">
        <x:f>J328*0.98</x:f>
        <x:v>3.5779555</x:v>
      </x:c>
      <x:c r="G328" s="4" t="n">
        <x:v>22.2</x:v>
      </x:c>
      <x:c r="H328" s="4" t="n">
        <x:v>103.34</x:v>
      </x:c>
      <x:c r="I328" s="5" t="n">
        <x:f t="shared" si="5">F328*1000*H328</x:f>
        <x:v>369745.92137</x:v>
      </x:c>
      <x:c r="J328" t="n">
        <x:v>3.650975</x:v>
      </x:c>
    </x:row>
    <x:row r="329">
      <x:c r="A329" s="3" t="n">
        <x:v>2023</x:v>
      </x:c>
      <x:c r="B329" s="2" t="str">
        <x:v>Octubre</x:v>
      </x:c>
      <x:c r="C329" s="2" t="str">
        <x:v>RE-001604-1</x:v>
      </x:c>
      <x:c r="D329" s="2" t="str">
        <x:v>P.E. Somozas</x:v>
      </x:c>
      <x:c r="E329" s="4" t="n">
        <x:v>3.1857</x:v>
      </x:c>
      <x:c r="F329" s="4" t="n">
        <x:f>J329*0.94</x:f>
        <x:v>2.933646</x:v>
      </x:c>
      <x:c r="G329" s="4" t="n">
        <x:v>14.4</x:v>
      </x:c>
      <x:c r="H329" s="4" t="n">
        <x:v>90.14</x:v>
      </x:c>
      <x:c r="I329" s="5" t="n">
        <x:f t="shared" si="5">F329*1000*H329</x:f>
        <x:v>264438.85044</x:v>
      </x:c>
      <x:c r="J329" t="n">
        <x:v>3.1209000000000002</x:v>
      </x:c>
    </x:row>
    <x:row r="330">
      <x:c r="A330" s="3" t="n">
        <x:v>2023</x:v>
      </x:c>
      <x:c r="B330" s="2" t="str">
        <x:v>Octubre</x:v>
      </x:c>
      <x:c r="C330" s="2" t="str">
        <x:v>RE-001604-2</x:v>
      </x:c>
      <x:c r="D330" s="2" t="str">
        <x:v>P.E. Somozas</x:v>
      </x:c>
      <x:c r="E330" s="4" t="n">
        <x:v>2.5220124999999998</x:v>
      </x:c>
      <x:c r="F330" s="4" t="n">
        <x:f>J330*0.94</x:f>
        <x:v>2.32246975</x:v>
      </x:c>
      <x:c r="G330" s="4" t="n">
        <x:v>11.4</x:v>
      </x:c>
      <x:c r="H330" s="4" t="n">
        <x:v>90.14</x:v>
      </x:c>
      <x:c r="I330" s="5" t="n">
        <x:f t="shared" si="5">F330*1000*H330</x:f>
        <x:v>209347.42326500002</x:v>
      </x:c>
      <x:c r="J330" t="n">
        <x:v>2.4707125000000003</x:v>
      </x:c>
    </x:row>
    <x:row r="331">
      <x:c r="A331" s="3" t="n">
        <x:v>2023</x:v>
      </x:c>
      <x:c r="B331" s="2" t="str">
        <x:v>Octubre</x:v>
      </x:c>
      <x:c r="C331" s="2" t="str">
        <x:v>RE-001604-3</x:v>
      </x:c>
      <x:c r="D331" s="2" t="str">
        <x:v>P.E. Somozas</x:v>
      </x:c>
      <x:c r="E331" s="4" t="n">
        <x:v>4.9112875</x:v>
      </x:c>
      <x:c r="F331" s="4" t="n">
        <x:f>J331*0.94</x:f>
        <x:v>4.52270425</x:v>
      </x:c>
      <x:c r="G331" s="4" t="n">
        <x:v>22.2</x:v>
      </x:c>
      <x:c r="H331" s="4" t="n">
        <x:v>90.14</x:v>
      </x:c>
      <x:c r="I331" s="5" t="n">
        <x:f t="shared" si="5">F331*1000*H331</x:f>
        <x:v>407676.56109500007</x:v>
      </x:c>
      <x:c r="J331" t="n">
        <x:v>4.8113875</x:v>
      </x:c>
    </x:row>
    <x:row r="332">
      <x:c r="A332" s="3" t="n">
        <x:v>2023</x:v>
      </x:c>
      <x:c r="B332" s="2" t="str">
        <x:v>Noviembre</x:v>
      </x:c>
      <x:c r="C332" s="2" t="str">
        <x:v>RE-001604-1</x:v>
      </x:c>
      <x:c r="D332" s="2" t="str">
        <x:v>P.E. Somozas</x:v>
      </x:c>
      <x:c r="E332" s="4" t="n">
        <x:v>4.0875</x:v>
      </x:c>
      <x:c r="F332" s="4" t="n">
        <x:f>J332*1.01</x:f>
        <x:v>3.9983880000000003</x:v>
      </x:c>
      <x:c r="G332" s="4" t="n">
        <x:v>14.4</x:v>
      </x:c>
      <x:c r="H332" s="4" t="n">
        <x:v>63.45</x:v>
      </x:c>
      <x:c r="I332" s="5" t="n">
        <x:f t="shared" si="5">F332*1000*H332</x:f>
        <x:v>253697.71860000002</x:v>
      </x:c>
      <x:c r="J332" t="n">
        <x:v>3.9588</x:v>
      </x:c>
    </x:row>
    <x:row r="333">
      <x:c r="A333" s="3" t="n">
        <x:v>2023</x:v>
      </x:c>
      <x:c r="B333" s="2" t="str">
        <x:v>Noviembre</x:v>
      </x:c>
      <x:c r="C333" s="2" t="str">
        <x:v>RE-001604-2</x:v>
      </x:c>
      <x:c r="D333" s="2" t="str">
        <x:v>P.E. Somozas</x:v>
      </x:c>
      <x:c r="E333" s="4" t="n">
        <x:v>3.2359375</x:v>
      </x:c>
      <x:c r="F333" s="4" t="n">
        <x:f>J333*1.01</x:f>
        <x:v>3.1653905</x:v>
      </x:c>
      <x:c r="G333" s="4" t="n">
        <x:v>11.4</x:v>
      </x:c>
      <x:c r="H333" s="4" t="n">
        <x:v>63.45</x:v>
      </x:c>
      <x:c r="I333" s="5" t="n">
        <x:f t="shared" si="5">F333*1000*H333</x:f>
        <x:v>200844.027225</x:v>
      </x:c>
      <x:c r="J333" t="n">
        <x:v>3.13405</x:v>
      </x:c>
    </x:row>
    <x:row r="334">
      <x:c r="A334" s="3" t="n">
        <x:v>2023</x:v>
      </x:c>
      <x:c r="B334" s="2" t="str">
        <x:v>Noviembre</x:v>
      </x:c>
      <x:c r="C334" s="2" t="str">
        <x:v>RE-001604-3</x:v>
      </x:c>
      <x:c r="D334" s="2" t="str">
        <x:v>P.E. Somozas</x:v>
      </x:c>
      <x:c r="E334" s="4" t="n">
        <x:v>6.301562499999999</x:v>
      </x:c>
      <x:c r="F334" s="4" t="n">
        <x:f>J334*1.01</x:f>
        <x:v>6.1641815</x:v>
      </x:c>
      <x:c r="G334" s="4" t="n">
        <x:v>22.2</x:v>
      </x:c>
      <x:c r="H334" s="4" t="n">
        <x:v>63.45</x:v>
      </x:c>
      <x:c r="I334" s="5" t="n">
        <x:f t="shared" si="5">F334*1000*H334</x:f>
        <x:v>391117.316175</x:v>
      </x:c>
      <x:c r="J334" t="n">
        <x:v>6.103149999999999</x:v>
      </x:c>
    </x:row>
    <x:row r="335">
      <x:c r="A335" s="3" t="n">
        <x:v>2023</x:v>
      </x:c>
      <x:c r="B335" s="2" t="str">
        <x:v>Diciembre</x:v>
      </x:c>
      <x:c r="C335" s="2" t="str">
        <x:v>RE-001604-1</x:v>
      </x:c>
      <x:c r="D335" s="2" t="str">
        <x:v>P.E. Somozas</x:v>
      </x:c>
      <x:c r="E335" s="4" t="n">
        <x:v>5.020200000000001</x:v>
      </x:c>
      <x:c r="F335" s="4" t="n">
        <x:f>J335*0.97</x:f>
        <x:v>4.746500999999999</x:v>
      </x:c>
      <x:c r="G335" s="4" t="n">
        <x:v>14.4</x:v>
      </x:c>
      <x:c r="H335" s="4" t="n">
        <x:v>72.17</x:v>
      </x:c>
      <x:c r="I335" s="5" t="n">
        <x:f t="shared" si="5">F335*1000*H335</x:f>
        <x:v>342554.97716999997</x:v>
      </x:c>
      <x:c r="J335" t="n">
        <x:v>4.8933</x:v>
      </x:c>
    </x:row>
    <x:row r="336">
      <x:c r="A336" s="3" t="n">
        <x:v>2023</x:v>
      </x:c>
      <x:c r="B336" s="2" t="str">
        <x:v>Diciembre</x:v>
      </x:c>
      <x:c r="C336" s="2" t="str">
        <x:v>RE-001604-2</x:v>
      </x:c>
      <x:c r="D336" s="2" t="str">
        <x:v>P.E. Somozas</x:v>
      </x:c>
      <x:c r="E336" s="4" t="n">
        <x:v>3.9743250000000003</x:v>
      </x:c>
      <x:c r="F336" s="4" t="n">
        <x:f>J336*0.97</x:f>
        <x:v>3.757646625</x:v>
      </x:c>
      <x:c r="G336" s="4" t="n">
        <x:v>11.4</x:v>
      </x:c>
      <x:c r="H336" s="4" t="n">
        <x:v>72.17</x:v>
      </x:c>
      <x:c r="I336" s="5" t="n">
        <x:f t="shared" si="5">F336*1000*H336</x:f>
        <x:v>271189.35692625</x:v>
      </x:c>
      <x:c r="J336" t="n">
        <x:v>3.8738625</x:v>
      </x:c>
    </x:row>
    <x:row r="337">
      <x:c r="A337" s="3" t="n">
        <x:v>2023</x:v>
      </x:c>
      <x:c r="B337" s="2" t="str">
        <x:v>Diciembre</x:v>
      </x:c>
      <x:c r="C337" s="2" t="str">
        <x:v>RE-001604-3</x:v>
      </x:c>
      <x:c r="D337" s="2" t="str">
        <x:v>P.E. Somozas</x:v>
      </x:c>
      <x:c r="E337" s="4" t="n">
        <x:v>7.7394750000000005</x:v>
      </x:c>
      <x:c r="F337" s="4" t="n">
        <x:f>J337*0.97</x:f>
        <x:v>7.317522375</x:v>
      </x:c>
      <x:c r="G337" s="4" t="n">
        <x:v>22.2</x:v>
      </x:c>
      <x:c r="H337" s="4" t="n">
        <x:v>72.17</x:v>
      </x:c>
      <x:c r="I337" s="5" t="n">
        <x:f t="shared" si="5">F337*1000*H337</x:f>
        <x:v>528105.58980375</x:v>
      </x:c>
      <x:c r="J337" t="n">
        <x:v>7.5438375</x:v>
      </x:c>
    </x:row>
    <x:row r="338">
      <x:c r="A338" s="3" t="n">
        <x:v>2023</x:v>
      </x:c>
      <x:c r="B338" s="2" t="str">
        <x:v>Enero</x:v>
      </x:c>
      <x:c r="C338" s="2" t="str">
        <x:v>RE-001625-1</x:v>
      </x:c>
      <x:c r="D338" s="2" t="str">
        <x:v>P.E. DE FORGOSELO</x:v>
      </x:c>
      <x:c r="E338" s="4" t="n">
        <x:v>6.954</x:v>
      </x:c>
      <x:c r="F338" s="4" t="n">
        <x:f>J338*1.04</x:f>
        <x:v>7.0772</x:v>
      </x:c>
      <x:c r="G338" s="4" t="n">
        <x:v>24.42</x:v>
      </x:c>
      <x:c r="H338" s="4" t="n">
        <x:v>69.55</x:v>
      </x:c>
      <x:c r="I338" s="5" t="n">
        <x:f t="shared" si="5">F338*1000*H338</x:f>
        <x:v>492219.26</x:v>
      </x:c>
      <x:c r="J338" t="n">
        <x:v>6.805</x:v>
      </x:c>
    </x:row>
    <x:row r="339">
      <x:c r="A339" s="3" t="n">
        <x:v>2023</x:v>
      </x:c>
      <x:c r="B339" s="2" t="str">
        <x:v>Febrero</x:v>
      </x:c>
      <x:c r="C339" s="2" t="str">
        <x:v>RE-001625-1</x:v>
      </x:c>
      <x:c r="D339" s="2" t="str">
        <x:v>P.E. DE FORGOSELO</x:v>
      </x:c>
      <x:c r="E339" s="4" t="n">
        <x:v>5.566</x:v>
      </x:c>
      <x:c r="F339" s="4" t="n">
        <x:f>J339*1</x:f>
        <x:v>5.388</x:v>
      </x:c>
      <x:c r="G339" s="4" t="n">
        <x:v>24.42</x:v>
      </x:c>
      <x:c r="H339" s="4" t="n">
        <x:v>133.47</x:v>
      </x:c>
      <x:c r="I339" s="5" t="n">
        <x:f t="shared" si="5">F339*1000*H339</x:f>
        <x:v>719136.36</x:v>
      </x:c>
      <x:c r="J339" t="n">
        <x:v>5.388</x:v>
      </x:c>
    </x:row>
    <x:row r="340">
      <x:c r="A340" s="3" t="n">
        <x:v>2023</x:v>
      </x:c>
      <x:c r="B340" s="2" t="str">
        <x:v>Marzo</x:v>
      </x:c>
      <x:c r="C340" s="2" t="str">
        <x:v>RE-001625-1</x:v>
      </x:c>
      <x:c r="D340" s="2" t="str">
        <x:v>P.E. DE FORGOSELO</x:v>
      </x:c>
      <x:c r="E340" s="4" t="n">
        <x:v>7.336</x:v>
      </x:c>
      <x:c r="F340" s="4" t="n">
        <x:f>J340*0.96</x:f>
        <x:v>6.82272</x:v>
      </x:c>
      <x:c r="G340" s="4" t="n">
        <x:v>24.42</x:v>
      </x:c>
      <x:c r="H340" s="4" t="n">
        <x:v>89.61</x:v>
      </x:c>
      <x:c r="I340" s="5" t="n">
        <x:f t="shared" si="5">F340*1000*H340</x:f>
        <x:v>611383.9392</x:v>
      </x:c>
      <x:c r="J340" t="n">
        <x:v>7.107</x:v>
      </x:c>
    </x:row>
    <x:row r="341">
      <x:c r="A341" s="3" t="n">
        <x:v>2023</x:v>
      </x:c>
      <x:c r="B341" s="2" t="str">
        <x:v>Abril</x:v>
      </x:c>
      <x:c r="C341" s="2" t="str">
        <x:v>RE-001625-1</x:v>
      </x:c>
      <x:c r="D341" s="2" t="str">
        <x:v>P.E. DE FORGOSELO</x:v>
      </x:c>
      <x:c r="E341" s="4" t="n">
        <x:v>5.802</x:v>
      </x:c>
      <x:c r="F341" s="4" t="n">
        <x:f>J341*1.03</x:f>
        <x:v>5.86585</x:v>
      </x:c>
      <x:c r="G341" s="4" t="n">
        <x:v>24.42</x:v>
      </x:c>
      <x:c r="H341" s="4" t="n">
        <x:v>73.73</x:v>
      </x:c>
      <x:c r="I341" s="5" t="n">
        <x:f t="shared" si="5">F341*1000*H341</x:f>
        <x:v>432489.1205000001</x:v>
      </x:c>
      <x:c r="J341" t="n">
        <x:v>5.695</x:v>
      </x:c>
    </x:row>
    <x:row r="342">
      <x:c r="A342" s="3" t="n">
        <x:v>2023</x:v>
      </x:c>
      <x:c r="B342" s="2" t="str">
        <x:v>Mayo</x:v>
      </x:c>
      <x:c r="C342" s="2" t="str">
        <x:v>RE-001625-1</x:v>
      </x:c>
      <x:c r="D342" s="2" t="str">
        <x:v>P.E. DE FORGOSELO</x:v>
      </x:c>
      <x:c r="E342" s="4" t="n">
        <x:v>4.209</x:v>
      </x:c>
      <x:c r="F342" s="4" t="n">
        <x:f>J342*0.99</x:f>
        <x:v>4.09266</x:v>
      </x:c>
      <x:c r="G342" s="4" t="n">
        <x:v>24.42</x:v>
      </x:c>
      <x:c r="H342" s="4" t="n">
        <x:v>74.21</x:v>
      </x:c>
      <x:c r="I342" s="5" t="n">
        <x:f t="shared" si="5">F342*1000*H342</x:f>
        <x:v>303716.2986</x:v>
      </x:c>
      <x:c r="J342" t="n">
        <x:v>4.134</x:v>
      </x:c>
    </x:row>
    <x:row r="343">
      <x:c r="A343" s="3" t="n">
        <x:v>2023</x:v>
      </x:c>
      <x:c r="B343" s="2" t="str">
        <x:v>Junio</x:v>
      </x:c>
      <x:c r="C343" s="2" t="str">
        <x:v>RE-001625-1</x:v>
      </x:c>
      <x:c r="D343" s="2" t="str">
        <x:v>P.E. DE FORGOSELO</x:v>
      </x:c>
      <x:c r="E343" s="4" t="n">
        <x:v>3.746</x:v>
      </x:c>
      <x:c r="F343" s="4" t="n">
        <x:f>J343*0.95</x:f>
        <x:v>3.4922</x:v>
      </x:c>
      <x:c r="G343" s="4" t="n">
        <x:v>24.42</x:v>
      </x:c>
      <x:c r="H343" s="4" t="n">
        <x:v>93.02</x:v>
      </x:c>
      <x:c r="I343" s="5" t="n">
        <x:f t="shared" si="5">F343*1000*H343</x:f>
        <x:v>324844.44399999996</x:v>
      </x:c>
      <x:c r="J343" t="n">
        <x:v>3.676</x:v>
      </x:c>
    </x:row>
    <x:row r="344">
      <x:c r="A344" s="3" t="n">
        <x:v>2023</x:v>
      </x:c>
      <x:c r="B344" s="2" t="str">
        <x:v>Julio</x:v>
      </x:c>
      <x:c r="C344" s="2" t="str">
        <x:v>RE-001625-1</x:v>
      </x:c>
      <x:c r="D344" s="2" t="str">
        <x:v>P.E. DE FORGOSELO</x:v>
      </x:c>
      <x:c r="E344" s="4" t="n">
        <x:v>3.686</x:v>
      </x:c>
      <x:c r="F344" s="4" t="n">
        <x:f>J344*1.02</x:f>
        <x:v>3.65262</x:v>
      </x:c>
      <x:c r="G344" s="4" t="n">
        <x:v>24.42</x:v>
      </x:c>
      <x:c r="H344" s="4" t="n">
        <x:v>90.47</x:v>
      </x:c>
      <x:c r="I344" s="5" t="n">
        <x:f t="shared" si="5">F344*1000*H344</x:f>
        <x:v>330452.53140000004</x:v>
      </x:c>
      <x:c r="J344" t="n">
        <x:v>3.581</x:v>
      </x:c>
    </x:row>
    <x:row r="345">
      <x:c r="A345" s="3" t="n">
        <x:v>2023</x:v>
      </x:c>
      <x:c r="B345" s="2" t="str">
        <x:v>Agosto</x:v>
      </x:c>
      <x:c r="C345" s="2" t="str">
        <x:v>RE-001625-1</x:v>
      </x:c>
      <x:c r="D345" s="2" t="str">
        <x:v>P.E. DE FORGOSELO</x:v>
      </x:c>
      <x:c r="E345" s="4" t="n">
        <x:v>3.962</x:v>
      </x:c>
      <x:c r="F345" s="4" t="n">
        <x:f>J345*0.98</x:f>
        <x:v>3.82396</x:v>
      </x:c>
      <x:c r="G345" s="4" t="n">
        <x:v>24.42</x:v>
      </x:c>
      <x:c r="H345" s="4" t="n">
        <x:v>96.05</x:v>
      </x:c>
      <x:c r="I345" s="5" t="n">
        <x:f t="shared" si="5">F345*1000*H345</x:f>
        <x:v>367291.358</x:v>
      </x:c>
      <x:c r="J345" t="n">
        <x:v>3.902</x:v>
      </x:c>
    </x:row>
    <x:row r="346">
      <x:c r="A346" s="3" t="n">
        <x:v>2023</x:v>
      </x:c>
      <x:c r="B346" s="2" t="str">
        <x:v>Septiembre</x:v>
      </x:c>
      <x:c r="C346" s="2" t="str">
        <x:v>RE-001625-1</x:v>
      </x:c>
      <x:c r="D346" s="2" t="str">
        <x:v>P.E. DE FORGOSELO</x:v>
      </x:c>
      <x:c r="E346" s="4" t="n">
        <x:v>4.772</x:v>
      </x:c>
      <x:c r="F346" s="4" t="n">
        <x:f>J346*0.94</x:f>
        <x:v>4.415179999999999</x:v>
      </x:c>
      <x:c r="G346" s="4" t="n">
        <x:v>24.42</x:v>
      </x:c>
      <x:c r="H346" s="4" t="n">
        <x:v>103.34</x:v>
      </x:c>
      <x:c r="I346" s="5" t="n">
        <x:f t="shared" si="5">F346*1000*H346</x:f>
        <x:v>456264.70119999995</x:v>
      </x:c>
      <x:c r="J346" t="n">
        <x:v>4.697</x:v>
      </x:c>
    </x:row>
    <x:row r="347">
      <x:c r="A347" s="3" t="n">
        <x:v>2023</x:v>
      </x:c>
      <x:c r="B347" s="2" t="str">
        <x:v>Octubre</x:v>
      </x:c>
      <x:c r="C347" s="2" t="str">
        <x:v>RE-001625-1</x:v>
      </x:c>
      <x:c r="D347" s="2" t="str">
        <x:v>P.E. DE FORGOSELO</x:v>
      </x:c>
      <x:c r="E347" s="4" t="n">
        <x:v>6.185</x:v>
      </x:c>
      <x:c r="F347" s="4" t="n">
        <x:f>J347*1.01</x:f>
        <x:v>6.1236299999999995</x:v>
      </x:c>
      <x:c r="G347" s="4" t="n">
        <x:v>24.42</x:v>
      </x:c>
      <x:c r="H347" s="4" t="n">
        <x:v>90.14</x:v>
      </x:c>
      <x:c r="I347" s="5" t="n">
        <x:f t="shared" si="5">F347*1000*H347</x:f>
        <x:v>551984.0081999999</x:v>
      </x:c>
      <x:c r="J347" t="n">
        <x:v>6.063</x:v>
      </x:c>
    </x:row>
    <x:row r="348">
      <x:c r="A348" s="3" t="n">
        <x:v>2023</x:v>
      </x:c>
      <x:c r="B348" s="2" t="str">
        <x:v>Noviembre</x:v>
      </x:c>
      <x:c r="C348" s="2" t="str">
        <x:v>RE-001625-1</x:v>
      </x:c>
      <x:c r="D348" s="2" t="str">
        <x:v>P.E. DE FORGOSELO</x:v>
      </x:c>
      <x:c r="E348" s="4" t="n">
        <x:v>6.436</x:v>
      </x:c>
      <x:c r="F348" s="4" t="n">
        <x:f>J348*0.97</x:f>
        <x:v>6.1304</x:v>
      </x:c>
      <x:c r="G348" s="4" t="n">
        <x:v>24.42</x:v>
      </x:c>
      <x:c r="H348" s="4" t="n">
        <x:v>63.45</x:v>
      </x:c>
      <x:c r="I348" s="5" t="n">
        <x:f t="shared" si="5">F348*1000*H348</x:f>
        <x:v>388973.88</x:v>
      </x:c>
      <x:c r="J348" t="n">
        <x:v>6.32</x:v>
      </x:c>
    </x:row>
    <x:row r="349">
      <x:c r="A349" s="3" t="n">
        <x:v>2023</x:v>
      </x:c>
      <x:c r="B349" s="2" t="str">
        <x:v>Diciembre</x:v>
      </x:c>
      <x:c r="C349" s="2" t="str">
        <x:v>RE-001625-1</x:v>
      </x:c>
      <x:c r="D349" s="2" t="str">
        <x:v>P.E. DE FORGOSELO</x:v>
      </x:c>
      <x:c r="E349" s="4" t="n">
        <x:v>8.061</x:v>
      </x:c>
      <x:c r="F349" s="4" t="n">
        <x:f>J349*1.04</x:f>
        <x:v>8.13696</x:v>
      </x:c>
      <x:c r="G349" s="4" t="n">
        <x:v>24.42</x:v>
      </x:c>
      <x:c r="H349" s="4" t="n">
        <x:v>72.17</x:v>
      </x:c>
      <x:c r="I349" s="5" t="n">
        <x:f t="shared" si="5">F349*1000*H349</x:f>
        <x:v>587244.4032000001</x:v>
      </x:c>
      <x:c r="J349" t="n">
        <x:v>7.824</x:v>
      </x:c>
    </x:row>
    <x:row r="350">
      <x:c r="A350" s="3" t="n">
        <x:v>2023</x:v>
      </x:c>
      <x:c r="B350" s="2" t="str">
        <x:v>Enero</x:v>
      </x:c>
      <x:c r="C350" s="2" t="str">
        <x:v>RE-001842-1</x:v>
      </x:c>
      <x:c r="D350" s="2" t="str">
        <x:v>PARQUE EOLICO DE SOTAVENTO</x:v>
      </x:c>
      <x:c r="E350" s="4" t="n">
        <x:v>4.94682899207248</x:v>
      </x:c>
      <x:c r="F350" s="4" t="n">
        <x:f>J350*1</x:f>
        <x:v>4.822536806342016</x:v>
      </x:c>
      <x:c r="G350" s="4" t="n">
        <x:v>17.56</x:v>
      </x:c>
      <x:c r="H350" s="4" t="n">
        <x:v>69.55</x:v>
      </x:c>
      <x:c r="I350" s="5" t="n">
        <x:f t="shared" si="5">F350*1000*H350</x:f>
        <x:v>335407.43488108716</x:v>
      </x:c>
      <x:c r="J350" t="n">
        <x:v>4.822536806342016</x:v>
      </x:c>
    </x:row>
    <x:row r="351">
      <x:c r="A351" s="3" t="n">
        <x:v>2023</x:v>
      </x:c>
      <x:c r="B351" s="2" t="str">
        <x:v>Enero</x:v>
      </x:c>
      <x:c r="C351" s="2" t="str">
        <x:v>RE-001842-2</x:v>
      </x:c>
      <x:c r="D351" s="2" t="str">
        <x:v>PARQUE EOLICO DE SOTAVENTO</x:v>
      </x:c>
      <x:c r="E351" s="4" t="n">
        <x:v>0.028171007927519476</x:v>
      </x:c>
      <x:c r="F351" s="4" t="n">
        <x:f>J351*1</x:f>
        <x:v>0.027463193657983886</x:v>
      </x:c>
      <x:c r="G351" s="4" t="n">
        <x:v>0.1</x:v>
      </x:c>
      <x:c r="H351" s="4" t="n">
        <x:v>69.55</x:v>
      </x:c>
      <x:c r="I351" s="5" t="n">
        <x:f t="shared" si="5">F351*1000*H351</x:f>
        <x:v>1910.0651189127793</x:v>
      </x:c>
      <x:c r="J351" t="n">
        <x:v>0.027463193657983886</x:v>
      </x:c>
    </x:row>
    <x:row r="352">
      <x:c r="A352" s="3" t="n">
        <x:v>2023</x:v>
      </x:c>
      <x:c r="B352" s="2" t="str">
        <x:v>Febrero</x:v>
      </x:c>
      <x:c r="C352" s="2" t="str">
        <x:v>RE-001842-1</x:v>
      </x:c>
      <x:c r="D352" s="2" t="str">
        <x:v>PARQUE EOLICO DE SOTAVENTO</x:v>
      </x:c>
      <x:c r="E352" s="4" t="n">
        <x:v>3.9117236693091737</x:v>
      </x:c>
      <x:c r="F352" s="4" t="n">
        <x:f>J352*0.96</x:f>
        <x:v>3.694162627406568</x:v>
      </x:c>
      <x:c r="G352" s="4" t="n">
        <x:v>17.56</x:v>
      </x:c>
      <x:c r="H352" s="4" t="n">
        <x:v>133.47</x:v>
      </x:c>
      <x:c r="I352" s="5" t="n">
        <x:f t="shared" si="5">F352*1000*H352</x:f>
        <x:v>493059.8858799546</x:v>
      </x:c>
      <x:c r="J352" t="n">
        <x:v>3.8480860702151753</x:v>
      </x:c>
    </x:row>
    <x:row r="353">
      <x:c r="A353" s="3" t="n">
        <x:v>2023</x:v>
      </x:c>
      <x:c r="B353" s="2" t="str">
        <x:v>Febrero</x:v>
      </x:c>
      <x:c r="C353" s="2" t="str">
        <x:v>RE-001842-2</x:v>
      </x:c>
      <x:c r="D353" s="2" t="str">
        <x:v>PARQUE EOLICO DE SOTAVENTO</x:v>
      </x:c>
      <x:c r="E353" s="4" t="n">
        <x:v>0.022276330690826462</x:v>
      </x:c>
      <x:c r="F353" s="4" t="n">
        <x:f>J353*0.96</x:f>
        <x:v>0.021037372593431768</x:v>
      </x:c>
      <x:c r="G353" s="4" t="n">
        <x:v>0.1</x:v>
      </x:c>
      <x:c r="H353" s="4" t="n">
        <x:v>133.47</x:v>
      </x:c>
      <x:c r="I353" s="5" t="n">
        <x:f t="shared" si="5">F353*1000*H353</x:f>
        <x:v>2807.858120045338</x:v>
      </x:c>
      <x:c r="J353" t="n">
        <x:v>0.02191392978482476</x:v>
      </x:c>
    </x:row>
    <x:row r="354">
      <x:c r="A354" s="3" t="n">
        <x:v>2023</x:v>
      </x:c>
      <x:c r="B354" s="2" t="str">
        <x:v>Marzo</x:v>
      </x:c>
      <x:c r="C354" s="2" t="str">
        <x:v>RE-001842-1</x:v>
      </x:c>
      <x:c r="D354" s="2" t="str">
        <x:v>PARQUE EOLICO DE SOTAVENTO</x:v>
      </x:c>
      <x:c r="E354" s="4" t="n">
        <x:v>4.430767836919593</x:v>
      </x:c>
      <x:c r="F354" s="4" t="n">
        <x:f>J354*1.03</x:f>
        <x:v>4.462298278595696</x:v>
      </x:c>
      <x:c r="G354" s="4" t="n">
        <x:v>17.56</x:v>
      </x:c>
      <x:c r="H354" s="4" t="n">
        <x:v>89.61</x:v>
      </x:c>
      <x:c r="I354" s="5" t="n">
        <x:f t="shared" si="5">F354*1000*H354</x:f>
        <x:v>399866.54874496034</x:v>
      </x:c>
      <x:c r="J354" t="n">
        <x:v>4.332328425821064</x:v>
      </x:c>
    </x:row>
    <x:row r="355">
      <x:c r="A355" s="3" t="n">
        <x:v>2023</x:v>
      </x:c>
      <x:c r="B355" s="2" t="str">
        <x:v>Marzo</x:v>
      </x:c>
      <x:c r="C355" s="2" t="str">
        <x:v>RE-001842-2</x:v>
      </x:c>
      <x:c r="D355" s="2" t="str">
        <x:v>PARQUE EOLICO DE SOTAVENTO</x:v>
      </x:c>
      <x:c r="E355" s="4" t="n">
        <x:v>0.025232163080407766</x:v>
      </x:c>
      <x:c r="F355" s="4" t="n">
        <x:f>J355*1.03</x:f>
        <x:v>0.025411721404304144</x:v>
      </x:c>
      <x:c r="G355" s="4" t="n">
        <x:v>0.1</x:v>
      </x:c>
      <x:c r="H355" s="4" t="n">
        <x:v>89.61</x:v>
      </x:c>
      <x:c r="I355" s="5" t="n">
        <x:f t="shared" si="5">F355*1000*H355</x:f>
        <x:v>2277.1443550396943</x:v>
      </x:c>
      <x:c r="J355" t="n">
        <x:v>0.024671574178936062</x:v>
      </x:c>
    </x:row>
    <x:row r="356">
      <x:c r="A356" s="3" t="n">
        <x:v>2023</x:v>
      </x:c>
      <x:c r="B356" s="2" t="str">
        <x:v>Abril</x:v>
      </x:c>
      <x:c r="C356" s="2" t="str">
        <x:v>RE-001842-1</x:v>
      </x:c>
      <x:c r="D356" s="2" t="str">
        <x:v>PARQUE EOLICO DE SOTAVENTO</x:v>
      </x:c>
      <x:c r="E356" s="4" t="n">
        <x:v>4.046953567383919</x:v>
      </x:c>
      <x:c r="F356" s="4" t="n">
        <x:f>J356*0.99</x:f>
        <x:v>3.9365920498301246</x:v>
      </x:c>
      <x:c r="G356" s="4" t="n">
        <x:v>17.56</x:v>
      </x:c>
      <x:c r="H356" s="4" t="n">
        <x:v>73.73</x:v>
      </x:c>
      <x:c r="I356" s="5" t="n">
        <x:f t="shared" si="5">F356*1000*H356</x:f>
        <x:v>290244.93183397513</x:v>
      </x:c>
      <x:c r="J356" t="n">
        <x:v>3.976355605889015</x:v>
      </x:c>
    </x:row>
    <x:row r="357">
      <x:c r="A357" s="3" t="n">
        <x:v>2023</x:v>
      </x:c>
      <x:c r="B357" s="2" t="str">
        <x:v>Abril</x:v>
      </x:c>
      <x:c r="C357" s="2" t="str">
        <x:v>RE-001842-2</x:v>
      </x:c>
      <x:c r="D357" s="2" t="str">
        <x:v>PARQUE EOLICO DE SOTAVENTO</x:v>
      </x:c>
      <x:c r="E357" s="4" t="n">
        <x:v>0.023046432616081525</x:v>
      </x:c>
      <x:c r="F357" s="4" t="n">
        <x:f>J357*0.99</x:f>
        <x:v>0.022417950169875436</x:v>
      </x:c>
      <x:c r="G357" s="4" t="n">
        <x:v>0.1</x:v>
      </x:c>
      <x:c r="H357" s="4" t="n">
        <x:v>73.73</x:v>
      </x:c>
      <x:c r="I357" s="5" t="n">
        <x:f t="shared" si="5">F357*1000*H357</x:f>
        <x:v>1652.875466024916</x:v>
      </x:c>
      <x:c r="J357" t="n">
        <x:v>0.02264439411098529</x:v>
      </x:c>
    </x:row>
    <x:row r="358">
      <x:c r="A358" s="3" t="n">
        <x:v>2023</x:v>
      </x:c>
      <x:c r="B358" s="2" t="str">
        <x:v>Mayo</x:v>
      </x:c>
      <x:c r="C358" s="2" t="str">
        <x:v>RE-001842-1</x:v>
      </x:c>
      <x:c r="D358" s="2" t="str">
        <x:v>PARQUE EOLICO DE SOTAVENTO</x:v>
      </x:c>
      <x:c r="E358" s="4" t="n">
        <x:v>3.012842582106455</x:v>
      </x:c>
      <x:c r="F358" s="4" t="n">
        <x:f>J358*0.95</x:f>
        <x:v>2.778129218573046</x:v>
      </x:c>
      <x:c r="G358" s="4" t="n">
        <x:v>17.56</x:v>
      </x:c>
      <x:c r="H358" s="4" t="n">
        <x:v>74.21</x:v>
      </x:c>
      <x:c r="I358" s="5" t="n">
        <x:f t="shared" si="5">F358*1000*H358</x:f>
        <x:v>206164.96931030575</x:v>
      </x:c>
      <x:c r="J358" t="n">
        <x:v>2.9243465458663644</x:v>
      </x:c>
    </x:row>
    <x:row r="359">
      <x:c r="A359" s="3" t="n">
        <x:v>2023</x:v>
      </x:c>
      <x:c r="B359" s="2" t="str">
        <x:v>Mayo</x:v>
      </x:c>
      <x:c r="C359" s="2" t="str">
        <x:v>RE-001842-2</x:v>
      </x:c>
      <x:c r="D359" s="2" t="str">
        <x:v>PARQUE EOLICO DE SOTAVENTO</x:v>
      </x:c>
      <x:c r="E359" s="4" t="n">
        <x:v>0.017157417893544746</x:v>
      </x:c>
      <x:c r="F359" s="4" t="n">
        <x:f>J359*0.95</x:f>
        <x:v>0.01582078142695362</x:v>
      </x:c>
      <x:c r="G359" s="4" t="n">
        <x:v>0.1</x:v>
      </x:c>
      <x:c r="H359" s="4" t="n">
        <x:v>74.21</x:v>
      </x:c>
      <x:c r="I359" s="5" t="n">
        <x:f t="shared" si="5">F359*1000*H359</x:f>
        <x:v>1174.060189694228</x:v>
      </x:c>
      <x:c r="J359" t="n">
        <x:v>0.016653454133635393</x:v>
      </x:c>
    </x:row>
    <x:row r="360">
      <x:c r="A360" s="3" t="n">
        <x:v>2023</x:v>
      </x:c>
      <x:c r="B360" s="2" t="str">
        <x:v>Junio</x:v>
      </x:c>
      <x:c r="C360" s="2" t="str">
        <x:v>RE-001842-1</x:v>
      </x:c>
      <x:c r="D360" s="2" t="str">
        <x:v>PARQUE EOLICO DE SOTAVENTO</x:v>
      </x:c>
      <x:c r="E360" s="4" t="n">
        <x:v>3.0605707814269536</x:v>
      </x:c>
      <x:c r="F360" s="4" t="n">
        <x:f>J360*1.02</x:f>
        <x:v>3.022388221970555</x:v>
      </x:c>
      <x:c r="G360" s="4" t="n">
        <x:v>17.56</x:v>
      </x:c>
      <x:c r="H360" s="4" t="n">
        <x:v>93.02</x:v>
      </x:c>
      <x:c r="I360" s="5" t="n">
        <x:f t="shared" si="5">F360*1000*H360</x:f>
        <x:v>281142.55240770103</x:v>
      </x:c>
      <x:c r="J360" t="n">
        <x:v>2.9631257078142696</x:v>
      </x:c>
    </x:row>
    <x:row r="361">
      <x:c r="A361" s="3" t="n">
        <x:v>2023</x:v>
      </x:c>
      <x:c r="B361" s="2" t="str">
        <x:v>Junio</x:v>
      </x:c>
      <x:c r="C361" s="2" t="str">
        <x:v>RE-001842-2</x:v>
      </x:c>
      <x:c r="D361" s="2" t="str">
        <x:v>PARQUE EOLICO DE SOTAVENTO</x:v>
      </x:c>
      <x:c r="E361" s="4" t="n">
        <x:v>0.017429218573046246</x:v>
      </x:c>
      <x:c r="F361" s="4" t="n">
        <x:f>J361*1.02</x:f>
        <x:v>0.01721177802944494</x:v>
      </x:c>
      <x:c r="G361" s="4" t="n">
        <x:v>0.1</x:v>
      </x:c>
      <x:c r="H361" s="4" t="n">
        <x:v>93.02</x:v>
      </x:c>
      <x:c r="I361" s="5" t="n">
        <x:f t="shared" si="5">F361*1000*H361</x:f>
        <x:v>1601.0395922989683</x:v>
      </x:c>
      <x:c r="J361" t="n">
        <x:v>0.016874292185730333</x:v>
      </x:c>
    </x:row>
    <x:row r="362">
      <x:c r="A362" s="3" t="n">
        <x:v>2023</x:v>
      </x:c>
      <x:c r="B362" s="2" t="str">
        <x:v>Julio</x:v>
      </x:c>
      <x:c r="C362" s="2" t="str">
        <x:v>RE-001842-1</x:v>
      </x:c>
      <x:c r="D362" s="2" t="str">
        <x:v>PARQUE EOLICO DE SOTAVENTO</x:v>
      </x:c>
      <x:c r="E362" s="4" t="n">
        <x:v>2.505730464326161</x:v>
      </x:c>
      <x:c r="F362" s="4" t="n">
        <x:f>J362*0.98</x:f>
        <x:v>2.3883787542468853</x:v>
      </x:c>
      <x:c r="G362" s="4" t="n">
        <x:v>17.56</x:v>
      </x:c>
      <x:c r="H362" s="4" t="n">
        <x:v>90.47</x:v>
      </x:c>
      <x:c r="I362" s="5" t="n">
        <x:f t="shared" si="5">F362*1000*H362</x:f>
        <x:v>216076.6258967157</x:v>
      </x:c>
      <x:c r="J362" t="n">
        <x:v>2.4371211778029442</x:v>
      </x:c>
    </x:row>
    <x:row r="363">
      <x:c r="A363" s="3" t="n">
        <x:v>2023</x:v>
      </x:c>
      <x:c r="B363" s="2" t="str">
        <x:v>Julio</x:v>
      </x:c>
      <x:c r="C363" s="2" t="str">
        <x:v>RE-001842-2</x:v>
      </x:c>
      <x:c r="D363" s="2" t="str">
        <x:v>PARQUE EOLICO DE SOTAVENTO</x:v>
      </x:c>
      <x:c r="E363" s="4" t="n">
        <x:v>0.014269535673839151</x:v>
      </x:c>
      <x:c r="F363" s="4" t="n">
        <x:f>J363*0.98</x:f>
        <x:v>0.013601245753114713</x:v>
      </x:c>
      <x:c r="G363" s="4" t="n">
        <x:v>0.1</x:v>
      </x:c>
      <x:c r="H363" s="4" t="n">
        <x:v>90.47</x:v>
      </x:c>
      <x:c r="I363" s="5" t="n">
        <x:f t="shared" si="5">F363*1000*H363</x:f>
        <x:v>1230.504703284288</x:v>
      </x:c>
      <x:c r="J363" t="n">
        <x:v>0.013878822197055829</x:v>
      </x:c>
    </x:row>
    <x:row r="364">
      <x:c r="A364" s="3" t="n">
        <x:v>2023</x:v>
      </x:c>
      <x:c r="B364" s="2" t="str">
        <x:v>Agosto</x:v>
      </x:c>
      <x:c r="C364" s="2" t="str">
        <x:v>RE-001842-1</x:v>
      </x:c>
      <x:c r="D364" s="2" t="str">
        <x:v>PARQUE EOLICO DE SOTAVENTO</x:v>
      </x:c>
      <x:c r="E364" s="4" t="n">
        <x:v>2.4500475651189126</x:v>
      </x:c>
      <x:c r="F364" s="4" t="n">
        <x:f>J364*0.94</x:f>
        <x:v>2.2544414949037375</x:v>
      </x:c>
      <x:c r="G364" s="4" t="n">
        <x:v>17.56</x:v>
      </x:c>
      <x:c r="H364" s="4" t="n">
        <x:v>96.05</x:v>
      </x:c>
      <x:c r="I364" s="5" t="n">
        <x:f t="shared" si="5">F364*1000*H364</x:f>
        <x:v>216539.10558550397</x:v>
      </x:c>
      <x:c r="J364" t="n">
        <x:v>2.39834201585504</x:v>
      </x:c>
    </x:row>
    <x:row r="365">
      <x:c r="A365" s="3" t="n">
        <x:v>2023</x:v>
      </x:c>
      <x:c r="B365" s="2" t="str">
        <x:v>Agosto</x:v>
      </x:c>
      <x:c r="C365" s="2" t="str">
        <x:v>RE-001842-2</x:v>
      </x:c>
      <x:c r="D365" s="2" t="str">
        <x:v>PARQUE EOLICO DE SOTAVENTO</x:v>
      </x:c>
      <x:c r="E365" s="4" t="n">
        <x:v>0.013952434881087328</x:v>
      </x:c>
      <x:c r="F365" s="4" t="n">
        <x:f>J365*0.94</x:f>
        <x:v>0.0128385050962624</x:v>
      </x:c>
      <x:c r="G365" s="4" t="n">
        <x:v>0.1</x:v>
      </x:c>
      <x:c r="H365" s="4" t="n">
        <x:v>96.05</x:v>
      </x:c>
      <x:c r="I365" s="5" t="n">
        <x:f t="shared" si="5">F365*1000*H365</x:f>
        <x:v>1233.1384144960034</x:v>
      </x:c>
      <x:c r="J365" t="n">
        <x:v>0.01365798414496</x:v>
      </x:c>
    </x:row>
    <x:row r="366">
      <x:c r="A366" s="3" t="n">
        <x:v>2023</x:v>
      </x:c>
      <x:c r="B366" s="2" t="str">
        <x:v>Septiembre</x:v>
      </x:c>
      <x:c r="C366" s="2" t="str">
        <x:v>RE-001842-1</x:v>
      </x:c>
      <x:c r="D366" s="2" t="str">
        <x:v>PARQUE EOLICO DE SOTAVENTO</x:v>
      </x:c>
      <x:c r="E366" s="4" t="n">
        <x:v>3.535864099660249</x:v>
      </x:c>
      <x:c r="F366" s="4" t="n">
        <x:f>J366*1.01</x:f>
        <x:v>3.492888833522084</x:v>
      </x:c>
      <x:c r="G366" s="4" t="n">
        <x:v>17.56</x:v>
      </x:c>
      <x:c r="H366" s="4" t="n">
        <x:v>103.34</x:v>
      </x:c>
      <x:c r="I366" s="5" t="n">
        <x:f t="shared" si="5">F366*1000*H366</x:f>
        <x:v>360955.1320561722</x:v>
      </x:c>
      <x:c r="J366" t="n">
        <x:v>3.4583057757644395</x:v>
      </x:c>
    </x:row>
    <x:row r="367">
      <x:c r="A367" s="3" t="n">
        <x:v>2023</x:v>
      </x:c>
      <x:c r="B367" s="2" t="str">
        <x:v>Septiembre</x:v>
      </x:c>
      <x:c r="C367" s="2" t="str">
        <x:v>RE-001842-2</x:v>
      </x:c>
      <x:c r="D367" s="2" t="str">
        <x:v>PARQUE EOLICO DE SOTAVENTO</x:v>
      </x:c>
      <x:c r="E367" s="4" t="n">
        <x:v>0.02013590033975099</x:v>
      </x:c>
      <x:c r="F367" s="4" t="n">
        <x:f>J367*1.01</x:f>
        <x:v>0.01989116647791627</x:v>
      </x:c>
      <x:c r="G367" s="4" t="n">
        <x:v>0.1</x:v>
      </x:c>
      <x:c r="H367" s="4" t="n">
        <x:v>103.34</x:v>
      </x:c>
      <x:c r="I367" s="5" t="n">
        <x:f t="shared" si="5">F367*1000*H367</x:f>
        <x:v>2055.5531438278676</x:v>
      </x:c>
      <x:c r="J367" t="n">
        <x:v>0.019694224235560664</x:v>
      </x:c>
    </x:row>
    <x:row r="368">
      <x:c r="A368" s="3" t="n">
        <x:v>2023</x:v>
      </x:c>
      <x:c r="B368" s="2" t="str">
        <x:v>Octubre</x:v>
      </x:c>
      <x:c r="C368" s="2" t="str">
        <x:v>RE-001842-1</x:v>
      </x:c>
      <x:c r="D368" s="2" t="str">
        <x:v>PARQUE EOLICO DE SOTAVENTO</x:v>
      </x:c>
      <x:c r="E368" s="4" t="n">
        <x:v>4.128489241223103</x:v>
      </x:c>
      <x:c r="F368" s="4" t="n">
        <x:f>J368*0.97</x:f>
        <x:v>3.921686930917327</x:v>
      </x:c>
      <x:c r="G368" s="4" t="n">
        <x:v>17.56</x:v>
      </x:c>
      <x:c r="H368" s="4" t="n">
        <x:v>90.14</x:v>
      </x:c>
      <x:c r="I368" s="5" t="n">
        <x:f t="shared" si="5">F368*1000*H368</x:f>
        <x:v>353500.85995288787</x:v>
      </x:c>
      <x:c r="J368" t="n">
        <x:v>4.042976217440543</x:v>
      </x:c>
    </x:row>
    <x:row r="369">
      <x:c r="A369" s="3" t="n">
        <x:v>2023</x:v>
      </x:c>
      <x:c r="B369" s="2" t="str">
        <x:v>Octubre</x:v>
      </x:c>
      <x:c r="C369" s="2" t="str">
        <x:v>RE-001842-2</x:v>
      </x:c>
      <x:c r="D369" s="2" t="str">
        <x:v>PARQUE EOLICO DE SOTAVENTO</x:v>
      </x:c>
      <x:c r="E369" s="4" t="n">
        <x:v>0.023510758776897234</x:v>
      </x:c>
      <x:c r="F369" s="4" t="n">
        <x:f>J369*0.97</x:f>
        <x:v>0.022333069082672886</x:v>
      </x:c>
      <x:c r="G369" s="4" t="n">
        <x:v>0.1</x:v>
      </x:c>
      <x:c r="H369" s="4" t="n">
        <x:v>90.14</x:v>
      </x:c>
      <x:c r="I369" s="5" t="n">
        <x:f t="shared" si="5">F369*1000*H369</x:f>
        <x:v>2013.102847112134</x:v>
      </x:c>
      <x:c r="J369" t="n">
        <x:v>0.023023782559456585</x:v>
      </x:c>
    </x:row>
    <x:row r="370">
      <x:c r="A370" s="3" t="n">
        <x:v>2023</x:v>
      </x:c>
      <x:c r="B370" s="2" t="str">
        <x:v>Noviembre</x:v>
      </x:c>
      <x:c r="C370" s="2" t="str">
        <x:v>RE-001842-1</x:v>
      </x:c>
      <x:c r="D370" s="2" t="str">
        <x:v>PARQUE EOLICO DE SOTAVENTO</x:v>
      </x:c>
      <x:c r="E370" s="4" t="n">
        <x:v>3.947519818799547</x:v>
      </x:c>
      <x:c r="F370" s="4" t="n">
        <x:f>J370*1.04</x:f>
        <x:v>3.9896001812004527</x:v>
      </x:c>
      <x:c r="G370" s="4" t="n">
        <x:v>17.56</x:v>
      </x:c>
      <x:c r="H370" s="4" t="n">
        <x:v>63.45</x:v>
      </x:c>
      <x:c r="I370" s="5" t="n">
        <x:f t="shared" si="5">F370*1000*H370</x:f>
        <x:v>253140.13149716874</x:v>
      </x:c>
      <x:c r="J370" t="n">
        <x:v>3.8361540203850506</x:v>
      </x:c>
    </x:row>
    <x:row r="371">
      <x:c r="A371" s="3" t="n">
        <x:v>2023</x:v>
      </x:c>
      <x:c r="B371" s="2" t="str">
        <x:v>Noviembre</x:v>
      </x:c>
      <x:c r="C371" s="2" t="str">
        <x:v>RE-001842-2</x:v>
      </x:c>
      <x:c r="D371" s="2" t="str">
        <x:v>PARQUE EOLICO DE SOTAVENTO</x:v>
      </x:c>
      <x:c r="E371" s="4" t="n">
        <x:v>0.022480181200453142</x:v>
      </x:c>
      <x:c r="F371" s="4" t="n">
        <x:f>J371*1.04</x:f>
        <x:v>0.022719818799547476</x:v>
      </x:c>
      <x:c r="G371" s="4" t="n">
        <x:v>0.1</x:v>
      </x:c>
      <x:c r="H371" s="4" t="n">
        <x:v>63.45</x:v>
      </x:c>
      <x:c r="I371" s="5" t="n">
        <x:f t="shared" si="5">F371*1000*H371</x:f>
        <x:v>1441.5725028312875</x:v>
      </x:c>
      <x:c r="J371" t="n">
        <x:v>0.021845979614949496</x:v>
      </x:c>
    </x:row>
    <x:row r="372">
      <x:c r="A372" s="3" t="n">
        <x:v>2023</x:v>
      </x:c>
      <x:c r="B372" s="2" t="str">
        <x:v>Diciembre</x:v>
      </x:c>
      <x:c r="C372" s="2" t="str">
        <x:v>RE-001842-1</x:v>
      </x:c>
      <x:c r="D372" s="2" t="str">
        <x:v>PARQUE EOLICO DE SOTAVENTO</x:v>
      </x:c>
      <x:c r="E372" s="4" t="n">
        <x:v>5.0174269535673846</x:v>
      </x:c>
      <x:c r="F372" s="4" t="n">
        <x:f>J372*1</x:f>
        <x:v>4.859327293318232</x:v>
      </x:c>
      <x:c r="G372" s="4" t="n">
        <x:v>17.56</x:v>
      </x:c>
      <x:c r="H372" s="4" t="n">
        <x:v>72.17</x:v>
      </x:c>
      <x:c r="I372" s="5" t="n">
        <x:f t="shared" si="5">F372*1000*H372</x:f>
        <x:v>350697.6507587769</x:v>
      </x:c>
      <x:c r="J372" t="n">
        <x:v>4.859327293318232</x:v>
      </x:c>
    </x:row>
    <x:row r="373">
      <x:c r="A373" s="3" t="n">
        <x:v>2023</x:v>
      </x:c>
      <x:c r="B373" s="2" t="str">
        <x:v>Diciembre</x:v>
      </x:c>
      <x:c r="C373" s="2" t="str">
        <x:v>RE-001842-2</x:v>
      </x:c>
      <x:c r="D373" s="2" t="str">
        <x:v>PARQUE EOLICO DE SOTAVENTO</x:v>
      </x:c>
      <x:c r="E373" s="4" t="n">
        <x:v>0.028573046432615712</x:v>
      </x:c>
      <x:c r="F373" s="4" t="n">
        <x:f>J373*1</x:f>
        <x:v>0.027672706681767245</x:v>
      </x:c>
      <x:c r="G373" s="4" t="n">
        <x:v>0.1</x:v>
      </x:c>
      <x:c r="H373" s="4" t="n">
        <x:v>72.17</x:v>
      </x:c>
      <x:c r="I373" s="5" t="n">
        <x:f t="shared" si="5">F373*1000*H373</x:f>
        <x:v>1997.139241223142</x:v>
      </x:c>
      <x:c r="J373" t="n">
        <x:v>0.027672706681767245</x:v>
      </x:c>
    </x:row>
    <x:row r="374">
      <x:c r="A374" s="3" t="n">
        <x:v>2023</x:v>
      </x:c>
      <x:c r="B374" s="2" t="str">
        <x:v>Enero</x:v>
      </x:c>
      <x:c r="C374" s="2" t="str">
        <x:v>RE-002007-1</x:v>
      </x:c>
      <x:c r="D374" s="2" t="str">
        <x:v>P. E. DE MONTOUTO</x:v>
      </x:c>
      <x:c r="E374" s="4" t="n">
        <x:v>5.365</x:v>
      </x:c>
      <x:c r="F374" s="4" t="n">
        <x:f>J374*0.96</x:f>
        <x:v>5.055359999999999</x:v>
      </x:c>
      <x:c r="G374" s="4" t="n">
        <x:v>20.46</x:v>
      </x:c>
      <x:c r="H374" s="4" t="n">
        <x:v>69.55</x:v>
      </x:c>
      <x:c r="I374" s="5" t="n">
        <x:f t="shared" si="5">F374*1000*H374</x:f>
        <x:v>351600.28799999994</x:v>
      </x:c>
      <x:c r="J374" t="n">
        <x:v>5.266</x:v>
      </x:c>
    </x:row>
    <x:row r="375">
      <x:c r="A375" s="3" t="n">
        <x:v>2023</x:v>
      </x:c>
      <x:c r="B375" s="2" t="str">
        <x:v>Febrero</x:v>
      </x:c>
      <x:c r="C375" s="2" t="str">
        <x:v>RE-002007-1</x:v>
      </x:c>
      <x:c r="D375" s="2" t="str">
        <x:v>P. E. DE MONTOUTO</x:v>
      </x:c>
      <x:c r="E375" s="4" t="n">
        <x:v>4.634</x:v>
      </x:c>
      <x:c r="F375" s="4" t="n">
        <x:f>J375*1.03</x:f>
        <x:v>4.66487</x:v>
      </x:c>
      <x:c r="G375" s="4" t="n">
        <x:v>20.46</x:v>
      </x:c>
      <x:c r="H375" s="4" t="n">
        <x:v>133.47</x:v>
      </x:c>
      <x:c r="I375" s="5" t="n">
        <x:f t="shared" si="5">F375*1000*H375</x:f>
        <x:v>622620.1989</x:v>
      </x:c>
      <x:c r="J375" t="n">
        <x:v>4.529</x:v>
      </x:c>
    </x:row>
    <x:row r="376">
      <x:c r="A376" s="3" t="n">
        <x:v>2023</x:v>
      </x:c>
      <x:c r="B376" s="2" t="str">
        <x:v>Marzo</x:v>
      </x:c>
      <x:c r="C376" s="2" t="str">
        <x:v>RE-002007-1</x:v>
      </x:c>
      <x:c r="D376" s="2" t="str">
        <x:v>P. E. DE MONTOUTO</x:v>
      </x:c>
      <x:c r="E376" s="4" t="n">
        <x:v>4.792</x:v>
      </x:c>
      <x:c r="F376" s="4" t="n">
        <x:f>J376*0.99</x:f>
        <x:v>4.6629</x:v>
      </x:c>
      <x:c r="G376" s="4" t="n">
        <x:v>20.46</x:v>
      </x:c>
      <x:c r="H376" s="4" t="n">
        <x:v>89.61</x:v>
      </x:c>
      <x:c r="I376" s="5" t="n">
        <x:f t="shared" si="5">F376*1000*H376</x:f>
        <x:v>417842.469</x:v>
      </x:c>
      <x:c r="J376" t="n">
        <x:v>4.71</x:v>
      </x:c>
    </x:row>
    <x:row r="377">
      <x:c r="A377" s="3" t="n">
        <x:v>2023</x:v>
      </x:c>
      <x:c r="B377" s="2" t="str">
        <x:v>Abril</x:v>
      </x:c>
      <x:c r="C377" s="2" t="str">
        <x:v>RE-002007-1</x:v>
      </x:c>
      <x:c r="D377" s="2" t="str">
        <x:v>P. E. DE MONTOUTO</x:v>
      </x:c>
      <x:c r="E377" s="4" t="n">
        <x:v>3.988</x:v>
      </x:c>
      <x:c r="F377" s="4" t="n">
        <x:f>J377*0.95</x:f>
        <x:v>3.6897999999999995</x:v>
      </x:c>
      <x:c r="G377" s="4" t="n">
        <x:v>20.46</x:v>
      </x:c>
      <x:c r="H377" s="4" t="n">
        <x:v>73.73</x:v>
      </x:c>
      <x:c r="I377" s="5" t="n">
        <x:f t="shared" si="5">F377*1000*H377</x:f>
        <x:v>272048.95399999997</x:v>
      </x:c>
      <x:c r="J377" t="n">
        <x:v>3.884</x:v>
      </x:c>
    </x:row>
    <x:row r="378">
      <x:c r="A378" s="3" t="n">
        <x:v>2023</x:v>
      </x:c>
      <x:c r="B378" s="2" t="str">
        <x:v>Mayo</x:v>
      </x:c>
      <x:c r="C378" s="2" t="str">
        <x:v>RE-002007-1</x:v>
      </x:c>
      <x:c r="D378" s="2" t="str">
        <x:v>P. E. DE MONTOUTO</x:v>
      </x:c>
      <x:c r="E378" s="4" t="n">
        <x:v>3.643</x:v>
      </x:c>
      <x:c r="F378" s="4" t="n">
        <x:f>J378*1.02</x:f>
        <x:v>3.6352800000000003</x:v>
      </x:c>
      <x:c r="G378" s="4" t="n">
        <x:v>20.46</x:v>
      </x:c>
      <x:c r="H378" s="4" t="n">
        <x:v>74.21</x:v>
      </x:c>
      <x:c r="I378" s="5" t="n">
        <x:f t="shared" si="5">F378*1000*H378</x:f>
        <x:v>269774.1288</x:v>
      </x:c>
      <x:c r="J378" t="n">
        <x:v>3.564</x:v>
      </x:c>
    </x:row>
    <x:row r="379">
      <x:c r="A379" s="3" t="n">
        <x:v>2023</x:v>
      </x:c>
      <x:c r="B379" s="2" t="str">
        <x:v>Junio</x:v>
      </x:c>
      <x:c r="C379" s="2" t="str">
        <x:v>RE-002007-1</x:v>
      </x:c>
      <x:c r="D379" s="2" t="str">
        <x:v>P. E. DE MONTOUTO</x:v>
      </x:c>
      <x:c r="E379" s="4" t="n">
        <x:v>3.181</x:v>
      </x:c>
      <x:c r="F379" s="4" t="n">
        <x:f>J379*0.98</x:f>
        <x:v>3.06936</x:v>
      </x:c>
      <x:c r="G379" s="4" t="n">
        <x:v>20.46</x:v>
      </x:c>
      <x:c r="H379" s="4" t="n">
        <x:v>93.02</x:v>
      </x:c>
      <x:c r="I379" s="5" t="n">
        <x:f t="shared" si="5">F379*1000*H379</x:f>
        <x:v>285511.8672</x:v>
      </x:c>
      <x:c r="J379" t="n">
        <x:v>3.132</x:v>
      </x:c>
    </x:row>
    <x:row r="380">
      <x:c r="A380" s="3" t="n">
        <x:v>2023</x:v>
      </x:c>
      <x:c r="B380" s="2" t="str">
        <x:v>Julio</x:v>
      </x:c>
      <x:c r="C380" s="2" t="str">
        <x:v>RE-002007-1</x:v>
      </x:c>
      <x:c r="D380" s="2" t="str">
        <x:v>P. E. DE MONTOUTO</x:v>
      </x:c>
      <x:c r="E380" s="4" t="n">
        <x:v>2.932</x:v>
      </x:c>
      <x:c r="F380" s="4" t="n">
        <x:f>J380*0.94</x:f>
        <x:v>2.67242</x:v>
      </x:c>
      <x:c r="G380" s="4" t="n">
        <x:v>20.46</x:v>
      </x:c>
      <x:c r="H380" s="4" t="n">
        <x:v>90.47</x:v>
      </x:c>
      <x:c r="I380" s="5" t="n">
        <x:f t="shared" si="5">F380*1000*H380</x:f>
        <x:v>241773.83739999996</x:v>
      </x:c>
      <x:c r="J380" t="n">
        <x:v>2.843</x:v>
      </x:c>
    </x:row>
    <x:row r="381">
      <x:c r="A381" s="3" t="n">
        <x:v>2023</x:v>
      </x:c>
      <x:c r="B381" s="2" t="str">
        <x:v>Agosto</x:v>
      </x:c>
      <x:c r="C381" s="2" t="str">
        <x:v>RE-002007-1</x:v>
      </x:c>
      <x:c r="D381" s="2" t="str">
        <x:v>P. E. DE MONTOUTO</x:v>
      </x:c>
      <x:c r="E381" s="4" t="n">
        <x:v>2.771</x:v>
      </x:c>
      <x:c r="F381" s="4" t="n">
        <x:f>J381*1.01</x:f>
        <x:v>2.71993</x:v>
      </x:c>
      <x:c r="G381" s="4" t="n">
        <x:v>20.46</x:v>
      </x:c>
      <x:c r="H381" s="4" t="n">
        <x:v>96.05</x:v>
      </x:c>
      <x:c r="I381" s="5" t="n">
        <x:f t="shared" si="5">F381*1000*H381</x:f>
        <x:v>261249.2765</x:v>
      </x:c>
      <x:c r="J381" t="n">
        <x:v>2.693</x:v>
      </x:c>
    </x:row>
    <x:row r="382">
      <x:c r="A382" s="3" t="n">
        <x:v>2023</x:v>
      </x:c>
      <x:c r="B382" s="2" t="str">
        <x:v>Septiembre</x:v>
      </x:c>
      <x:c r="C382" s="2" t="str">
        <x:v>RE-002007-1</x:v>
      </x:c>
      <x:c r="D382" s="2" t="str">
        <x:v>P. E. DE MONTOUTO</x:v>
      </x:c>
      <x:c r="E382" s="4" t="n">
        <x:v>3.643</x:v>
      </x:c>
      <x:c r="F382" s="4" t="n">
        <x:f>J382*0.97</x:f>
        <x:v>3.47357</x:v>
      </x:c>
      <x:c r="G382" s="4" t="n">
        <x:v>20.46</x:v>
      </x:c>
      <x:c r="H382" s="4" t="n">
        <x:v>103.34</x:v>
      </x:c>
      <x:c r="I382" s="5" t="n">
        <x:f t="shared" si="5">F382*1000*H382</x:f>
        <x:v>358958.72380000004</x:v>
      </x:c>
      <x:c r="J382" t="n">
        <x:v>3.581</x:v>
      </x:c>
    </x:row>
    <x:row r="383">
      <x:c r="A383" s="3" t="n">
        <x:v>2023</x:v>
      </x:c>
      <x:c r="B383" s="2" t="str">
        <x:v>Octubre</x:v>
      </x:c>
      <x:c r="C383" s="2" t="str">
        <x:v>RE-002007-1</x:v>
      </x:c>
      <x:c r="D383" s="2" t="str">
        <x:v>P. E. DE MONTOUTO</x:v>
      </x:c>
      <x:c r="E383" s="4" t="n">
        <x:v>4.723</x:v>
      </x:c>
      <x:c r="F383" s="4" t="n">
        <x:f>J383*1.04</x:f>
        <x:v>4.83392</x:v>
      </x:c>
      <x:c r="G383" s="4" t="n">
        <x:v>20.46</x:v>
      </x:c>
      <x:c r="H383" s="4" t="n">
        <x:v>90.14</x:v>
      </x:c>
      <x:c r="I383" s="5" t="n">
        <x:f t="shared" si="5">F383*1000*H383</x:f>
        <x:v>435729.5488</x:v>
      </x:c>
      <x:c r="J383" t="n">
        <x:v>4.648</x:v>
      </x:c>
    </x:row>
    <x:row r="384">
      <x:c r="A384" s="3" t="n">
        <x:v>2023</x:v>
      </x:c>
      <x:c r="B384" s="2" t="str">
        <x:v>Noviembre</x:v>
      </x:c>
      <x:c r="C384" s="2" t="str">
        <x:v>RE-002007-1</x:v>
      </x:c>
      <x:c r="D384" s="2" t="str">
        <x:v>P. E. DE MONTOUTO</x:v>
      </x:c>
      <x:c r="E384" s="4" t="n">
        <x:v>5.223</x:v>
      </x:c>
      <x:c r="F384" s="4" t="n">
        <x:f>J384*1</x:f>
        <x:v>5.11</x:v>
      </x:c>
      <x:c r="G384" s="4" t="n">
        <x:v>20.46</x:v>
      </x:c>
      <x:c r="H384" s="4" t="n">
        <x:v>63.45</x:v>
      </x:c>
      <x:c r="I384" s="5" t="n">
        <x:f t="shared" si="5">F384*1000*H384</x:f>
        <x:v>324229.5</x:v>
      </x:c>
      <x:c r="J384" t="n">
        <x:v>5.11</x:v>
      </x:c>
    </x:row>
    <x:row r="385">
      <x:c r="A385" s="3" t="n">
        <x:v>2023</x:v>
      </x:c>
      <x:c r="B385" s="2" t="str">
        <x:v>Diciembre</x:v>
      </x:c>
      <x:c r="C385" s="2" t="str">
        <x:v>RE-002007-1</x:v>
      </x:c>
      <x:c r="D385" s="2" t="str">
        <x:v>P. E. DE MONTOUTO</x:v>
      </x:c>
      <x:c r="E385" s="4" t="n">
        <x:v>5.512</x:v>
      </x:c>
      <x:c r="F385" s="4" t="n">
        <x:f>J385*0.96</x:f>
        <x:v>5.15424</x:v>
      </x:c>
      <x:c r="G385" s="4" t="n">
        <x:v>20.46</x:v>
      </x:c>
      <x:c r="H385" s="4" t="n">
        <x:v>72.17</x:v>
      </x:c>
      <x:c r="I385" s="5" t="n">
        <x:f t="shared" si="5">F385*1000*H385</x:f>
        <x:v>371981.5008</x:v>
      </x:c>
      <x:c r="J385" t="n">
        <x:v>5.369</x:v>
      </x:c>
    </x:row>
    <x:row r="386">
      <x:c r="A386" s="3" t="n">
        <x:v>2023</x:v>
      </x:c>
      <x:c r="B386" s="2" t="str">
        <x:v>Enero</x:v>
      </x:c>
      <x:c r="C386" s="2" t="str">
        <x:v>RE-002009-1</x:v>
      </x:c>
      <x:c r="D386" s="2" t="str">
        <x:v>P.E. DE CASTELO</x:v>
      </x:c>
      <x:c r="E386" s="4" t="n">
        <x:v>4.449</x:v>
      </x:c>
      <x:c r="F386" s="4" t="n">
        <x:f>J386*1.03</x:f>
        <x:v>4.444450000000001</x:v>
      </x:c>
      <x:c r="G386" s="4" t="n">
        <x:v>16.5</x:v>
      </x:c>
      <x:c r="H386" s="4" t="n">
        <x:v>69.55</x:v>
      </x:c>
      <x:c r="I386" s="5" t="n">
        <x:f t="shared" ref="I386:I449" si="6">F386*1000*H386</x:f>
        <x:v>309111.49750000006</x:v>
      </x:c>
      <x:c r="J386" t="n">
        <x:v>4.315</x:v>
      </x:c>
    </x:row>
    <x:row r="387">
      <x:c r="A387" s="3" t="n">
        <x:v>2023</x:v>
      </x:c>
      <x:c r="B387" s="2" t="str">
        <x:v>Febrero</x:v>
      </x:c>
      <x:c r="C387" s="2" t="str">
        <x:v>RE-002009-1</x:v>
      </x:c>
      <x:c r="D387" s="2" t="str">
        <x:v>P.E. DE CASTELO</x:v>
      </x:c>
      <x:c r="E387" s="4" t="n">
        <x:v>3.483</x:v>
      </x:c>
      <x:c r="F387" s="4" t="n">
        <x:f>J387*0.99</x:f>
        <x:v>3.366</x:v>
      </x:c>
      <x:c r="G387" s="4" t="n">
        <x:v>16.5</x:v>
      </x:c>
      <x:c r="H387" s="4" t="n">
        <x:v>133.47</x:v>
      </x:c>
      <x:c r="I387" s="5" t="n">
        <x:f t="shared" si="6">F387*1000*H387</x:f>
        <x:v>449260.02</x:v>
      </x:c>
      <x:c r="J387" t="n">
        <x:v>3.4</x:v>
      </x:c>
    </x:row>
    <x:row r="388">
      <x:c r="A388" s="3" t="n">
        <x:v>2023</x:v>
      </x:c>
      <x:c r="B388" s="2" t="str">
        <x:v>Marzo</x:v>
      </x:c>
      <x:c r="C388" s="2" t="str">
        <x:v>RE-002009-1</x:v>
      </x:c>
      <x:c r="D388" s="2" t="str">
        <x:v>P.E. DE CASTELO</x:v>
      </x:c>
      <x:c r="E388" s="4" t="n">
        <x:v>3.711</x:v>
      </x:c>
      <x:c r="F388" s="4" t="n">
        <x:f>J388*0.95</x:f>
        <x:v>3.42285</x:v>
      </x:c>
      <x:c r="G388" s="4" t="n">
        <x:v>16.5</x:v>
      </x:c>
      <x:c r="H388" s="4" t="n">
        <x:v>89.61</x:v>
      </x:c>
      <x:c r="I388" s="5" t="n">
        <x:f t="shared" si="6">F388*1000*H388</x:f>
        <x:v>306721.5885</x:v>
      </x:c>
      <x:c r="J388" t="n">
        <x:v>3.603</x:v>
      </x:c>
    </x:row>
    <x:row r="389">
      <x:c r="A389" s="3" t="n">
        <x:v>2023</x:v>
      </x:c>
      <x:c r="B389" s="2" t="str">
        <x:v>Abril</x:v>
      </x:c>
      <x:c r="C389" s="2" t="str">
        <x:v>RE-002009-1</x:v>
      </x:c>
      <x:c r="D389" s="2" t="str">
        <x:v>P.E. DE CASTELO</x:v>
      </x:c>
      <x:c r="E389" s="4" t="n">
        <x:v>3.07</x:v>
      </x:c>
      <x:c r="F389" s="4" t="n">
        <x:f>J389*1.02</x:f>
        <x:v>3.0753000000000004</x:v>
      </x:c>
      <x:c r="G389" s="4" t="n">
        <x:v>16.5</x:v>
      </x:c>
      <x:c r="H389" s="4" t="n">
        <x:v>73.73</x:v>
      </x:c>
      <x:c r="I389" s="5" t="n">
        <x:f t="shared" si="6">F389*1000*H389</x:f>
        <x:v>226741.86900000004</x:v>
      </x:c>
      <x:c r="J389" t="n">
        <x:v>3.015</x:v>
      </x:c>
    </x:row>
    <x:row r="390">
      <x:c r="A390" s="3" t="n">
        <x:v>2023</x:v>
      </x:c>
      <x:c r="B390" s="2" t="str">
        <x:v>Mayo</x:v>
      </x:c>
      <x:c r="C390" s="2" t="str">
        <x:v>RE-002009-1</x:v>
      </x:c>
      <x:c r="D390" s="2" t="str">
        <x:v>P.E. DE CASTELO</x:v>
      </x:c>
      <x:c r="E390" s="4" t="n">
        <x:v>2.58</x:v>
      </x:c>
      <x:c r="F390" s="4" t="n">
        <x:f>J390*0.98</x:f>
        <x:v>2.46862</x:v>
      </x:c>
      <x:c r="G390" s="4" t="n">
        <x:v>16.5</x:v>
      </x:c>
      <x:c r="H390" s="4" t="n">
        <x:v>74.21</x:v>
      </x:c>
      <x:c r="I390" s="5" t="n">
        <x:f t="shared" si="6">F390*1000*H390</x:f>
        <x:v>183196.2902</x:v>
      </x:c>
      <x:c r="J390" t="n">
        <x:v>2.519</x:v>
      </x:c>
    </x:row>
    <x:row r="391">
      <x:c r="A391" s="3" t="n">
        <x:v>2023</x:v>
      </x:c>
      <x:c r="B391" s="2" t="str">
        <x:v>Junio</x:v>
      </x:c>
      <x:c r="C391" s="2" t="str">
        <x:v>RE-002009-1</x:v>
      </x:c>
      <x:c r="D391" s="2" t="str">
        <x:v>P.E. DE CASTELO</x:v>
      </x:c>
      <x:c r="E391" s="4" t="n">
        <x:v>2.197</x:v>
      </x:c>
      <x:c r="F391" s="4" t="n">
        <x:f>J391*0.94</x:f>
        <x:v>2.0322799999999996</x:v>
      </x:c>
      <x:c r="G391" s="4" t="n">
        <x:v>16.5</x:v>
      </x:c>
      <x:c r="H391" s="4" t="n">
        <x:v>93.02</x:v>
      </x:c>
      <x:c r="I391" s="5" t="n">
        <x:f t="shared" si="6">F391*1000*H391</x:f>
        <x:v>189042.68559999997</x:v>
      </x:c>
      <x:c r="J391" t="n">
        <x:v>2.162</x:v>
      </x:c>
    </x:row>
    <x:row r="392">
      <x:c r="A392" s="3" t="n">
        <x:v>2023</x:v>
      </x:c>
      <x:c r="B392" s="2" t="str">
        <x:v>Julio</x:v>
      </x:c>
      <x:c r="C392" s="2" t="str">
        <x:v>RE-002009-1</x:v>
      </x:c>
      <x:c r="D392" s="2" t="str">
        <x:v>P.E. DE CASTELO</x:v>
      </x:c>
      <x:c r="E392" s="4" t="n">
        <x:v>2.018</x:v>
      </x:c>
      <x:c r="F392" s="4" t="n">
        <x:f>J392*1.01</x:f>
        <x:v>1.9796</x:v>
      </x:c>
      <x:c r="G392" s="4" t="n">
        <x:v>16.5</x:v>
      </x:c>
      <x:c r="H392" s="4" t="n">
        <x:v>90.47</x:v>
      </x:c>
      <x:c r="I392" s="5" t="n">
        <x:f t="shared" si="6">F392*1000*H392</x:f>
        <x:v>179094.412</x:v>
      </x:c>
      <x:c r="J392" t="n">
        <x:v>1.96</x:v>
      </x:c>
    </x:row>
    <x:row r="393">
      <x:c r="A393" s="3" t="n">
        <x:v>2023</x:v>
      </x:c>
      <x:c r="B393" s="2" t="str">
        <x:v>Agosto</x:v>
      </x:c>
      <x:c r="C393" s="2" t="str">
        <x:v>RE-002009-1</x:v>
      </x:c>
      <x:c r="D393" s="2" t="str">
        <x:v>P.E. DE CASTELO</x:v>
      </x:c>
      <x:c r="E393" s="4" t="n">
        <x:v>2.15</x:v>
      </x:c>
      <x:c r="F393" s="4" t="n">
        <x:f>J393*0.97</x:f>
        <x:v>2.05252</x:v>
      </x:c>
      <x:c r="G393" s="4" t="n">
        <x:v>16.5</x:v>
      </x:c>
      <x:c r="H393" s="4" t="n">
        <x:v>96.05</x:v>
      </x:c>
      <x:c r="I393" s="5" t="n">
        <x:f t="shared" si="6">F393*1000*H393</x:f>
        <x:v>197144.546</x:v>
      </x:c>
      <x:c r="J393" t="n">
        <x:v>2.116</x:v>
      </x:c>
    </x:row>
    <x:row r="394">
      <x:c r="A394" s="3" t="n">
        <x:v>2023</x:v>
      </x:c>
      <x:c r="B394" s="2" t="str">
        <x:v>Septiembre</x:v>
      </x:c>
      <x:c r="C394" s="2" t="str">
        <x:v>RE-002009-1</x:v>
      </x:c>
      <x:c r="D394" s="2" t="str">
        <x:v>P.E. DE CASTELO</x:v>
      </x:c>
      <x:c r="E394" s="4" t="n">
        <x:v>2.971</x:v>
      </x:c>
      <x:c r="F394" s="4" t="n">
        <x:f>J394*1.04</x:f>
        <x:v>2.99104</x:v>
      </x:c>
      <x:c r="G394" s="4" t="n">
        <x:v>16.5</x:v>
      </x:c>
      <x:c r="H394" s="4" t="n">
        <x:v>103.34</x:v>
      </x:c>
      <x:c r="I394" s="5" t="n">
        <x:f t="shared" si="6">F394*1000*H394</x:f>
        <x:v>309094.0736</x:v>
      </x:c>
      <x:c r="J394" t="n">
        <x:v>2.876</x:v>
      </x:c>
    </x:row>
    <x:row r="395">
      <x:c r="A395" s="3" t="n">
        <x:v>2023</x:v>
      </x:c>
      <x:c r="B395" s="2" t="str">
        <x:v>Octubre</x:v>
      </x:c>
      <x:c r="C395" s="2" t="str">
        <x:v>RE-002009-1</x:v>
      </x:c>
      <x:c r="D395" s="2" t="str">
        <x:v>P.E. DE CASTELO</x:v>
      </x:c>
      <x:c r="E395" s="4" t="n">
        <x:v>3.956</x:v>
      </x:c>
      <x:c r="F395" s="4" t="n">
        <x:f>J395*1</x:f>
        <x:v>3.865</x:v>
      </x:c>
      <x:c r="G395" s="4" t="n">
        <x:v>16.5</x:v>
      </x:c>
      <x:c r="H395" s="4" t="n">
        <x:v>90.14</x:v>
      </x:c>
      <x:c r="I395" s="5" t="n">
        <x:f t="shared" si="6">F395*1000*H395</x:f>
        <x:v>348391.1</x:v>
      </x:c>
      <x:c r="J395" t="n">
        <x:v>3.865</x:v>
      </x:c>
    </x:row>
    <x:row r="396">
      <x:c r="A396" s="3" t="n">
        <x:v>2023</x:v>
      </x:c>
      <x:c r="B396" s="2" t="str">
        <x:v>Noviembre</x:v>
      </x:c>
      <x:c r="C396" s="2" t="str">
        <x:v>RE-002009-1</x:v>
      </x:c>
      <x:c r="D396" s="2" t="str">
        <x:v>P.E. DE CASTELO</x:v>
      </x:c>
      <x:c r="E396" s="4" t="n">
        <x:v>4.564</x:v>
      </x:c>
      <x:c r="F396" s="4" t="n">
        <x:f>J396*0.96</x:f>
        <x:v>4.26624</x:v>
      </x:c>
      <x:c r="G396" s="4" t="n">
        <x:v>16.5</x:v>
      </x:c>
      <x:c r="H396" s="4" t="n">
        <x:v>63.45</x:v>
      </x:c>
      <x:c r="I396" s="5" t="n">
        <x:f t="shared" si="6">F396*1000*H396</x:f>
        <x:v>270692.928</x:v>
      </x:c>
      <x:c r="J396" t="n">
        <x:v>4.444</x:v>
      </x:c>
    </x:row>
    <x:row r="397">
      <x:c r="A397" s="3" t="n">
        <x:v>2023</x:v>
      </x:c>
      <x:c r="B397" s="2" t="str">
        <x:v>Diciembre</x:v>
      </x:c>
      <x:c r="C397" s="2" t="str">
        <x:v>RE-002009-1</x:v>
      </x:c>
      <x:c r="D397" s="2" t="str">
        <x:v>P.E. DE CASTELO</x:v>
      </x:c>
      <x:c r="E397" s="4" t="n">
        <x:v>5.106</x:v>
      </x:c>
      <x:c r="F397" s="4" t="n">
        <x:f>J397*1.03</x:f>
        <x:v>5.1201300000000005</x:v>
      </x:c>
      <x:c r="G397" s="4" t="n">
        <x:v>16.5</x:v>
      </x:c>
      <x:c r="H397" s="4" t="n">
        <x:v>72.17</x:v>
      </x:c>
      <x:c r="I397" s="5" t="n">
        <x:f t="shared" si="6">F397*1000*H397</x:f>
        <x:v>369519.7821</x:v>
      </x:c>
      <x:c r="J397" t="n">
        <x:v>4.971</x:v>
      </x:c>
    </x:row>
    <x:row r="398">
      <x:c r="A398" s="3" t="n">
        <x:v>2023</x:v>
      </x:c>
      <x:c r="B398" s="2" t="str">
        <x:v>Enero</x:v>
      </x:c>
      <x:c r="C398" s="2" t="str">
        <x:v>RE-002010-1</x:v>
      </x:c>
      <x:c r="D398" s="2" t="str">
        <x:v>PARQUE EOLICO A CARBA</x:v>
      </x:c>
      <x:c r="E398" s="4" t="n">
        <x:v>4.251</x:v>
      </x:c>
      <x:c r="F398" s="4" t="n">
        <x:f>J398*0.99</x:f>
        <x:v>4.12929</x:v>
      </x:c>
      <x:c r="G398" s="4" t="n">
        <x:v>19.5</x:v>
      </x:c>
      <x:c r="H398" s="4" t="n">
        <x:v>69.55</x:v>
      </x:c>
      <x:c r="I398" s="5" t="n">
        <x:f t="shared" si="6">F398*1000*H398</x:f>
        <x:v>287192.1195</x:v>
      </x:c>
      <x:c r="J398" t="n">
        <x:v>4.171</x:v>
      </x:c>
    </x:row>
    <x:row r="399">
      <x:c r="A399" s="3" t="n">
        <x:v>2023</x:v>
      </x:c>
      <x:c r="B399" s="2" t="str">
        <x:v>Febrero</x:v>
      </x:c>
      <x:c r="C399" s="2" t="str">
        <x:v>RE-002010-1</x:v>
      </x:c>
      <x:c r="D399" s="2" t="str">
        <x:v>PARQUE EOLICO A CARBA</x:v>
      </x:c>
      <x:c r="E399" s="4" t="n">
        <x:v>4.606</x:v>
      </x:c>
      <x:c r="F399" s="4" t="n">
        <x:f>J399*0.95</x:f>
        <x:v>4.2902</x:v>
      </x:c>
      <x:c r="G399" s="4" t="n">
        <x:v>19.5</x:v>
      </x:c>
      <x:c r="H399" s="4" t="n">
        <x:v>133.47</x:v>
      </x:c>
      <x:c r="I399" s="5" t="n">
        <x:f t="shared" si="6">F399*1000*H399</x:f>
        <x:v>572612.994</x:v>
      </x:c>
      <x:c r="J399" t="n">
        <x:v>4.516</x:v>
      </x:c>
    </x:row>
    <x:row r="400">
      <x:c r="A400" s="3" t="n">
        <x:v>2023</x:v>
      </x:c>
      <x:c r="B400" s="2" t="str">
        <x:v>Marzo</x:v>
      </x:c>
      <x:c r="C400" s="2" t="str">
        <x:v>RE-002010-1</x:v>
      </x:c>
      <x:c r="D400" s="2" t="str">
        <x:v>PARQUE EOLICO A CARBA</x:v>
      </x:c>
      <x:c r="E400" s="4" t="n">
        <x:v>4.964</x:v>
      </x:c>
      <x:c r="F400" s="4" t="n">
        <x:f>J400*1.02</x:f>
        <x:v>4.955159999999999</x:v>
      </x:c>
      <x:c r="G400" s="4" t="n">
        <x:v>19.5</x:v>
      </x:c>
      <x:c r="H400" s="4" t="n">
        <x:v>89.61</x:v>
      </x:c>
      <x:c r="I400" s="5" t="n">
        <x:f t="shared" si="6">F400*1000*H400</x:f>
        <x:v>444031.8875999999</x:v>
      </x:c>
      <x:c r="J400" t="n">
        <x:v>4.858</x:v>
      </x:c>
    </x:row>
    <x:row r="401">
      <x:c r="A401" s="3" t="n">
        <x:v>2023</x:v>
      </x:c>
      <x:c r="B401" s="2" t="str">
        <x:v>Abril</x:v>
      </x:c>
      <x:c r="C401" s="2" t="str">
        <x:v>RE-002010-1</x:v>
      </x:c>
      <x:c r="D401" s="2" t="str">
        <x:v>PARQUE EOLICO A CARBA</x:v>
      </x:c>
      <x:c r="E401" s="4" t="n">
        <x:v>3.949</x:v>
      </x:c>
      <x:c r="F401" s="4" t="n">
        <x:f>J401*0.98</x:f>
        <x:v>3.76026</x:v>
      </x:c>
      <x:c r="G401" s="4" t="n">
        <x:v>19.5</x:v>
      </x:c>
      <x:c r="H401" s="4" t="n">
        <x:v>73.73</x:v>
      </x:c>
      <x:c r="I401" s="5" t="n">
        <x:f t="shared" si="6">F401*1000*H401</x:f>
        <x:v>277243.9698</x:v>
      </x:c>
      <x:c r="J401" t="n">
        <x:v>3.837</x:v>
      </x:c>
    </x:row>
    <x:row r="402">
      <x:c r="A402" s="3" t="n">
        <x:v>2023</x:v>
      </x:c>
      <x:c r="B402" s="2" t="str">
        <x:v>Mayo</x:v>
      </x:c>
      <x:c r="C402" s="2" t="str">
        <x:v>RE-002010-1</x:v>
      </x:c>
      <x:c r="D402" s="2" t="str">
        <x:v>PARQUE EOLICO A CARBA</x:v>
      </x:c>
      <x:c r="E402" s="4" t="n">
        <x:v>3.227</x:v>
      </x:c>
      <x:c r="F402" s="4" t="n">
        <x:f>J402*0.94</x:f>
        <x:v>2.9704</x:v>
      </x:c>
      <x:c r="G402" s="4" t="n">
        <x:v>19.5</x:v>
      </x:c>
      <x:c r="H402" s="4" t="n">
        <x:v>74.21</x:v>
      </x:c>
      <x:c r="I402" s="5" t="n">
        <x:f t="shared" si="6">F402*1000*H402</x:f>
        <x:v>220433.384</x:v>
      </x:c>
      <x:c r="J402" t="n">
        <x:v>3.16</x:v>
      </x:c>
    </x:row>
    <x:row r="403">
      <x:c r="A403" s="3" t="n">
        <x:v>2023</x:v>
      </x:c>
      <x:c r="B403" s="2" t="str">
        <x:v>Junio</x:v>
      </x:c>
      <x:c r="C403" s="2" t="str">
        <x:v>RE-002010-1</x:v>
      </x:c>
      <x:c r="D403" s="2" t="str">
        <x:v>PARQUE EOLICO A CARBA</x:v>
      </x:c>
      <x:c r="E403" s="4" t="n">
        <x:v>2.579</x:v>
      </x:c>
      <x:c r="F403" s="4" t="n">
        <x:f>J403*1.01</x:f>
        <x:v>2.54419</x:v>
      </x:c>
      <x:c r="G403" s="4" t="n">
        <x:v>19.5</x:v>
      </x:c>
      <x:c r="H403" s="4" t="n">
        <x:v>93.02</x:v>
      </x:c>
      <x:c r="I403" s="5" t="n">
        <x:f t="shared" si="6">F403*1000*H403</x:f>
        <x:v>236660.5538</x:v>
      </x:c>
      <x:c r="J403" t="n">
        <x:v>2.519</x:v>
      </x:c>
    </x:row>
    <x:row r="404">
      <x:c r="A404" s="3" t="n">
        <x:v>2023</x:v>
      </x:c>
      <x:c r="B404" s="2" t="str">
        <x:v>Julio</x:v>
      </x:c>
      <x:c r="C404" s="2" t="str">
        <x:v>RE-002010-1</x:v>
      </x:c>
      <x:c r="D404" s="2" t="str">
        <x:v>PARQUE EOLICO A CARBA</x:v>
      </x:c>
      <x:c r="E404" s="4" t="n">
        <x:v>2.301</x:v>
      </x:c>
      <x:c r="F404" s="4" t="n">
        <x:f>J404*0.97</x:f>
        <x:v>2.17862</x:v>
      </x:c>
      <x:c r="G404" s="4" t="n">
        <x:v>19.5</x:v>
      </x:c>
      <x:c r="H404" s="4" t="n">
        <x:v>90.47</x:v>
      </x:c>
      <x:c r="I404" s="5" t="n">
        <x:f t="shared" si="6">F404*1000*H404</x:f>
        <x:v>197099.75139999998</x:v>
      </x:c>
      <x:c r="J404" t="n">
        <x:v>2.246</x:v>
      </x:c>
    </x:row>
    <x:row r="405">
      <x:c r="A405" s="3" t="n">
        <x:v>2023</x:v>
      </x:c>
      <x:c r="B405" s="2" t="str">
        <x:v>Agosto</x:v>
      </x:c>
      <x:c r="C405" s="2" t="str">
        <x:v>RE-002010-1</x:v>
      </x:c>
      <x:c r="D405" s="2" t="str">
        <x:v>PARQUE EOLICO A CARBA</x:v>
      </x:c>
      <x:c r="E405" s="4" t="n">
        <x:v>2.755</x:v>
      </x:c>
      <x:c r="F405" s="4" t="n">
        <x:f>J405*1.04</x:f>
        <x:v>2.7768</x:v>
      </x:c>
      <x:c r="G405" s="4" t="n">
        <x:v>19.5</x:v>
      </x:c>
      <x:c r="H405" s="4" t="n">
        <x:v>96.05</x:v>
      </x:c>
      <x:c r="I405" s="5" t="n">
        <x:f t="shared" si="6">F405*1000*H405</x:f>
        <x:v>266711.64</x:v>
      </x:c>
      <x:c r="J405" t="n">
        <x:v>2.67</x:v>
      </x:c>
    </x:row>
    <x:row r="406">
      <x:c r="A406" s="3" t="n">
        <x:v>2023</x:v>
      </x:c>
      <x:c r="B406" s="2" t="str">
        <x:v>Septiembre</x:v>
      </x:c>
      <x:c r="C406" s="2" t="str">
        <x:v>RE-002010-1</x:v>
      </x:c>
      <x:c r="D406" s="2" t="str">
        <x:v>PARQUE EOLICO A CARBA</x:v>
      </x:c>
      <x:c r="E406" s="4" t="n">
        <x:v>2.696</x:v>
      </x:c>
      <x:c r="F406" s="4" t="n">
        <x:f>J406*1</x:f>
        <x:v>2.619</x:v>
      </x:c>
      <x:c r="G406" s="4" t="n">
        <x:v>19.5</x:v>
      </x:c>
      <x:c r="H406" s="4" t="n">
        <x:v>103.34</x:v>
      </x:c>
      <x:c r="I406" s="5" t="n">
        <x:f t="shared" si="6">F406*1000*H406</x:f>
        <x:v>270647.46</x:v>
      </x:c>
      <x:c r="J406" t="n">
        <x:v>2.619</x:v>
      </x:c>
    </x:row>
    <x:row r="407">
      <x:c r="A407" s="3" t="n">
        <x:v>2023</x:v>
      </x:c>
      <x:c r="B407" s="2" t="str">
        <x:v>Octubre</x:v>
      </x:c>
      <x:c r="C407" s="2" t="str">
        <x:v>RE-002010-1</x:v>
      </x:c>
      <x:c r="D407" s="2" t="str">
        <x:v>PARQUE EOLICO A CARBA</x:v>
      </x:c>
      <x:c r="E407" s="4" t="n">
        <x:v>3.5</x:v>
      </x:c>
      <x:c r="F407" s="4" t="n">
        <x:f>J407*0.96</x:f>
        <x:v>3.288</x:v>
      </x:c>
      <x:c r="G407" s="4" t="n">
        <x:v>19.5</x:v>
      </x:c>
      <x:c r="H407" s="4" t="n">
        <x:v>90.14</x:v>
      </x:c>
      <x:c r="I407" s="5" t="n">
        <x:f t="shared" si="6">F407*1000*H407</x:f>
        <x:v>296380.32</x:v>
      </x:c>
      <x:c r="J407" t="n">
        <x:v>3.425</x:v>
      </x:c>
    </x:row>
    <x:row r="408">
      <x:c r="A408" s="3" t="n">
        <x:v>2023</x:v>
      </x:c>
      <x:c r="B408" s="2" t="str">
        <x:v>Noviembre</x:v>
      </x:c>
      <x:c r="C408" s="2" t="str">
        <x:v>RE-002010-1</x:v>
      </x:c>
      <x:c r="D408" s="2" t="str">
        <x:v>PARQUE EOLICO A CARBA</x:v>
      </x:c>
      <x:c r="E408" s="4" t="n">
        <x:v>4.35</x:v>
      </x:c>
      <x:c r="F408" s="4" t="n">
        <x:f>J408*1.03</x:f>
        <x:v>4.39707</x:v>
      </x:c>
      <x:c r="G408" s="4" t="n">
        <x:v>19.5</x:v>
      </x:c>
      <x:c r="H408" s="4" t="n">
        <x:v>63.45</x:v>
      </x:c>
      <x:c r="I408" s="5" t="n">
        <x:f t="shared" si="6">F408*1000*H408</x:f>
        <x:v>278994.09150000004</x:v>
      </x:c>
      <x:c r="J408" t="n">
        <x:v>4.269</x:v>
      </x:c>
    </x:row>
    <x:row r="409">
      <x:c r="A409" s="3" t="n">
        <x:v>2023</x:v>
      </x:c>
      <x:c r="B409" s="2" t="str">
        <x:v>Diciembre</x:v>
      </x:c>
      <x:c r="C409" s="2" t="str">
        <x:v>RE-002010-1</x:v>
      </x:c>
      <x:c r="D409" s="2" t="str">
        <x:v>PARQUE EOLICO A CARBA</x:v>
      </x:c>
      <x:c r="E409" s="4" t="n">
        <x:v>5.095</x:v>
      </x:c>
      <x:c r="F409" s="4" t="n">
        <x:f>J409*0.99</x:f>
        <x:v>4.9302</x:v>
      </x:c>
      <x:c r="G409" s="4" t="n">
        <x:v>19.5</x:v>
      </x:c>
      <x:c r="H409" s="4" t="n">
        <x:v>72.17</x:v>
      </x:c>
      <x:c r="I409" s="5" t="n">
        <x:f t="shared" si="6">F409*1000*H409</x:f>
        <x:v>355812.534</x:v>
      </x:c>
      <x:c r="J409" t="n">
        <x:v>4.98</x:v>
      </x:c>
    </x:row>
    <x:row r="410">
      <x:c r="A410" s="3" t="n">
        <x:v>2023</x:v>
      </x:c>
      <x:c r="B410" s="2" t="str">
        <x:v>Enero</x:v>
      </x:c>
      <x:c r="C410" s="2" t="str">
        <x:v>RE-002011-1</x:v>
      </x:c>
      <x:c r="D410" s="2" t="str">
        <x:v>PARQUE EOLICO DE VILALBA</x:v>
      </x:c>
      <x:c r="E410" s="4" t="n">
        <x:v>6.478</x:v>
      </x:c>
      <x:c r="F410" s="4" t="n">
        <x:f>J410*0.95</x:f>
        <x:v>5.979299999999999</x:v>
      </x:c>
      <x:c r="G410" s="4" t="n">
        <x:v>24.7</x:v>
      </x:c>
      <x:c r="H410" s="4" t="n">
        <x:v>69.55</x:v>
      </x:c>
      <x:c r="I410" s="5" t="n">
        <x:f t="shared" si="6">F410*1000*H410</x:f>
        <x:v>415860.31499999994</x:v>
      </x:c>
      <x:c r="J410" t="n">
        <x:v>6.294</x:v>
      </x:c>
    </x:row>
    <x:row r="411">
      <x:c r="A411" s="3" t="n">
        <x:v>2023</x:v>
      </x:c>
      <x:c r="B411" s="2" t="str">
        <x:v>Febrero</x:v>
      </x:c>
      <x:c r="C411" s="2" t="str">
        <x:v>RE-002011-1</x:v>
      </x:c>
      <x:c r="D411" s="2" t="str">
        <x:v>PARQUE EOLICO DE VILALBA</x:v>
      </x:c>
      <x:c r="E411" s="4" t="n">
        <x:v>5.011</x:v>
      </x:c>
      <x:c r="F411" s="4" t="n">
        <x:f>J411*1.02</x:f>
        <x:v>5.02452</x:v>
      </x:c>
      <x:c r="G411" s="4" t="n">
        <x:v>24.7</x:v>
      </x:c>
      <x:c r="H411" s="4" t="n">
        <x:v>133.47</x:v>
      </x:c>
      <x:c r="I411" s="5" t="n">
        <x:f t="shared" si="6">F411*1000*H411</x:f>
        <x:v>670622.6843999999</x:v>
      </x:c>
      <x:c r="J411" t="n">
        <x:v>4.926</x:v>
      </x:c>
    </x:row>
    <x:row r="412">
      <x:c r="A412" s="3" t="n">
        <x:v>2023</x:v>
      </x:c>
      <x:c r="B412" s="2" t="str">
        <x:v>Marzo</x:v>
      </x:c>
      <x:c r="C412" s="2" t="str">
        <x:v>RE-002011-1</x:v>
      </x:c>
      <x:c r="D412" s="2" t="str">
        <x:v>PARQUE EOLICO DE VILALBA</x:v>
      </x:c>
      <x:c r="E412" s="4" t="n">
        <x:v>5.26</x:v>
      </x:c>
      <x:c r="F412" s="4" t="n">
        <x:f>J412*0.98</x:f>
        <x:v>4.9950600000000005</x:v>
      </x:c>
      <x:c r="G412" s="4" t="n">
        <x:v>24.7</x:v>
      </x:c>
      <x:c r="H412" s="4" t="n">
        <x:v>89.61</x:v>
      </x:c>
      <x:c r="I412" s="5" t="n">
        <x:f t="shared" si="6">F412*1000*H412</x:f>
        <x:v>447607.32660000003</x:v>
      </x:c>
      <x:c r="J412" t="n">
        <x:v>5.097</x:v>
      </x:c>
    </x:row>
    <x:row r="413">
      <x:c r="A413" s="3" t="n">
        <x:v>2023</x:v>
      </x:c>
      <x:c r="B413" s="2" t="str">
        <x:v>Abril</x:v>
      </x:c>
      <x:c r="C413" s="2" t="str">
        <x:v>RE-002011-1</x:v>
      </x:c>
      <x:c r="D413" s="2" t="str">
        <x:v>PARQUE EOLICO DE VILALBA</x:v>
      </x:c>
      <x:c r="E413" s="4" t="n">
        <x:v>4.952</x:v>
      </x:c>
      <x:c r="F413" s="4" t="n">
        <x:f>J413*0.94</x:f>
        <x:v>4.56558</x:v>
      </x:c>
      <x:c r="G413" s="4" t="n">
        <x:v>24.7</x:v>
      </x:c>
      <x:c r="H413" s="4" t="n">
        <x:v>73.73</x:v>
      </x:c>
      <x:c r="I413" s="5" t="n">
        <x:f t="shared" si="6">F413*1000*H413</x:f>
        <x:v>336620.2134</x:v>
      </x:c>
      <x:c r="J413" t="n">
        <x:v>4.857</x:v>
      </x:c>
    </x:row>
    <x:row r="414">
      <x:c r="A414" s="3" t="n">
        <x:v>2023</x:v>
      </x:c>
      <x:c r="B414" s="2" t="str">
        <x:v>Mayo</x:v>
      </x:c>
      <x:c r="C414" s="2" t="str">
        <x:v>RE-002011-1</x:v>
      </x:c>
      <x:c r="D414" s="2" t="str">
        <x:v>PARQUE EOLICO DE VILALBA</x:v>
      </x:c>
      <x:c r="E414" s="4" t="n">
        <x:v>4.615</x:v>
      </x:c>
      <x:c r="F414" s="4" t="n">
        <x:f>J414*1.01</x:f>
        <x:v>4.54399</x:v>
      </x:c>
      <x:c r="G414" s="4" t="n">
        <x:v>24.7</x:v>
      </x:c>
      <x:c r="H414" s="4" t="n">
        <x:v>74.21</x:v>
      </x:c>
      <x:c r="I414" s="5" t="n">
        <x:f t="shared" si="6">F414*1000*H414</x:f>
        <x:v>337209.49789999996</x:v>
      </x:c>
      <x:c r="J414" t="n">
        <x:v>4.499</x:v>
      </x:c>
    </x:row>
    <x:row r="415">
      <x:c r="A415" s="3" t="n">
        <x:v>2023</x:v>
      </x:c>
      <x:c r="B415" s="2" t="str">
        <x:v>Junio</x:v>
      </x:c>
      <x:c r="C415" s="2" t="str">
        <x:v>RE-002011-1</x:v>
      </x:c>
      <x:c r="D415" s="2" t="str">
        <x:v>PARQUE EOLICO DE VILALBA</x:v>
      </x:c>
      <x:c r="E415" s="4" t="n">
        <x:v>3.761</x:v>
      </x:c>
      <x:c r="F415" s="4" t="n">
        <x:f>J415*0.97</x:f>
        <x:v>3.54632</x:v>
      </x:c>
      <x:c r="G415" s="4" t="n">
        <x:v>24.7</x:v>
      </x:c>
      <x:c r="H415" s="4" t="n">
        <x:v>93.02</x:v>
      </x:c>
      <x:c r="I415" s="5" t="n">
        <x:f t="shared" si="6">F415*1000*H415</x:f>
        <x:v>329878.6864</x:v>
      </x:c>
      <x:c r="J415" t="n">
        <x:v>3.656</x:v>
      </x:c>
    </x:row>
    <x:row r="416">
      <x:c r="A416" s="3" t="n">
        <x:v>2023</x:v>
      </x:c>
      <x:c r="B416" s="2" t="str">
        <x:v>Julio</x:v>
      </x:c>
      <x:c r="C416" s="2" t="str">
        <x:v>RE-002011-1</x:v>
      </x:c>
      <x:c r="D416" s="2" t="str">
        <x:v>PARQUE EOLICO DE VILALBA</x:v>
      </x:c>
      <x:c r="E416" s="4" t="n">
        <x:v>3.309</x:v>
      </x:c>
      <x:c r="F416" s="4" t="n">
        <x:f>J416*1.04</x:f>
        <x:v>3.3852</x:v>
      </x:c>
      <x:c r="G416" s="4" t="n">
        <x:v>24.7</x:v>
      </x:c>
      <x:c r="H416" s="4" t="n">
        <x:v>90.47</x:v>
      </x:c>
      <x:c r="I416" s="5" t="n">
        <x:f t="shared" si="6">F416*1000*H416</x:f>
        <x:v>306259.044</x:v>
      </x:c>
      <x:c r="J416" t="n">
        <x:v>3.255</x:v>
      </x:c>
    </x:row>
    <x:row r="417">
      <x:c r="A417" s="3" t="n">
        <x:v>2023</x:v>
      </x:c>
      <x:c r="B417" s="2" t="str">
        <x:v>Agosto</x:v>
      </x:c>
      <x:c r="C417" s="2" t="str">
        <x:v>RE-002011-1</x:v>
      </x:c>
      <x:c r="D417" s="2" t="str">
        <x:v>PARQUE EOLICO DE VILALBA</x:v>
      </x:c>
      <x:c r="E417" s="4" t="n">
        <x:v>3.413</x:v>
      </x:c>
      <x:c r="F417" s="4" t="n">
        <x:f>J417*1</x:f>
        <x:v>3.332</x:v>
      </x:c>
      <x:c r="G417" s="4" t="n">
        <x:v>24.7</x:v>
      </x:c>
      <x:c r="H417" s="4" t="n">
        <x:v>96.05</x:v>
      </x:c>
      <x:c r="I417" s="5" t="n">
        <x:f t="shared" si="6">F417*1000*H417</x:f>
        <x:v>320038.6</x:v>
      </x:c>
      <x:c r="J417" t="n">
        <x:v>3.332</x:v>
      </x:c>
    </x:row>
    <x:row r="418">
      <x:c r="A418" s="3" t="n">
        <x:v>2023</x:v>
      </x:c>
      <x:c r="B418" s="2" t="str">
        <x:v>Septiembre</x:v>
      </x:c>
      <x:c r="C418" s="2" t="str">
        <x:v>RE-002011-1</x:v>
      </x:c>
      <x:c r="D418" s="2" t="str">
        <x:v>PARQUE EOLICO DE VILALBA</x:v>
      </x:c>
      <x:c r="E418" s="4" t="n">
        <x:v>4.303</x:v>
      </x:c>
      <x:c r="F418" s="4" t="n">
        <x:f>J418*0.96</x:f>
        <x:v>4.0512</x:v>
      </x:c>
      <x:c r="G418" s="4" t="n">
        <x:v>24.7</x:v>
      </x:c>
      <x:c r="H418" s="4" t="n">
        <x:v>103.34</x:v>
      </x:c>
      <x:c r="I418" s="5" t="n">
        <x:f t="shared" si="6">F418*1000*H418</x:f>
        <x:v>418651.008</x:v>
      </x:c>
      <x:c r="J418" t="n">
        <x:v>4.22</x:v>
      </x:c>
    </x:row>
    <x:row r="419">
      <x:c r="A419" s="3" t="n">
        <x:v>2023</x:v>
      </x:c>
      <x:c r="B419" s="2" t="str">
        <x:v>Octubre</x:v>
      </x:c>
      <x:c r="C419" s="2" t="str">
        <x:v>RE-002011-1</x:v>
      </x:c>
      <x:c r="D419" s="2" t="str">
        <x:v>PARQUE EOLICO DE VILALBA</x:v>
      </x:c>
      <x:c r="E419" s="4" t="n">
        <x:v>5.897</x:v>
      </x:c>
      <x:c r="F419" s="4" t="n">
        <x:f>J419*1.03</x:f>
        <x:v>5.9029300000000005</x:v>
      </x:c>
      <x:c r="G419" s="4" t="n">
        <x:v>24.7</x:v>
      </x:c>
      <x:c r="H419" s="4" t="n">
        <x:v>90.14</x:v>
      </x:c>
      <x:c r="I419" s="5" t="n">
        <x:f t="shared" si="6">F419*1000*H419</x:f>
        <x:v>532090.1102</x:v>
      </x:c>
      <x:c r="J419" t="n">
        <x:v>5.731</x:v>
      </x:c>
    </x:row>
    <x:row r="420">
      <x:c r="A420" s="3" t="n">
        <x:v>2023</x:v>
      </x:c>
      <x:c r="B420" s="2" t="str">
        <x:v>Noviembre</x:v>
      </x:c>
      <x:c r="C420" s="2" t="str">
        <x:v>RE-002011-1</x:v>
      </x:c>
      <x:c r="D420" s="2" t="str">
        <x:v>PARQUE EOLICO DE VILALBA</x:v>
      </x:c>
      <x:c r="E420" s="4" t="n">
        <x:v>5.437</x:v>
      </x:c>
      <x:c r="F420" s="4" t="n">
        <x:f>J420*0.99</x:f>
        <x:v>5.2984800000000005</x:v>
      </x:c>
      <x:c r="G420" s="4" t="n">
        <x:v>24.7</x:v>
      </x:c>
      <x:c r="H420" s="4" t="n">
        <x:v>63.45</x:v>
      </x:c>
      <x:c r="I420" s="5" t="n">
        <x:f t="shared" si="6">F420*1000*H420</x:f>
        <x:v>336188.55600000004</x:v>
      </x:c>
      <x:c r="J420" t="n">
        <x:v>5.352</x:v>
      </x:c>
    </x:row>
    <x:row r="421">
      <x:c r="A421" s="3" t="n">
        <x:v>2023</x:v>
      </x:c>
      <x:c r="B421" s="2" t="str">
        <x:v>Diciembre</x:v>
      </x:c>
      <x:c r="C421" s="2" t="str">
        <x:v>RE-002011-1</x:v>
      </x:c>
      <x:c r="D421" s="2" t="str">
        <x:v>PARQUE EOLICO DE VILALBA</x:v>
      </x:c>
      <x:c r="E421" s="4" t="n">
        <x:v>7.842</x:v>
      </x:c>
      <x:c r="F421" s="4" t="n">
        <x:f>J421*0.95</x:f>
        <x:v>7.2532499999999995</x:v>
      </x:c>
      <x:c r="G421" s="4" t="n">
        <x:v>24.7</x:v>
      </x:c>
      <x:c r="H421" s="4" t="n">
        <x:v>72.17</x:v>
      </x:c>
      <x:c r="I421" s="5" t="n">
        <x:f t="shared" si="6">F421*1000*H421</x:f>
        <x:v>523467.05249999993</x:v>
      </x:c>
      <x:c r="J421" t="n">
        <x:v>7.635</x:v>
      </x:c>
    </x:row>
    <x:row r="422">
      <x:c r="A422" s="3" t="n">
        <x:v>2023</x:v>
      </x:c>
      <x:c r="B422" s="2" t="str">
        <x:v>Enero</x:v>
      </x:c>
      <x:c r="C422" s="2" t="str">
        <x:v>RE-002431-1</x:v>
      </x:c>
      <x:c r="D422" s="2" t="str">
        <x:v>PARQUE EOLICO MONTE TREITO</x:v>
      </x:c>
      <x:c r="E422" s="4" t="n">
        <x:v>8.031</x:v>
      </x:c>
      <x:c r="F422" s="4" t="n">
        <x:f>J422*1.02</x:f>
        <x:v>8.05698</x:v>
      </x:c>
      <x:c r="G422" s="4" t="n">
        <x:v>30.39</x:v>
      </x:c>
      <x:c r="H422" s="4" t="n">
        <x:v>69.55</x:v>
      </x:c>
      <x:c r="I422" s="5" t="n">
        <x:f t="shared" si="6">F422*1000*H422</x:f>
        <x:v>560362.9589999999</x:v>
      </x:c>
      <x:c r="J422" t="n">
        <x:v>7.899</x:v>
      </x:c>
    </x:row>
    <x:row r="423">
      <x:c r="A423" s="3" t="n">
        <x:v>2023</x:v>
      </x:c>
      <x:c r="B423" s="2" t="str">
        <x:v>Febrero</x:v>
      </x:c>
      <x:c r="C423" s="2" t="str">
        <x:v>RE-002431-1</x:v>
      </x:c>
      <x:c r="D423" s="2" t="str">
        <x:v>PARQUE EOLICO MONTE TREITO</x:v>
      </x:c>
      <x:c r="E423" s="4" t="n">
        <x:v>7.733</x:v>
      </x:c>
      <x:c r="F423" s="4" t="n">
        <x:f>J423*0.98</x:f>
        <x:v>7.39998</x:v>
      </x:c>
      <x:c r="G423" s="4" t="n">
        <x:v>30.39</x:v>
      </x:c>
      <x:c r="H423" s="4" t="n">
        <x:v>133.47</x:v>
      </x:c>
      <x:c r="I423" s="5" t="n">
        <x:f t="shared" si="6">F423*1000*H423</x:f>
        <x:v>987675.3306000001</x:v>
      </x:c>
      <x:c r="J423" t="n">
        <x:v>7.551</x:v>
      </x:c>
    </x:row>
    <x:row r="424">
      <x:c r="A424" s="3" t="n">
        <x:v>2023</x:v>
      </x:c>
      <x:c r="B424" s="2" t="str">
        <x:v>Marzo</x:v>
      </x:c>
      <x:c r="C424" s="2" t="str">
        <x:v>RE-002431-1</x:v>
      </x:c>
      <x:c r="D424" s="2" t="str">
        <x:v>PARQUE EOLICO MONTE TREITO</x:v>
      </x:c>
      <x:c r="E424" s="4" t="n">
        <x:v>6.901</x:v>
      </x:c>
      <x:c r="F424" s="4" t="n">
        <x:f>J424*0.94</x:f>
        <x:v>6.36004</x:v>
      </x:c>
      <x:c r="G424" s="4" t="n">
        <x:v>30.39</x:v>
      </x:c>
      <x:c r="H424" s="4" t="n">
        <x:v>89.61</x:v>
      </x:c>
      <x:c r="I424" s="5" t="n">
        <x:f t="shared" si="6">F424*1000*H424</x:f>
        <x:v>569923.1844</x:v>
      </x:c>
      <x:c r="J424" t="n">
        <x:v>6.766</x:v>
      </x:c>
    </x:row>
    <x:row r="425">
      <x:c r="A425" s="3" t="n">
        <x:v>2023</x:v>
      </x:c>
      <x:c r="B425" s="2" t="str">
        <x:v>Abril</x:v>
      </x:c>
      <x:c r="C425" s="2" t="str">
        <x:v>RE-002431-1</x:v>
      </x:c>
      <x:c r="D425" s="2" t="str">
        <x:v>PARQUE EOLICO MONTE TREITO</x:v>
      </x:c>
      <x:c r="E425" s="4" t="n">
        <x:v>5.745</x:v>
      </x:c>
      <x:c r="F425" s="4" t="n">
        <x:f>J425*1.01</x:f>
        <x:v>5.68731</x:v>
      </x:c>
      <x:c r="G425" s="4" t="n">
        <x:v>30.39</x:v>
      </x:c>
      <x:c r="H425" s="4" t="n">
        <x:v>73.73</x:v>
      </x:c>
      <x:c r="I425" s="5" t="n">
        <x:f t="shared" si="6">F425*1000*H425</x:f>
        <x:v>419325.36630000005</x:v>
      </x:c>
      <x:c r="J425" t="n">
        <x:v>5.631</x:v>
      </x:c>
    </x:row>
    <x:row r="426">
      <x:c r="A426" s="3" t="n">
        <x:v>2023</x:v>
      </x:c>
      <x:c r="B426" s="2" t="str">
        <x:v>Mayo</x:v>
      </x:c>
      <x:c r="C426" s="2" t="str">
        <x:v>RE-002431-1</x:v>
      </x:c>
      <x:c r="D426" s="2" t="str">
        <x:v>PARQUE EOLICO MONTE TREITO</x:v>
      </x:c>
      <x:c r="E426" s="4" t="n">
        <x:v>4.688</x:v>
      </x:c>
      <x:c r="F426" s="4" t="n">
        <x:f>J426*0.97</x:f>
        <x:v>4.46491</x:v>
      </x:c>
      <x:c r="G426" s="4" t="n">
        <x:v>30.39</x:v>
      </x:c>
      <x:c r="H426" s="4" t="n">
        <x:v>74.21</x:v>
      </x:c>
      <x:c r="I426" s="5" t="n">
        <x:f t="shared" si="6">F426*1000*H426</x:f>
        <x:v>331340.97109999997</x:v>
      </x:c>
      <x:c r="J426" t="n">
        <x:v>4.603</x:v>
      </x:c>
    </x:row>
    <x:row r="427">
      <x:c r="A427" s="3" t="n">
        <x:v>2023</x:v>
      </x:c>
      <x:c r="B427" s="2" t="str">
        <x:v>Junio</x:v>
      </x:c>
      <x:c r="C427" s="2" t="str">
        <x:v>RE-002431-1</x:v>
      </x:c>
      <x:c r="D427" s="2" t="str">
        <x:v>PARQUE EOLICO MONTE TREITO</x:v>
      </x:c>
      <x:c r="E427" s="4" t="n">
        <x:v>4.208</x:v>
      </x:c>
      <x:c r="F427" s="4" t="n">
        <x:f>J427*1.04</x:f>
        <x:v>4.24736</x:v>
      </x:c>
      <x:c r="G427" s="4" t="n">
        <x:v>30.39</x:v>
      </x:c>
      <x:c r="H427" s="4" t="n">
        <x:v>93.02</x:v>
      </x:c>
      <x:c r="I427" s="5" t="n">
        <x:f t="shared" si="6">F427*1000*H427</x:f>
        <x:v>395089.4272</x:v>
      </x:c>
      <x:c r="J427" t="n">
        <x:v>4.084</x:v>
      </x:c>
    </x:row>
    <x:row r="428">
      <x:c r="A428" s="3" t="n">
        <x:v>2023</x:v>
      </x:c>
      <x:c r="B428" s="2" t="str">
        <x:v>Julio</x:v>
      </x:c>
      <x:c r="C428" s="2" t="str">
        <x:v>RE-002431-1</x:v>
      </x:c>
      <x:c r="D428" s="2" t="str">
        <x:v>PARQUE EOLICO MONTE TREITO</x:v>
      </x:c>
      <x:c r="E428" s="4" t="n">
        <x:v>4.125</x:v>
      </x:c>
      <x:c r="F428" s="4" t="n">
        <x:f>J428*1</x:f>
        <x:v>4.036</x:v>
      </x:c>
      <x:c r="G428" s="4" t="n">
        <x:v>30.39</x:v>
      </x:c>
      <x:c r="H428" s="4" t="n">
        <x:v>90.47</x:v>
      </x:c>
      <x:c r="I428" s="5" t="n">
        <x:f t="shared" si="6">F428*1000*H428</x:f>
        <x:v>365136.9199999999</x:v>
      </x:c>
      <x:c r="J428" t="n">
        <x:v>4.036</x:v>
      </x:c>
    </x:row>
    <x:row r="429">
      <x:c r="A429" s="3" t="n">
        <x:v>2023</x:v>
      </x:c>
      <x:c r="B429" s="2" t="str">
        <x:v>Agosto</x:v>
      </x:c>
      <x:c r="C429" s="2" t="str">
        <x:v>RE-002431-1</x:v>
      </x:c>
      <x:c r="D429" s="2" t="str">
        <x:v>PARQUE EOLICO MONTE TREITO</x:v>
      </x:c>
      <x:c r="E429" s="4" t="n">
        <x:v>4.736</x:v>
      </x:c>
      <x:c r="F429" s="4" t="n">
        <x:f>J429*0.96</x:f>
        <x:v>4.47072</x:v>
      </x:c>
      <x:c r="G429" s="4" t="n">
        <x:v>30.39</x:v>
      </x:c>
      <x:c r="H429" s="4" t="n">
        <x:v>96.05</x:v>
      </x:c>
      <x:c r="I429" s="5" t="n">
        <x:f t="shared" si="6">F429*1000*H429</x:f>
        <x:v>429412.656</x:v>
      </x:c>
      <x:c r="J429" t="n">
        <x:v>4.657</x:v>
      </x:c>
    </x:row>
    <x:row r="430">
      <x:c r="A430" s="3" t="n">
        <x:v>2023</x:v>
      </x:c>
      <x:c r="B430" s="2" t="str">
        <x:v>Septiembre</x:v>
      </x:c>
      <x:c r="C430" s="2" t="str">
        <x:v>RE-002431-1</x:v>
      </x:c>
      <x:c r="D430" s="2" t="str">
        <x:v>PARQUE EOLICO MONTE TREITO</x:v>
      </x:c>
      <x:c r="E430" s="4" t="n">
        <x:v>5.681</x:v>
      </x:c>
      <x:c r="F430" s="4" t="n">
        <x:f>J430*1.03</x:f>
        <x:v>5.704140000000001</x:v>
      </x:c>
      <x:c r="G430" s="4" t="n">
        <x:v>30.39</x:v>
      </x:c>
      <x:c r="H430" s="4" t="n">
        <x:v>103.34</x:v>
      </x:c>
      <x:c r="I430" s="5" t="n">
        <x:f t="shared" si="6">F430*1000*H430</x:f>
        <x:v>589465.8276000001</x:v>
      </x:c>
      <x:c r="J430" t="n">
        <x:v>5.538</x:v>
      </x:c>
    </x:row>
    <x:row r="431">
      <x:c r="A431" s="3" t="n">
        <x:v>2023</x:v>
      </x:c>
      <x:c r="B431" s="2" t="str">
        <x:v>Octubre</x:v>
      </x:c>
      <x:c r="C431" s="2" t="str">
        <x:v>RE-002431-1</x:v>
      </x:c>
      <x:c r="D431" s="2" t="str">
        <x:v>PARQUE EOLICO MONTE TREITO</x:v>
      </x:c>
      <x:c r="E431" s="4" t="n">
        <x:v>5.606</x:v>
      </x:c>
      <x:c r="F431" s="4" t="n">
        <x:f>J431*0.99</x:f>
        <x:v>5.44302</x:v>
      </x:c>
      <x:c r="G431" s="4" t="n">
        <x:v>30.39</x:v>
      </x:c>
      <x:c r="H431" s="4" t="n">
        <x:v>90.14</x:v>
      </x:c>
      <x:c r="I431" s="5" t="n">
        <x:f t="shared" si="6">F431*1000*H431</x:f>
        <x:v>490633.82279999997</x:v>
      </x:c>
      <x:c r="J431" t="n">
        <x:v>5.498</x:v>
      </x:c>
    </x:row>
    <x:row r="432">
      <x:c r="A432" s="3" t="n">
        <x:v>2023</x:v>
      </x:c>
      <x:c r="B432" s="2" t="str">
        <x:v>Noviembre</x:v>
      </x:c>
      <x:c r="C432" s="2" t="str">
        <x:v>RE-002431-1</x:v>
      </x:c>
      <x:c r="D432" s="2" t="str">
        <x:v>PARQUE EOLICO MONTE TREITO</x:v>
      </x:c>
      <x:c r="E432" s="4" t="n">
        <x:v>6.838</x:v>
      </x:c>
      <x:c r="F432" s="4" t="n">
        <x:f>J432*0.95</x:f>
        <x:v>6.38305</x:v>
      </x:c>
      <x:c r="G432" s="4" t="n">
        <x:v>30.39</x:v>
      </x:c>
      <x:c r="H432" s="4" t="n">
        <x:v>63.45</x:v>
      </x:c>
      <x:c r="I432" s="5" t="n">
        <x:f t="shared" si="6">F432*1000*H432</x:f>
        <x:v>405004.5225</x:v>
      </x:c>
      <x:c r="J432" t="n">
        <x:v>6.719</x:v>
      </x:c>
    </x:row>
    <x:row r="433">
      <x:c r="A433" s="3" t="n">
        <x:v>2023</x:v>
      </x:c>
      <x:c r="B433" s="2" t="str">
        <x:v>Diciembre</x:v>
      </x:c>
      <x:c r="C433" s="2" t="str">
        <x:v>RE-002431-1</x:v>
      </x:c>
      <x:c r="D433" s="2" t="str">
        <x:v>PARQUE EOLICO MONTE TREITO</x:v>
      </x:c>
      <x:c r="E433" s="4" t="n">
        <x:v>7.542</x:v>
      </x:c>
      <x:c r="F433" s="4" t="n">
        <x:f>J433*1.02</x:f>
        <x:v>7.5072</x:v>
      </x:c>
      <x:c r="G433" s="4" t="n">
        <x:v>30.39</x:v>
      </x:c>
      <x:c r="H433" s="4" t="n">
        <x:v>72.17</x:v>
      </x:c>
      <x:c r="I433" s="5" t="n">
        <x:f t="shared" si="6">F433*1000*H433</x:f>
        <x:v>541794.624</x:v>
      </x:c>
      <x:c r="J433" t="n">
        <x:v>7.36</x:v>
      </x:c>
    </x:row>
    <x:row r="434">
      <x:c r="A434" s="3" t="n">
        <x:v>2023</x:v>
      </x:c>
      <x:c r="B434" s="2" t="str">
        <x:v>Enero</x:v>
      </x:c>
      <x:c r="C434" s="2" t="str">
        <x:v>RE-002434-1</x:v>
      </x:c>
      <x:c r="D434" s="2" t="str">
        <x:v>P. E. DE PAXAREIRAS II B (ADRAÑO)</x:v>
      </x:c>
      <x:c r="E434" s="4" t="n">
        <x:v>6.345</x:v>
      </x:c>
      <x:c r="F434" s="4" t="n">
        <x:f>J434*0.98</x:f>
        <x:v>6.087759999999999</x:v>
      </x:c>
      <x:c r="G434" s="4" t="n">
        <x:v>21.6</x:v>
      </x:c>
      <x:c r="H434" s="4" t="n">
        <x:v>69.55</x:v>
      </x:c>
      <x:c r="I434" s="5" t="n">
        <x:f t="shared" si="6">F434*1000*H434</x:f>
        <x:v>423403.7079999999</x:v>
      </x:c>
      <x:c r="J434" t="n">
        <x:v>6.212</x:v>
      </x:c>
    </x:row>
    <x:row r="435">
      <x:c r="A435" s="3" t="n">
        <x:v>2023</x:v>
      </x:c>
      <x:c r="B435" s="2" t="str">
        <x:v>Febrero</x:v>
      </x:c>
      <x:c r="C435" s="2" t="str">
        <x:v>RE-002434-1</x:v>
      </x:c>
      <x:c r="D435" s="2" t="str">
        <x:v>P. E. DE PAXAREIRAS II B (ADRAÑO)</x:v>
      </x:c>
      <x:c r="E435" s="4" t="n">
        <x:v>5.535</x:v>
      </x:c>
      <x:c r="F435" s="4" t="n">
        <x:f>J435*0.94</x:f>
        <x:v>5.11454</x:v>
      </x:c>
      <x:c r="G435" s="4" t="n">
        <x:v>21.6</x:v>
      </x:c>
      <x:c r="H435" s="4" t="n">
        <x:v>133.47</x:v>
      </x:c>
      <x:c r="I435" s="5" t="n">
        <x:f t="shared" si="6">F435*1000*H435</x:f>
        <x:v>682637.6538</x:v>
      </x:c>
      <x:c r="J435" t="n">
        <x:v>5.441</x:v>
      </x:c>
    </x:row>
    <x:row r="436">
      <x:c r="A436" s="3" t="n">
        <x:v>2023</x:v>
      </x:c>
      <x:c r="B436" s="2" t="str">
        <x:v>Marzo</x:v>
      </x:c>
      <x:c r="C436" s="2" t="str">
        <x:v>RE-002434-1</x:v>
      </x:c>
      <x:c r="D436" s="2" t="str">
        <x:v>P. E. DE PAXAREIRAS II B (ADRAÑO)</x:v>
      </x:c>
      <x:c r="E436" s="4" t="n">
        <x:v>4.842</x:v>
      </x:c>
      <x:c r="F436" s="4" t="n">
        <x:f>J436*1.01</x:f>
        <x:v>4.73589</x:v>
      </x:c>
      <x:c r="G436" s="4" t="n">
        <x:v>21.6</x:v>
      </x:c>
      <x:c r="H436" s="4" t="n">
        <x:v>89.61</x:v>
      </x:c>
      <x:c r="I436" s="5" t="n">
        <x:f t="shared" si="6">F436*1000*H436</x:f>
        <x:v>424383.1029</x:v>
      </x:c>
      <x:c r="J436" t="n">
        <x:v>4.689</x:v>
      </x:c>
    </x:row>
    <x:row r="437">
      <x:c r="A437" s="3" t="n">
        <x:v>2023</x:v>
      </x:c>
      <x:c r="B437" s="2" t="str">
        <x:v>Abril</x:v>
      </x:c>
      <x:c r="C437" s="2" t="str">
        <x:v>RE-002434-1</x:v>
      </x:c>
      <x:c r="D437" s="2" t="str">
        <x:v>P. E. DE PAXAREIRAS II B (ADRAÑO)</x:v>
      </x:c>
      <x:c r="E437" s="4" t="n">
        <x:v>4.578</x:v>
      </x:c>
      <x:c r="F437" s="4" t="n">
        <x:f>J437*0.97</x:f>
        <x:v>4.36306</x:v>
      </x:c>
      <x:c r="G437" s="4" t="n">
        <x:v>21.6</x:v>
      </x:c>
      <x:c r="H437" s="4" t="n">
        <x:v>73.73</x:v>
      </x:c>
      <x:c r="I437" s="5" t="n">
        <x:f t="shared" si="6">F437*1000*H437</x:f>
        <x:v>321688.4138</x:v>
      </x:c>
      <x:c r="J437" t="n">
        <x:v>4.498</x:v>
      </x:c>
    </x:row>
    <x:row r="438">
      <x:c r="A438" s="3" t="n">
        <x:v>2023</x:v>
      </x:c>
      <x:c r="B438" s="2" t="str">
        <x:v>Mayo</x:v>
      </x:c>
      <x:c r="C438" s="2" t="str">
        <x:v>RE-002434-1</x:v>
      </x:c>
      <x:c r="D438" s="2" t="str">
        <x:v>P. E. DE PAXAREIRAS II B (ADRAÑO)</x:v>
      </x:c>
      <x:c r="E438" s="4" t="n">
        <x:v>3.761</x:v>
      </x:c>
      <x:c r="F438" s="4" t="n">
        <x:f>J438*1.04</x:f>
        <x:v>3.80432</x:v>
      </x:c>
      <x:c r="G438" s="4" t="n">
        <x:v>21.6</x:v>
      </x:c>
      <x:c r="H438" s="4" t="n">
        <x:v>74.21</x:v>
      </x:c>
      <x:c r="I438" s="5" t="n">
        <x:f t="shared" si="6">F438*1000*H438</x:f>
        <x:v>282318.5872</x:v>
      </x:c>
      <x:c r="J438" t="n">
        <x:v>3.658</x:v>
      </x:c>
    </x:row>
    <x:row r="439">
      <x:c r="A439" s="3" t="n">
        <x:v>2023</x:v>
      </x:c>
      <x:c r="B439" s="2" t="str">
        <x:v>Junio</x:v>
      </x:c>
      <x:c r="C439" s="2" t="str">
        <x:v>RE-002434-1</x:v>
      </x:c>
      <x:c r="D439" s="2" t="str">
        <x:v>P. E. DE PAXAREIRAS II B (ADRAÑO)</x:v>
      </x:c>
      <x:c r="E439" s="4" t="n">
        <x:v>3.331</x:v>
      </x:c>
      <x:c r="F439" s="4" t="n">
        <x:f>J439*1</x:f>
        <x:v>3.246</x:v>
      </x:c>
      <x:c r="G439" s="4" t="n">
        <x:v>21.6</x:v>
      </x:c>
      <x:c r="H439" s="4" t="n">
        <x:v>93.02</x:v>
      </x:c>
      <x:c r="I439" s="5" t="n">
        <x:f t="shared" si="6">F439*1000*H439</x:f>
        <x:v>301942.92</x:v>
      </x:c>
      <x:c r="J439" t="n">
        <x:v>3.246</x:v>
      </x:c>
    </x:row>
    <x:row r="440">
      <x:c r="A440" s="3" t="n">
        <x:v>2023</x:v>
      </x:c>
      <x:c r="B440" s="2" t="str">
        <x:v>Julio</x:v>
      </x:c>
      <x:c r="C440" s="2" t="str">
        <x:v>RE-002434-1</x:v>
      </x:c>
      <x:c r="D440" s="2" t="str">
        <x:v>P. E. DE PAXAREIRAS II B (ADRAÑO)</x:v>
      </x:c>
      <x:c r="E440" s="4" t="n">
        <x:v>2.741</x:v>
      </x:c>
      <x:c r="F440" s="4" t="n">
        <x:f>J440*0.96</x:f>
        <x:v>2.5516799999999997</x:v>
      </x:c>
      <x:c r="G440" s="4" t="n">
        <x:v>21.6</x:v>
      </x:c>
      <x:c r="H440" s="4" t="n">
        <x:v>90.47</x:v>
      </x:c>
      <x:c r="I440" s="5" t="n">
        <x:f t="shared" si="6">F440*1000*H440</x:f>
        <x:v>230850.48959999997</x:v>
      </x:c>
      <x:c r="J440" t="n">
        <x:v>2.658</x:v>
      </x:c>
    </x:row>
    <x:row r="441">
      <x:c r="A441" s="3" t="n">
        <x:v>2023</x:v>
      </x:c>
      <x:c r="B441" s="2" t="str">
        <x:v>Agosto</x:v>
      </x:c>
      <x:c r="C441" s="2" t="str">
        <x:v>RE-002434-1</x:v>
      </x:c>
      <x:c r="D441" s="2" t="str">
        <x:v>P. E. DE PAXAREIRAS II B (ADRAÑO)</x:v>
      </x:c>
      <x:c r="E441" s="4" t="n">
        <x:v>3.481</x:v>
      </x:c>
      <x:c r="F441" s="4" t="n">
        <x:f>J441*1.03</x:f>
        <x:v>3.5071499999999998</x:v>
      </x:c>
      <x:c r="G441" s="4" t="n">
        <x:v>21.6</x:v>
      </x:c>
      <x:c r="H441" s="4" t="n">
        <x:v>96.05</x:v>
      </x:c>
      <x:c r="I441" s="5" t="n">
        <x:f t="shared" si="6">F441*1000*H441</x:f>
        <x:v>336861.75749999995</x:v>
      </x:c>
      <x:c r="J441" t="n">
        <x:v>3.405</x:v>
      </x:c>
    </x:row>
    <x:row r="442">
      <x:c r="A442" s="3" t="n">
        <x:v>2023</x:v>
      </x:c>
      <x:c r="B442" s="2" t="str">
        <x:v>Septiembre</x:v>
      </x:c>
      <x:c r="C442" s="2" t="str">
        <x:v>RE-002434-1</x:v>
      </x:c>
      <x:c r="D442" s="2" t="str">
        <x:v>P. E. DE PAXAREIRAS II B (ADRAÑO)</x:v>
      </x:c>
      <x:c r="E442" s="4" t="n">
        <x:v>3.244</x:v>
      </x:c>
      <x:c r="F442" s="4" t="n">
        <x:f>J442*0.99</x:f>
        <x:v>3.13335</x:v>
      </x:c>
      <x:c r="G442" s="4" t="n">
        <x:v>21.6</x:v>
      </x:c>
      <x:c r="H442" s="4" t="n">
        <x:v>103.34</x:v>
      </x:c>
      <x:c r="I442" s="5" t="n">
        <x:f t="shared" si="6">F442*1000*H442</x:f>
        <x:v>323800.389</x:v>
      </x:c>
      <x:c r="J442" t="n">
        <x:v>3.165</x:v>
      </x:c>
    </x:row>
    <x:row r="443">
      <x:c r="A443" s="3" t="n">
        <x:v>2023</x:v>
      </x:c>
      <x:c r="B443" s="2" t="str">
        <x:v>Octubre</x:v>
      </x:c>
      <x:c r="C443" s="2" t="str">
        <x:v>RE-002434-1</x:v>
      </x:c>
      <x:c r="D443" s="2" t="str">
        <x:v>P. E. DE PAXAREIRAS II B (ADRAÑO)</x:v>
      </x:c>
      <x:c r="E443" s="4" t="n">
        <x:v>5.122</x:v>
      </x:c>
      <x:c r="F443" s="4" t="n">
        <x:f>J443*0.95</x:f>
        <x:v>4.7585500000000005</x:v>
      </x:c>
      <x:c r="G443" s="4" t="n">
        <x:v>21.6</x:v>
      </x:c>
      <x:c r="H443" s="4" t="n">
        <x:v>90.14</x:v>
      </x:c>
      <x:c r="I443" s="5" t="n">
        <x:f t="shared" si="6">F443*1000*H443</x:f>
        <x:v>428935.69700000004</x:v>
      </x:c>
      <x:c r="J443" t="n">
        <x:v>5.009</x:v>
      </x:c>
    </x:row>
    <x:row r="444">
      <x:c r="A444" s="3" t="n">
        <x:v>2023</x:v>
      </x:c>
      <x:c r="B444" s="2" t="str">
        <x:v>Noviembre</x:v>
      </x:c>
      <x:c r="C444" s="2" t="str">
        <x:v>RE-002434-1</x:v>
      </x:c>
      <x:c r="D444" s="2" t="str">
        <x:v>P. E. DE PAXAREIRAS II B (ADRAÑO)</x:v>
      </x:c>
      <x:c r="E444" s="4" t="n">
        <x:v>6.087</x:v>
      </x:c>
      <x:c r="F444" s="4" t="n">
        <x:f>J444*1.02</x:f>
        <x:v>6.11286</x:v>
      </x:c>
      <x:c r="G444" s="4" t="n">
        <x:v>21.6</x:v>
      </x:c>
      <x:c r="H444" s="4" t="n">
        <x:v>63.45</x:v>
      </x:c>
      <x:c r="I444" s="5" t="n">
        <x:f t="shared" si="6">F444*1000*H444</x:f>
        <x:v>387860.96700000006</x:v>
      </x:c>
      <x:c r="J444" t="n">
        <x:v>5.993</x:v>
      </x:c>
    </x:row>
    <x:row r="445">
      <x:c r="A445" s="3" t="n">
        <x:v>2023</x:v>
      </x:c>
      <x:c r="B445" s="2" t="str">
        <x:v>Diciembre</x:v>
      </x:c>
      <x:c r="C445" s="2" t="str">
        <x:v>RE-002434-1</x:v>
      </x:c>
      <x:c r="D445" s="2" t="str">
        <x:v>P. E. DE PAXAREIRAS II B (ADRAÑO)</x:v>
      </x:c>
      <x:c r="E445" s="4" t="n">
        <x:v>6.738</x:v>
      </x:c>
      <x:c r="F445" s="4" t="n">
        <x:f>J445*0.98</x:f>
        <x:v>6.460159999999999</x:v>
      </x:c>
      <x:c r="G445" s="4" t="n">
        <x:v>21.6</x:v>
      </x:c>
      <x:c r="H445" s="4" t="n">
        <x:v>72.17</x:v>
      </x:c>
      <x:c r="I445" s="5" t="n">
        <x:f t="shared" si="6">F445*1000*H445</x:f>
        <x:v>466229.7471999999</x:v>
      </x:c>
      <x:c r="J445" t="n">
        <x:v>6.592</x:v>
      </x:c>
    </x:row>
    <x:row r="446">
      <x:c r="A446" s="3" t="n">
        <x:v>2023</x:v>
      </x:c>
      <x:c r="B446" s="2" t="str">
        <x:v>Enero</x:v>
      </x:c>
      <x:c r="C446" s="2" t="str">
        <x:v>RE-002516-1</x:v>
      </x:c>
      <x:c r="D446" s="2" t="str">
        <x:v>P.E. ALABE-VENTOADA (ampliac.15/06/2004 y 26/7/05)</x:v>
      </x:c>
      <x:c r="E446" s="4" t="n">
        <x:v>5.73</x:v>
      </x:c>
      <x:c r="F446" s="4" t="n">
        <x:f>J446*0.94</x:f>
        <x:v>5.279039999999999</x:v>
      </x:c>
      <x:c r="G446" s="4" t="n">
        <x:v>22.5</x:v>
      </x:c>
      <x:c r="H446" s="4" t="n">
        <x:v>69.55</x:v>
      </x:c>
      <x:c r="I446" s="5" t="n">
        <x:f t="shared" si="6">F446*1000*H446</x:f>
        <x:v>367157.2319999999</x:v>
      </x:c>
      <x:c r="J446" t="n">
        <x:v>5.616</x:v>
      </x:c>
    </x:row>
    <x:row r="447">
      <x:c r="A447" s="3" t="n">
        <x:v>2023</x:v>
      </x:c>
      <x:c r="B447" s="2" t="str">
        <x:v>Febrero</x:v>
      </x:c>
      <x:c r="C447" s="2" t="str">
        <x:v>RE-002516-1</x:v>
      </x:c>
      <x:c r="D447" s="2" t="str">
        <x:v>P.E. ALABE-VENTOADA (ampliac.15/06/2004 y 26/7/05)</x:v>
      </x:c>
      <x:c r="E447" s="4" t="n">
        <x:v>4.984</x:v>
      </x:c>
      <x:c r="F447" s="4" t="n">
        <x:f>J447*1.01</x:f>
        <x:v>4.94496</x:v>
      </x:c>
      <x:c r="G447" s="4" t="n">
        <x:v>22.5</x:v>
      </x:c>
      <x:c r="H447" s="4" t="n">
        <x:v>133.47</x:v>
      </x:c>
      <x:c r="I447" s="5" t="n">
        <x:f t="shared" si="6">F447*1000*H447</x:f>
        <x:v>660003.8112</x:v>
      </x:c>
      <x:c r="J447" t="n">
        <x:v>4.896</x:v>
      </x:c>
    </x:row>
    <x:row r="448">
      <x:c r="A448" s="3" t="n">
        <x:v>2023</x:v>
      </x:c>
      <x:c r="B448" s="2" t="str">
        <x:v>Marzo</x:v>
      </x:c>
      <x:c r="C448" s="2" t="str">
        <x:v>RE-002516-1</x:v>
      </x:c>
      <x:c r="D448" s="2" t="str">
        <x:v>P.E. ALABE-VENTOADA (ampliac.15/06/2004 y 26/7/05)</x:v>
      </x:c>
      <x:c r="E448" s="4" t="n">
        <x:v>5.004</x:v>
      </x:c>
      <x:c r="F448" s="4" t="n">
        <x:f>J448*0.97</x:f>
        <x:v>4.72487</x:v>
      </x:c>
      <x:c r="G448" s="4" t="n">
        <x:v>22.5</x:v>
      </x:c>
      <x:c r="H448" s="4" t="n">
        <x:v>89.61</x:v>
      </x:c>
      <x:c r="I448" s="5" t="n">
        <x:f t="shared" si="6">F448*1000*H448</x:f>
        <x:v>423395.6007</x:v>
      </x:c>
      <x:c r="J448" t="n">
        <x:v>4.871</x:v>
      </x:c>
    </x:row>
    <x:row r="449">
      <x:c r="A449" s="3" t="n">
        <x:v>2023</x:v>
      </x:c>
      <x:c r="B449" s="2" t="str">
        <x:v>Abril</x:v>
      </x:c>
      <x:c r="C449" s="2" t="str">
        <x:v>RE-002516-1</x:v>
      </x:c>
      <x:c r="D449" s="2" t="str">
        <x:v>P.E. ALABE-VENTOADA (ampliac.15/06/2004 y 26/7/05)</x:v>
      </x:c>
      <x:c r="E449" s="4" t="n">
        <x:v>4.524</x:v>
      </x:c>
      <x:c r="F449" s="4" t="n">
        <x:f>J449*1.04</x:f>
        <x:v>4.58848</x:v>
      </x:c>
      <x:c r="G449" s="4" t="n">
        <x:v>22.5</x:v>
      </x:c>
      <x:c r="H449" s="4" t="n">
        <x:v>73.73</x:v>
      </x:c>
      <x:c r="I449" s="5" t="n">
        <x:f t="shared" si="6">F449*1000*H449</x:f>
        <x:v>338308.63039999997</x:v>
      </x:c>
      <x:c r="J449" t="n">
        <x:v>4.412</x:v>
      </x:c>
    </x:row>
    <x:row r="450">
      <x:c r="A450" s="3" t="n">
        <x:v>2023</x:v>
      </x:c>
      <x:c r="B450" s="2" t="str">
        <x:v>Mayo</x:v>
      </x:c>
      <x:c r="C450" s="2" t="str">
        <x:v>RE-002516-1</x:v>
      </x:c>
      <x:c r="D450" s="2" t="str">
        <x:v>P.E. ALABE-VENTOADA (ampliac.15/06/2004 y 26/7/05)</x:v>
      </x:c>
      <x:c r="E450" s="4" t="n">
        <x:v>3.45</x:v>
      </x:c>
      <x:c r="F450" s="4" t="n">
        <x:f>J450*1</x:f>
        <x:v>3.376</x:v>
      </x:c>
      <x:c r="G450" s="4" t="n">
        <x:v>22.5</x:v>
      </x:c>
      <x:c r="H450" s="4" t="n">
        <x:v>74.21</x:v>
      </x:c>
      <x:c r="I450" s="5" t="n">
        <x:f t="shared" ref="I450:I513" si="7">F450*1000*H450</x:f>
        <x:v>250532.96</x:v>
      </x:c>
      <x:c r="J450" t="n">
        <x:v>3.376</x:v>
      </x:c>
    </x:row>
    <x:row r="451">
      <x:c r="A451" s="3" t="n">
        <x:v>2023</x:v>
      </x:c>
      <x:c r="B451" s="2" t="str">
        <x:v>Junio</x:v>
      </x:c>
      <x:c r="C451" s="2" t="str">
        <x:v>RE-002516-1</x:v>
      </x:c>
      <x:c r="D451" s="2" t="str">
        <x:v>P.E. ALABE-VENTOADA (ampliac.15/06/2004 y 26/7/05)</x:v>
      </x:c>
      <x:c r="E451" s="4" t="n">
        <x:v>3.495</x:v>
      </x:c>
      <x:c r="F451" s="4" t="n">
        <x:f>J451*0.96</x:f>
        <x:v>3.29088</x:v>
      </x:c>
      <x:c r="G451" s="4" t="n">
        <x:v>22.5</x:v>
      </x:c>
      <x:c r="H451" s="4" t="n">
        <x:v>93.02</x:v>
      </x:c>
      <x:c r="I451" s="5" t="n">
        <x:f t="shared" si="7">F451*1000*H451</x:f>
        <x:v>306117.6576</x:v>
      </x:c>
      <x:c r="J451" t="n">
        <x:v>3.428</x:v>
      </x:c>
    </x:row>
    <x:row r="452">
      <x:c r="A452" s="3" t="n">
        <x:v>2023</x:v>
      </x:c>
      <x:c r="B452" s="2" t="str">
        <x:v>Julio</x:v>
      </x:c>
      <x:c r="C452" s="2" t="str">
        <x:v>RE-002516-1</x:v>
      </x:c>
      <x:c r="D452" s="2" t="str">
        <x:v>P.E. ALABE-VENTOADA (ampliac.15/06/2004 y 26/7/05)</x:v>
      </x:c>
      <x:c r="E452" s="4" t="n">
        <x:v>3.414</x:v>
      </x:c>
      <x:c r="F452" s="4" t="n">
        <x:f>J452*1.03</x:f>
        <x:v>3.4577100000000005</x:v>
      </x:c>
      <x:c r="G452" s="4" t="n">
        <x:v>22.5</x:v>
      </x:c>
      <x:c r="H452" s="4" t="n">
        <x:v>90.47</x:v>
      </x:c>
      <x:c r="I452" s="5" t="n">
        <x:f t="shared" si="7">F452*1000*H452</x:f>
        <x:v>312819.0237</x:v>
      </x:c>
      <x:c r="J452" t="n">
        <x:v>3.357</x:v>
      </x:c>
    </x:row>
    <x:row r="453">
      <x:c r="A453" s="3" t="n">
        <x:v>2023</x:v>
      </x:c>
      <x:c r="B453" s="2" t="str">
        <x:v>Agosto</x:v>
      </x:c>
      <x:c r="C453" s="2" t="str">
        <x:v>RE-002516-1</x:v>
      </x:c>
      <x:c r="D453" s="2" t="str">
        <x:v>P.E. ALABE-VENTOADA (ampliac.15/06/2004 y 26/7/05)</x:v>
      </x:c>
      <x:c r="E453" s="4" t="n">
        <x:v>3.584</x:v>
      </x:c>
      <x:c r="F453" s="4" t="n">
        <x:f>J453*0.99</x:f>
        <x:v>3.45411</x:v>
      </x:c>
      <x:c r="G453" s="4" t="n">
        <x:v>22.5</x:v>
      </x:c>
      <x:c r="H453" s="4" t="n">
        <x:v>96.05</x:v>
      </x:c>
      <x:c r="I453" s="5" t="n">
        <x:f t="shared" si="7">F453*1000*H453</x:f>
        <x:v>331767.2655</x:v>
      </x:c>
      <x:c r="J453" t="n">
        <x:v>3.489</x:v>
      </x:c>
    </x:row>
    <x:row r="454">
      <x:c r="A454" s="3" t="n">
        <x:v>2023</x:v>
      </x:c>
      <x:c r="B454" s="2" t="str">
        <x:v>Septiembre</x:v>
      </x:c>
      <x:c r="C454" s="2" t="str">
        <x:v>RE-002516-1</x:v>
      </x:c>
      <x:c r="D454" s="2" t="str">
        <x:v>P.E. ALABE-VENTOADA (ampliac.15/06/2004 y 26/7/05)</x:v>
      </x:c>
      <x:c r="E454" s="4" t="n">
        <x:v>3.683</x:v>
      </x:c>
      <x:c r="F454" s="4" t="n">
        <x:f>J454*0.95</x:f>
        <x:v>3.4124</x:v>
      </x:c>
      <x:c r="G454" s="4" t="n">
        <x:v>22.5</x:v>
      </x:c>
      <x:c r="H454" s="4" t="n">
        <x:v>103.34</x:v>
      </x:c>
      <x:c r="I454" s="5" t="n">
        <x:f t="shared" si="7">F454*1000*H454</x:f>
        <x:v>352637.416</x:v>
      </x:c>
      <x:c r="J454" t="n">
        <x:v>3.592</x:v>
      </x:c>
    </x:row>
    <x:row r="455">
      <x:c r="A455" s="3" t="n">
        <x:v>2023</x:v>
      </x:c>
      <x:c r="B455" s="2" t="str">
        <x:v>Octubre</x:v>
      </x:c>
      <x:c r="C455" s="2" t="str">
        <x:v>RE-002516-1</x:v>
      </x:c>
      <x:c r="D455" s="2" t="str">
        <x:v>P.E. ALABE-VENTOADA (ampliac.15/06/2004 y 26/7/05)</x:v>
      </x:c>
      <x:c r="E455" s="4" t="n">
        <x:v>4.379</x:v>
      </x:c>
      <x:c r="F455" s="4" t="n">
        <x:f>J455*1.02</x:f>
        <x:v>4.3533599999999995</x:v>
      </x:c>
      <x:c r="G455" s="4" t="n">
        <x:v>22.5</x:v>
      </x:c>
      <x:c r="H455" s="4" t="n">
        <x:v>90.14</x:v>
      </x:c>
      <x:c r="I455" s="5" t="n">
        <x:f t="shared" si="7">F455*1000*H455</x:f>
        <x:v>392411.87039999996</x:v>
      </x:c>
      <x:c r="J455" t="n">
        <x:v>4.268</x:v>
      </x:c>
    </x:row>
    <x:row r="456">
      <x:c r="A456" s="3" t="n">
        <x:v>2023</x:v>
      </x:c>
      <x:c r="B456" s="2" t="str">
        <x:v>Noviembre</x:v>
      </x:c>
      <x:c r="C456" s="2" t="str">
        <x:v>RE-002516-1</x:v>
      </x:c>
      <x:c r="D456" s="2" t="str">
        <x:v>P.E. ALABE-VENTOADA (ampliac.15/06/2004 y 26/7/05)</x:v>
      </x:c>
      <x:c r="E456" s="4" t="n">
        <x:v>5.965</x:v>
      </x:c>
      <x:c r="F456" s="4" t="n">
        <x:f>J456*0.98</x:f>
        <x:v>5.7575</x:v>
      </x:c>
      <x:c r="G456" s="4" t="n">
        <x:v>22.5</x:v>
      </x:c>
      <x:c r="H456" s="4" t="n">
        <x:v>63.45</x:v>
      </x:c>
      <x:c r="I456" s="5" t="n">
        <x:f t="shared" si="7">F456*1000*H456</x:f>
        <x:v>365313.375</x:v>
      </x:c>
      <x:c r="J456" t="n">
        <x:v>5.875</x:v>
      </x:c>
    </x:row>
    <x:row r="457">
      <x:c r="A457" s="3" t="n">
        <x:v>2023</x:v>
      </x:c>
      <x:c r="B457" s="2" t="str">
        <x:v>Diciembre</x:v>
      </x:c>
      <x:c r="C457" s="2" t="str">
        <x:v>RE-002516-1</x:v>
      </x:c>
      <x:c r="D457" s="2" t="str">
        <x:v>P.E. ALABE-VENTOADA (ampliac.15/06/2004 y 26/7/05)</x:v>
      </x:c>
      <x:c r="E457" s="4" t="n">
        <x:v>6.869</x:v>
      </x:c>
      <x:c r="F457" s="4" t="n">
        <x:f>J457*0.94</x:f>
        <x:v>6.29612</x:v>
      </x:c>
      <x:c r="G457" s="4" t="n">
        <x:v>22.5</x:v>
      </x:c>
      <x:c r="H457" s="4" t="n">
        <x:v>72.17</x:v>
      </x:c>
      <x:c r="I457" s="5" t="n">
        <x:f t="shared" si="7">F457*1000*H457</x:f>
        <x:v>454390.9804</x:v>
      </x:c>
      <x:c r="J457" t="n">
        <x:v>6.698</x:v>
      </x:c>
    </x:row>
    <x:row r="458">
      <x:c r="A458" s="3" t="n">
        <x:v>2023</x:v>
      </x:c>
      <x:c r="B458" s="2" t="str">
        <x:v>Enero</x:v>
      </x:c>
      <x:c r="C458" s="2" t="str">
        <x:v>RE-002517-1</x:v>
      </x:c>
      <x:c r="D458" s="2" t="str">
        <x:v>P.E. ALABE-LOMBA</x:v>
      </x:c>
      <x:c r="E458" s="4" t="n">
        <x:v>5.057</x:v>
      </x:c>
      <x:c r="F458" s="4" t="n">
        <x:f>J458*1.01</x:f>
        <x:v>5.02071</x:v>
      </x:c>
      <x:c r="G458" s="4" t="n">
        <x:v>22.5</x:v>
      </x:c>
      <x:c r="H458" s="4" t="n">
        <x:v>69.55</x:v>
      </x:c>
      <x:c r="I458" s="5" t="n">
        <x:f t="shared" si="7">F458*1000*H458</x:f>
        <x:v>349190.38049999997</x:v>
      </x:c>
      <x:c r="J458" t="n">
        <x:v>4.971</x:v>
      </x:c>
    </x:row>
    <x:row r="459">
      <x:c r="A459" s="3" t="n">
        <x:v>2023</x:v>
      </x:c>
      <x:c r="B459" s="2" t="str">
        <x:v>Febrero</x:v>
      </x:c>
      <x:c r="C459" s="2" t="str">
        <x:v>RE-002517-1</x:v>
      </x:c>
      <x:c r="D459" s="2" t="str">
        <x:v>P.E. ALABE-LOMBA</x:v>
      </x:c>
      <x:c r="E459" s="4" t="n">
        <x:v>4.604</x:v>
      </x:c>
      <x:c r="F459" s="4" t="n">
        <x:f>J459*0.97</x:f>
        <x:v>4.33299</x:v>
      </x:c>
      <x:c r="G459" s="4" t="n">
        <x:v>22.5</x:v>
      </x:c>
      <x:c r="H459" s="4" t="n">
        <x:v>133.47</x:v>
      </x:c>
      <x:c r="I459" s="5" t="n">
        <x:f t="shared" si="7">F459*1000*H459</x:f>
        <x:v>578324.1753</x:v>
      </x:c>
      <x:c r="J459" t="n">
        <x:v>4.467</x:v>
      </x:c>
    </x:row>
    <x:row r="460">
      <x:c r="A460" s="3" t="n">
        <x:v>2023</x:v>
      </x:c>
      <x:c r="B460" s="2" t="str">
        <x:v>Marzo</x:v>
      </x:c>
      <x:c r="C460" s="2" t="str">
        <x:v>RE-002517-1</x:v>
      </x:c>
      <x:c r="D460" s="2" t="str">
        <x:v>P.E. ALABE-LOMBA</x:v>
      </x:c>
      <x:c r="E460" s="4" t="n">
        <x:v>4.416</x:v>
      </x:c>
      <x:c r="F460" s="4" t="n">
        <x:f>J460*1.04</x:f>
        <x:v>4.45016</x:v>
      </x:c>
      <x:c r="G460" s="4" t="n">
        <x:v>22.5</x:v>
      </x:c>
      <x:c r="H460" s="4" t="n">
        <x:v>89.61</x:v>
      </x:c>
      <x:c r="I460" s="5" t="n">
        <x:f t="shared" si="7">F460*1000*H460</x:f>
        <x:v>398778.8376000001</x:v>
      </x:c>
      <x:c r="J460" t="n">
        <x:v>4.279</x:v>
      </x:c>
    </x:row>
    <x:row r="461">
      <x:c r="A461" s="3" t="n">
        <x:v>2023</x:v>
      </x:c>
      <x:c r="B461" s="2" t="str">
        <x:v>Abril</x:v>
      </x:c>
      <x:c r="C461" s="2" t="str">
        <x:v>RE-002517-1</x:v>
      </x:c>
      <x:c r="D461" s="2" t="str">
        <x:v>P.E. ALABE-LOMBA</x:v>
      </x:c>
      <x:c r="E461" s="4" t="n">
        <x:v>4.56</x:v>
      </x:c>
      <x:c r="F461" s="4" t="n">
        <x:f>J461*1</x:f>
        <x:v>4.432</x:v>
      </x:c>
      <x:c r="G461" s="4" t="n">
        <x:v>22.5</x:v>
      </x:c>
      <x:c r="H461" s="4" t="n">
        <x:v>73.73</x:v>
      </x:c>
      <x:c r="I461" s="5" t="n">
        <x:f t="shared" si="7">F461*1000*H461</x:f>
        <x:v>326771.36000000004</x:v>
      </x:c>
      <x:c r="J461" t="n">
        <x:v>4.432</x:v>
      </x:c>
    </x:row>
    <x:row r="462">
      <x:c r="A462" s="3" t="n">
        <x:v>2023</x:v>
      </x:c>
      <x:c r="B462" s="2" t="str">
        <x:v>Mayo</x:v>
      </x:c>
      <x:c r="C462" s="2" t="str">
        <x:v>RE-002517-1</x:v>
      </x:c>
      <x:c r="D462" s="2" t="str">
        <x:v>P.E. ALABE-LOMBA</x:v>
      </x:c>
      <x:c r="E462" s="4" t="n">
        <x:v>3.212</x:v>
      </x:c>
      <x:c r="F462" s="4" t="n">
        <x:f>J462*0.96</x:f>
        <x:v>3.0019199999999997</x:v>
      </x:c>
      <x:c r="G462" s="4" t="n">
        <x:v>22.5</x:v>
      </x:c>
      <x:c r="H462" s="4" t="n">
        <x:v>74.21</x:v>
      </x:c>
      <x:c r="I462" s="5" t="n">
        <x:f t="shared" si="7">F462*1000*H462</x:f>
        <x:v>222772.48319999996</x:v>
      </x:c>
      <x:c r="J462" t="n">
        <x:v>3.127</x:v>
      </x:c>
    </x:row>
    <x:row r="463">
      <x:c r="A463" s="3" t="n">
        <x:v>2023</x:v>
      </x:c>
      <x:c r="B463" s="2" t="str">
        <x:v>Junio</x:v>
      </x:c>
      <x:c r="C463" s="2" t="str">
        <x:v>RE-002517-1</x:v>
      </x:c>
      <x:c r="D463" s="2" t="str">
        <x:v>P.E. ALABE-LOMBA</x:v>
      </x:c>
      <x:c r="E463" s="4" t="n">
        <x:v>3.55</x:v>
      </x:c>
      <x:c r="F463" s="4" t="n">
        <x:f>J463*1.03</x:f>
        <x:v>3.58543</x:v>
      </x:c>
      <x:c r="G463" s="4" t="n">
        <x:v>22.5</x:v>
      </x:c>
      <x:c r="H463" s="4" t="n">
        <x:v>93.02</x:v>
      </x:c>
      <x:c r="I463" s="5" t="n">
        <x:f t="shared" si="7">F463*1000*H463</x:f>
        <x:v>333516.6986</x:v>
      </x:c>
      <x:c r="J463" t="n">
        <x:v>3.481</x:v>
      </x:c>
    </x:row>
    <x:row r="464">
      <x:c r="A464" s="3" t="n">
        <x:v>2023</x:v>
      </x:c>
      <x:c r="B464" s="2" t="str">
        <x:v>Julio</x:v>
      </x:c>
      <x:c r="C464" s="2" t="str">
        <x:v>RE-002517-1</x:v>
      </x:c>
      <x:c r="D464" s="2" t="str">
        <x:v>P.E. ALABE-LOMBA</x:v>
      </x:c>
      <x:c r="E464" s="4" t="n">
        <x:v>2.699</x:v>
      </x:c>
      <x:c r="F464" s="4" t="n">
        <x:f>J464*0.99</x:f>
        <x:v>2.60568</x:v>
      </x:c>
      <x:c r="G464" s="4" t="n">
        <x:v>22.5</x:v>
      </x:c>
      <x:c r="H464" s="4" t="n">
        <x:v>90.47</x:v>
      </x:c>
      <x:c r="I464" s="5" t="n">
        <x:f t="shared" si="7">F464*1000*H464</x:f>
        <x:v>235735.86959999998</x:v>
      </x:c>
      <x:c r="J464" t="n">
        <x:v>2.632</x:v>
      </x:c>
    </x:row>
    <x:row r="465">
      <x:c r="A465" s="3" t="n">
        <x:v>2023</x:v>
      </x:c>
      <x:c r="B465" s="2" t="str">
        <x:v>Agosto</x:v>
      </x:c>
      <x:c r="C465" s="2" t="str">
        <x:v>RE-002517-1</x:v>
      </x:c>
      <x:c r="D465" s="2" t="str">
        <x:v>P.E. ALABE-LOMBA</x:v>
      </x:c>
      <x:c r="E465" s="4" t="n">
        <x:v>2.73</x:v>
      </x:c>
      <x:c r="F465" s="4" t="n">
        <x:f>J465*0.95</x:f>
        <x:v>2.5374499999999998</x:v>
      </x:c>
      <x:c r="G465" s="4" t="n">
        <x:v>22.5</x:v>
      </x:c>
      <x:c r="H465" s="4" t="n">
        <x:v>96.05</x:v>
      </x:c>
      <x:c r="I465" s="5" t="n">
        <x:f t="shared" si="7">F465*1000*H465</x:f>
        <x:v>243722.07249999998</x:v>
      </x:c>
      <x:c r="J465" t="n">
        <x:v>2.671</x:v>
      </x:c>
    </x:row>
    <x:row r="466">
      <x:c r="A466" s="3" t="n">
        <x:v>2023</x:v>
      </x:c>
      <x:c r="B466" s="2" t="str">
        <x:v>Septiembre</x:v>
      </x:c>
      <x:c r="C466" s="2" t="str">
        <x:v>RE-002517-1</x:v>
      </x:c>
      <x:c r="D466" s="2" t="str">
        <x:v>P.E. ALABE-LOMBA</x:v>
      </x:c>
      <x:c r="E466" s="4" t="n">
        <x:v>3.21</x:v>
      </x:c>
      <x:c r="F466" s="4" t="n">
        <x:f>J466*1.02</x:f>
        <x:v>3.21096</x:v>
      </x:c>
      <x:c r="G466" s="4" t="n">
        <x:v>22.5</x:v>
      </x:c>
      <x:c r="H466" s="4" t="n">
        <x:v>103.34</x:v>
      </x:c>
      <x:c r="I466" s="5" t="n">
        <x:f t="shared" si="7">F466*1000*H466</x:f>
        <x:v>331820.6064</x:v>
      </x:c>
      <x:c r="J466" t="n">
        <x:v>3.148</x:v>
      </x:c>
    </x:row>
    <x:row r="467">
      <x:c r="A467" s="3" t="n">
        <x:v>2023</x:v>
      </x:c>
      <x:c r="B467" s="2" t="str">
        <x:v>Octubre</x:v>
      </x:c>
      <x:c r="C467" s="2" t="str">
        <x:v>RE-002517-1</x:v>
      </x:c>
      <x:c r="D467" s="2" t="str">
        <x:v>P.E. ALABE-LOMBA</x:v>
      </x:c>
      <x:c r="E467" s="4" t="n">
        <x:v>4.975</x:v>
      </x:c>
      <x:c r="F467" s="4" t="n">
        <x:f>J467*0.98</x:f>
        <x:v>4.78142</x:v>
      </x:c>
      <x:c r="G467" s="4" t="n">
        <x:v>22.5</x:v>
      </x:c>
      <x:c r="H467" s="4" t="n">
        <x:v>90.14</x:v>
      </x:c>
      <x:c r="I467" s="5" t="n">
        <x:f t="shared" si="7">F467*1000*H467</x:f>
        <x:v>430997.1988</x:v>
      </x:c>
      <x:c r="J467" t="n">
        <x:v>4.879</x:v>
      </x:c>
    </x:row>
    <x:row r="468">
      <x:c r="A468" s="3" t="n">
        <x:v>2023</x:v>
      </x:c>
      <x:c r="B468" s="2" t="str">
        <x:v>Noviembre</x:v>
      </x:c>
      <x:c r="C468" s="2" t="str">
        <x:v>RE-002517-1</x:v>
      </x:c>
      <x:c r="D468" s="2" t="str">
        <x:v>P.E. ALABE-LOMBA</x:v>
      </x:c>
      <x:c r="E468" s="4" t="n">
        <x:v>5.666</x:v>
      </x:c>
      <x:c r="F468" s="4" t="n">
        <x:f>J468*0.94</x:f>
        <x:v>5.1606</x:v>
      </x:c>
      <x:c r="G468" s="4" t="n">
        <x:v>22.5</x:v>
      </x:c>
      <x:c r="H468" s="4" t="n">
        <x:v>63.45</x:v>
      </x:c>
      <x:c r="I468" s="5" t="n">
        <x:f t="shared" si="7">F468*1000*H468</x:f>
        <x:v>327440.07</x:v>
      </x:c>
      <x:c r="J468" t="n">
        <x:v>5.49</x:v>
      </x:c>
    </x:row>
    <x:row r="469">
      <x:c r="A469" s="3" t="n">
        <x:v>2023</x:v>
      </x:c>
      <x:c r="B469" s="2" t="str">
        <x:v>Diciembre</x:v>
      </x:c>
      <x:c r="C469" s="2" t="str">
        <x:v>RE-002517-1</x:v>
      </x:c>
      <x:c r="D469" s="2" t="str">
        <x:v>P.E. ALABE-LOMBA</x:v>
      </x:c>
      <x:c r="E469" s="4" t="n">
        <x:v>6.344</x:v>
      </x:c>
      <x:c r="F469" s="4" t="n">
        <x:f>J469*1.01</x:f>
        <x:v>6.23473</x:v>
      </x:c>
      <x:c r="G469" s="4" t="n">
        <x:v>22.5</x:v>
      </x:c>
      <x:c r="H469" s="4" t="n">
        <x:v>72.17</x:v>
      </x:c>
      <x:c r="I469" s="5" t="n">
        <x:f t="shared" si="7">F469*1000*H469</x:f>
        <x:v>449960.4641</x:v>
      </x:c>
      <x:c r="J469" t="n">
        <x:v>6.173</x:v>
      </x:c>
    </x:row>
    <x:row r="470">
      <x:c r="A470" s="3" t="n">
        <x:v>2023</x:v>
      </x:c>
      <x:c r="B470" s="2" t="str">
        <x:v>Enero</x:v>
      </x:c>
      <x:c r="C470" s="2" t="str">
        <x:v>RE-002719-1</x:v>
      </x:c>
      <x:c r="D470" s="2" t="str">
        <x:v>P.E. MASGALAN-CAMPO DO COCO</x:v>
      </x:c>
      <x:c r="E470" s="4" t="n">
        <x:v>12.758</x:v>
      </x:c>
      <x:c r="F470" s="4" t="n">
        <x:f>J470*0.97</x:f>
        <x:v>12.13276</x:v>
      </x:c>
      <x:c r="G470" s="4" t="n">
        <x:v>49.5</x:v>
      </x:c>
      <x:c r="H470" s="4" t="n">
        <x:v>69.55</x:v>
      </x:c>
      <x:c r="I470" s="5" t="n">
        <x:f t="shared" si="7">F470*1000*H470</x:f>
        <x:v>843833.458</x:v>
      </x:c>
      <x:c r="J470" t="n">
        <x:v>12.508</x:v>
      </x:c>
    </x:row>
    <x:row r="471">
      <x:c r="A471" s="3" t="n">
        <x:v>2023</x:v>
      </x:c>
      <x:c r="B471" s="2" t="str">
        <x:v>Febrero</x:v>
      </x:c>
      <x:c r="C471" s="2" t="str">
        <x:v>RE-002719-1</x:v>
      </x:c>
      <x:c r="D471" s="2" t="str">
        <x:v>P.E. MASGALAN-CAMPO DO COCO</x:v>
      </x:c>
      <x:c r="E471" s="4" t="n">
        <x:v>10.434</x:v>
      </x:c>
      <x:c r="F471" s="4" t="n">
        <x:f>J471*1.04</x:f>
        <x:v>10.55912</x:v>
      </x:c>
      <x:c r="G471" s="4" t="n">
        <x:v>49.5</x:v>
      </x:c>
      <x:c r="H471" s="4" t="n">
        <x:v>133.47</x:v>
      </x:c>
      <x:c r="I471" s="5" t="n">
        <x:f t="shared" si="7">F471*1000*H471</x:f>
        <x:v>1409325.7464</x:v>
      </x:c>
      <x:c r="J471" t="n">
        <x:v>10.153</x:v>
      </x:c>
    </x:row>
    <x:row r="472">
      <x:c r="A472" s="3" t="n">
        <x:v>2023</x:v>
      </x:c>
      <x:c r="B472" s="2" t="str">
        <x:v>Marzo</x:v>
      </x:c>
      <x:c r="C472" s="2" t="str">
        <x:v>RE-002719-1</x:v>
      </x:c>
      <x:c r="D472" s="2" t="str">
        <x:v>P.E. MASGALAN-CAMPO DO COCO</x:v>
      </x:c>
      <x:c r="E472" s="4" t="n">
        <x:v>9.908</x:v>
      </x:c>
      <x:c r="F472" s="4" t="n">
        <x:f>J472*1</x:f>
        <x:v>9.674</x:v>
      </x:c>
      <x:c r="G472" s="4" t="n">
        <x:v>49.5</x:v>
      </x:c>
      <x:c r="H472" s="4" t="n">
        <x:v>89.61</x:v>
      </x:c>
      <x:c r="I472" s="5" t="n">
        <x:f t="shared" si="7">F472*1000*H472</x:f>
        <x:v>866887.14</x:v>
      </x:c>
      <x:c r="J472" t="n">
        <x:v>9.674</x:v>
      </x:c>
    </x:row>
    <x:row r="473">
      <x:c r="A473" s="3" t="n">
        <x:v>2023</x:v>
      </x:c>
      <x:c r="B473" s="2" t="str">
        <x:v>Abril</x:v>
      </x:c>
      <x:c r="C473" s="2" t="str">
        <x:v>RE-002719-1</x:v>
      </x:c>
      <x:c r="D473" s="2" t="str">
        <x:v>P.E. MASGALAN-CAMPO DO COCO</x:v>
      </x:c>
      <x:c r="E473" s="4" t="n">
        <x:v>9.725</x:v>
      </x:c>
      <x:c r="F473" s="4" t="n">
        <x:f>J473*0.96</x:f>
        <x:v>9.07776</x:v>
      </x:c>
      <x:c r="G473" s="4" t="n">
        <x:v>49.5</x:v>
      </x:c>
      <x:c r="H473" s="4" t="n">
        <x:v>73.73</x:v>
      </x:c>
      <x:c r="I473" s="5" t="n">
        <x:f t="shared" si="7">F473*1000*H473</x:f>
        <x:v>669303.2448000001</x:v>
      </x:c>
      <x:c r="J473" t="n">
        <x:v>9.456</x:v>
      </x:c>
    </x:row>
    <x:row r="474">
      <x:c r="A474" s="3" t="n">
        <x:v>2023</x:v>
      </x:c>
      <x:c r="B474" s="2" t="str">
        <x:v>Mayo</x:v>
      </x:c>
      <x:c r="C474" s="2" t="str">
        <x:v>RE-002719-1</x:v>
      </x:c>
      <x:c r="D474" s="2" t="str">
        <x:v>P.E. MASGALAN-CAMPO DO COCO</x:v>
      </x:c>
      <x:c r="E474" s="4" t="n">
        <x:v>8.311</x:v>
      </x:c>
      <x:c r="F474" s="4" t="n">
        <x:f>J474*1.03</x:f>
        <x:v>8.403770000000002</x:v>
      </x:c>
      <x:c r="G474" s="4" t="n">
        <x:v>49.5</x:v>
      </x:c>
      <x:c r="H474" s="4" t="n">
        <x:v>74.21</x:v>
      </x:c>
      <x:c r="I474" s="5" t="n">
        <x:f t="shared" si="7">F474*1000*H474</x:f>
        <x:v>623643.7717000002</x:v>
      </x:c>
      <x:c r="J474" t="n">
        <x:v>8.159</x:v>
      </x:c>
    </x:row>
    <x:row r="475">
      <x:c r="A475" s="3" t="n">
        <x:v>2023</x:v>
      </x:c>
      <x:c r="B475" s="2" t="str">
        <x:v>Junio</x:v>
      </x:c>
      <x:c r="C475" s="2" t="str">
        <x:v>RE-002719-1</x:v>
      </x:c>
      <x:c r="D475" s="2" t="str">
        <x:v>P.E. MASGALAN-CAMPO DO COCO</x:v>
      </x:c>
      <x:c r="E475" s="4" t="n">
        <x:v>6.102</x:v>
      </x:c>
      <x:c r="F475" s="4" t="n">
        <x:f>J475*0.99</x:f>
        <x:v>5.94396</x:v>
      </x:c>
      <x:c r="G475" s="4" t="n">
        <x:v>49.5</x:v>
      </x:c>
      <x:c r="H475" s="4" t="n">
        <x:v>93.02</x:v>
      </x:c>
      <x:c r="I475" s="5" t="n">
        <x:f t="shared" si="7">F475*1000*H475</x:f>
        <x:v>552907.1592</x:v>
      </x:c>
      <x:c r="J475" t="n">
        <x:v>6.004</x:v>
      </x:c>
    </x:row>
    <x:row r="476">
      <x:c r="A476" s="3" t="n">
        <x:v>2023</x:v>
      </x:c>
      <x:c r="B476" s="2" t="str">
        <x:v>Julio</x:v>
      </x:c>
      <x:c r="C476" s="2" t="str">
        <x:v>RE-002719-1</x:v>
      </x:c>
      <x:c r="D476" s="2" t="str">
        <x:v>P.E. MASGALAN-CAMPO DO COCO</x:v>
      </x:c>
      <x:c r="E476" s="4" t="n">
        <x:v>6.659</x:v>
      </x:c>
      <x:c r="F476" s="4" t="n">
        <x:f>J476*0.95</x:f>
        <x:v>6.13795</x:v>
      </x:c>
      <x:c r="G476" s="4" t="n">
        <x:v>49.5</x:v>
      </x:c>
      <x:c r="H476" s="4" t="n">
        <x:v>90.47</x:v>
      </x:c>
      <x:c r="I476" s="5" t="n">
        <x:f t="shared" si="7">F476*1000*H476</x:f>
        <x:v>555300.3365</x:v>
      </x:c>
      <x:c r="J476" t="n">
        <x:v>6.461</x:v>
      </x:c>
    </x:row>
    <x:row r="477">
      <x:c r="A477" s="3" t="n">
        <x:v>2023</x:v>
      </x:c>
      <x:c r="B477" s="2" t="str">
        <x:v>Agosto</x:v>
      </x:c>
      <x:c r="C477" s="2" t="str">
        <x:v>RE-002719-1</x:v>
      </x:c>
      <x:c r="D477" s="2" t="str">
        <x:v>P.E. MASGALAN-CAMPO DO COCO</x:v>
      </x:c>
      <x:c r="E477" s="4" t="n">
        <x:v>6.227</x:v>
      </x:c>
      <x:c r="F477" s="4" t="n">
        <x:f>J477*1.02</x:f>
        <x:v>6.18426</x:v>
      </x:c>
      <x:c r="G477" s="4" t="n">
        <x:v>49.5</x:v>
      </x:c>
      <x:c r="H477" s="4" t="n">
        <x:v>96.05</x:v>
      </x:c>
      <x:c r="I477" s="5" t="n">
        <x:f t="shared" si="7">F477*1000*H477</x:f>
        <x:v>593998.173</x:v>
      </x:c>
      <x:c r="J477" t="n">
        <x:v>6.063</x:v>
      </x:c>
    </x:row>
    <x:row r="478">
      <x:c r="A478" s="3" t="n">
        <x:v>2023</x:v>
      </x:c>
      <x:c r="B478" s="2" t="str">
        <x:v>Septiembre</x:v>
      </x:c>
      <x:c r="C478" s="2" t="str">
        <x:v>RE-002719-1</x:v>
      </x:c>
      <x:c r="D478" s="2" t="str">
        <x:v>P.E. MASGALAN-CAMPO DO COCO</x:v>
      </x:c>
      <x:c r="E478" s="4" t="n">
        <x:v>8.32</x:v>
      </x:c>
      <x:c r="F478" s="4" t="n">
        <x:f>J478*0.98</x:f>
        <x:v>7.9546600000000005</x:v>
      </x:c>
      <x:c r="G478" s="4" t="n">
        <x:v>49.5</x:v>
      </x:c>
      <x:c r="H478" s="4" t="n">
        <x:v>103.34</x:v>
      </x:c>
      <x:c r="I478" s="5" t="n">
        <x:f t="shared" si="7">F478*1000*H478</x:f>
        <x:v>822034.5644000001</x:v>
      </x:c>
      <x:c r="J478" t="n">
        <x:v>8.117</x:v>
      </x:c>
    </x:row>
    <x:row r="479">
      <x:c r="A479" s="3" t="n">
        <x:v>2023</x:v>
      </x:c>
      <x:c r="B479" s="2" t="str">
        <x:v>Octubre</x:v>
      </x:c>
      <x:c r="C479" s="2" t="str">
        <x:v>RE-002719-1</x:v>
      </x:c>
      <x:c r="D479" s="2" t="str">
        <x:v>P.E. MASGALAN-CAMPO DO COCO</x:v>
      </x:c>
      <x:c r="E479" s="4" t="n">
        <x:v>10.644</x:v>
      </x:c>
      <x:c r="F479" s="4" t="n">
        <x:f>J479*0.94</x:f>
        <x:v>9.69328</x:v>
      </x:c>
      <x:c r="G479" s="4" t="n">
        <x:v>49.5</x:v>
      </x:c>
      <x:c r="H479" s="4" t="n">
        <x:v>90.14</x:v>
      </x:c>
      <x:c r="I479" s="5" t="n">
        <x:f t="shared" si="7">F479*1000*H479</x:f>
        <x:v>873752.2591999999</x:v>
      </x:c>
      <x:c r="J479" t="n">
        <x:v>10.312</x:v>
      </x:c>
    </x:row>
    <x:row r="480">
      <x:c r="A480" s="3" t="n">
        <x:v>2023</x:v>
      </x:c>
      <x:c r="B480" s="2" t="str">
        <x:v>Noviembre</x:v>
      </x:c>
      <x:c r="C480" s="2" t="str">
        <x:v>RE-002719-1</x:v>
      </x:c>
      <x:c r="D480" s="2" t="str">
        <x:v>P.E. MASGALAN-CAMPO DO COCO</x:v>
      </x:c>
      <x:c r="E480" s="4" t="n">
        <x:v>12.599</x:v>
      </x:c>
      <x:c r="F480" s="4" t="n">
        <x:f>J480*1.01</x:f>
        <x:v>12.46643</x:v>
      </x:c>
      <x:c r="G480" s="4" t="n">
        <x:v>49.5</x:v>
      </x:c>
      <x:c r="H480" s="4" t="n">
        <x:v>63.45</x:v>
      </x:c>
      <x:c r="I480" s="5" t="n">
        <x:f t="shared" si="7">F480*1000*H480</x:f>
        <x:v>790994.9835000001</x:v>
      </x:c>
      <x:c r="J480" t="n">
        <x:v>12.343</x:v>
      </x:c>
    </x:row>
    <x:row r="481">
      <x:c r="A481" s="3" t="n">
        <x:v>2023</x:v>
      </x:c>
      <x:c r="B481" s="2" t="str">
        <x:v>Diciembre</x:v>
      </x:c>
      <x:c r="C481" s="2" t="str">
        <x:v>RE-002719-1</x:v>
      </x:c>
      <x:c r="D481" s="2" t="str">
        <x:v>P.E. MASGALAN-CAMPO DO COCO</x:v>
      </x:c>
      <x:c r="E481" s="4" t="n">
        <x:v>11.862</x:v>
      </x:c>
      <x:c r="F481" s="4" t="n">
        <x:f>J481*0.97</x:f>
        <x:v>11.14627</x:v>
      </x:c>
      <x:c r="G481" s="4" t="n">
        <x:v>49.5</x:v>
      </x:c>
      <x:c r="H481" s="4" t="n">
        <x:v>72.17</x:v>
      </x:c>
      <x:c r="I481" s="5" t="n">
        <x:f t="shared" si="7">F481*1000*H481</x:f>
        <x:v>804426.3058999999</x:v>
      </x:c>
      <x:c r="J481" t="n">
        <x:v>11.491</x:v>
      </x:c>
    </x:row>
    <x:row r="482">
      <x:c r="A482" s="3" t="n">
        <x:v>2023</x:v>
      </x:c>
      <x:c r="B482" s="2" t="str">
        <x:v>Enero</x:v>
      </x:c>
      <x:c r="C482" s="2" t="str">
        <x:v>RE-002887-1</x:v>
      </x:c>
      <x:c r="D482" s="2" t="str">
        <x:v>P.E. SERRA DA PANDA (ampliado el 21-10-02)</x:v>
      </x:c>
      <x:c r="E482" s="4" t="n">
        <x:v>5.158</x:v>
      </x:c>
      <x:c r="F482" s="4" t="n">
        <x:f>J482*1.04</x:f>
        <x:v>5.23432</x:v>
      </x:c>
      <x:c r="G482" s="4" t="n">
        <x:v>18.48</x:v>
      </x:c>
      <x:c r="H482" s="4" t="n">
        <x:v>69.55</x:v>
      </x:c>
      <x:c r="I482" s="5" t="n">
        <x:f t="shared" si="7">F482*1000*H482</x:f>
        <x:v>364046.956</x:v>
      </x:c>
      <x:c r="J482" t="n">
        <x:v>5.033</x:v>
      </x:c>
    </x:row>
    <x:row r="483">
      <x:c r="A483" s="3" t="n">
        <x:v>2023</x:v>
      </x:c>
      <x:c r="B483" s="2" t="str">
        <x:v>Febrero</x:v>
      </x:c>
      <x:c r="C483" s="2" t="str">
        <x:v>RE-002887-1</x:v>
      </x:c>
      <x:c r="D483" s="2" t="str">
        <x:v>P.E. SERRA DA PANDA (ampliado el 21-10-02)</x:v>
      </x:c>
      <x:c r="E483" s="4" t="n">
        <x:v>4.78</x:v>
      </x:c>
      <x:c r="F483" s="4" t="n">
        <x:f>J483*1</x:f>
        <x:v>4.704</x:v>
      </x:c>
      <x:c r="G483" s="4" t="n">
        <x:v>18.48</x:v>
      </x:c>
      <x:c r="H483" s="4" t="n">
        <x:v>133.47</x:v>
      </x:c>
      <x:c r="I483" s="5" t="n">
        <x:f t="shared" si="7">F483*1000*H483</x:f>
        <x:v>627842.88</x:v>
      </x:c>
      <x:c r="J483" t="n">
        <x:v>4.704</x:v>
      </x:c>
    </x:row>
    <x:row r="484">
      <x:c r="A484" s="3" t="n">
        <x:v>2023</x:v>
      </x:c>
      <x:c r="B484" s="2" t="str">
        <x:v>Marzo</x:v>
      </x:c>
      <x:c r="C484" s="2" t="str">
        <x:v>RE-002887-1</x:v>
      </x:c>
      <x:c r="D484" s="2" t="str">
        <x:v>P.E. SERRA DA PANDA (ampliado el 21-10-02)</x:v>
      </x:c>
      <x:c r="E484" s="4" t="n">
        <x:v>4.411</x:v>
      </x:c>
      <x:c r="F484" s="4" t="n">
        <x:f>J484*0.96</x:f>
        <x:v>4.14528</x:v>
      </x:c>
      <x:c r="G484" s="4" t="n">
        <x:v>18.48</x:v>
      </x:c>
      <x:c r="H484" s="4" t="n">
        <x:v>89.61</x:v>
      </x:c>
      <x:c r="I484" s="5" t="n">
        <x:f t="shared" si="7">F484*1000*H484</x:f>
        <x:v>371458.54079999996</x:v>
      </x:c>
      <x:c r="J484" t="n">
        <x:v>4.318</x:v>
      </x:c>
    </x:row>
    <x:row r="485">
      <x:c r="A485" s="3" t="n">
        <x:v>2023</x:v>
      </x:c>
      <x:c r="B485" s="2" t="str">
        <x:v>Abril</x:v>
      </x:c>
      <x:c r="C485" s="2" t="str">
        <x:v>RE-002887-1</x:v>
      </x:c>
      <x:c r="D485" s="2" t="str">
        <x:v>P.E. SERRA DA PANDA (ampliado el 21-10-02)</x:v>
      </x:c>
      <x:c r="E485" s="4" t="n">
        <x:v>3.537</x:v>
      </x:c>
      <x:c r="F485" s="4" t="n">
        <x:f>J485*1.03</x:f>
        <x:v>3.55556</x:v>
      </x:c>
      <x:c r="G485" s="4" t="n">
        <x:v>18.48</x:v>
      </x:c>
      <x:c r="H485" s="4" t="n">
        <x:v>73.73</x:v>
      </x:c>
      <x:c r="I485" s="5" t="n">
        <x:f t="shared" si="7">F485*1000*H485</x:f>
        <x:v>262151.4388</x:v>
      </x:c>
      <x:c r="J485" t="n">
        <x:v>3.452</x:v>
      </x:c>
    </x:row>
    <x:row r="486">
      <x:c r="A486" s="3" t="n">
        <x:v>2023</x:v>
      </x:c>
      <x:c r="B486" s="2" t="str">
        <x:v>Mayo</x:v>
      </x:c>
      <x:c r="C486" s="2" t="str">
        <x:v>RE-002887-1</x:v>
      </x:c>
      <x:c r="D486" s="2" t="str">
        <x:v>P.E. SERRA DA PANDA (ampliado el 21-10-02)</x:v>
      </x:c>
      <x:c r="E486" s="4" t="n">
        <x:v>3.296</x:v>
      </x:c>
      <x:c r="F486" s="4" t="n">
        <x:f>J486*0.99</x:f>
        <x:v>3.16206</x:v>
      </x:c>
      <x:c r="G486" s="4" t="n">
        <x:v>18.48</x:v>
      </x:c>
      <x:c r="H486" s="4" t="n">
        <x:v>74.21</x:v>
      </x:c>
      <x:c r="I486" s="5" t="n">
        <x:f t="shared" si="7">F486*1000*H486</x:f>
        <x:v>234656.47259999998</x:v>
      </x:c>
      <x:c r="J486" t="n">
        <x:v>3.194</x:v>
      </x:c>
    </x:row>
    <x:row r="487">
      <x:c r="A487" s="3" t="n">
        <x:v>2023</x:v>
      </x:c>
      <x:c r="B487" s="2" t="str">
        <x:v>Junio</x:v>
      </x:c>
      <x:c r="C487" s="2" t="str">
        <x:v>RE-002887-1</x:v>
      </x:c>
      <x:c r="D487" s="2" t="str">
        <x:v>P.E. SERRA DA PANDA (ampliado el 21-10-02)</x:v>
      </x:c>
      <x:c r="E487" s="4" t="n">
        <x:v>2.689</x:v>
      </x:c>
      <x:c r="F487" s="4" t="n">
        <x:f>J487*0.95</x:f>
        <x:v>2.4766500000000002</x:v>
      </x:c>
      <x:c r="G487" s="4" t="n">
        <x:v>18.48</x:v>
      </x:c>
      <x:c r="H487" s="4" t="n">
        <x:v>93.02</x:v>
      </x:c>
      <x:c r="I487" s="5" t="n">
        <x:f t="shared" si="7">F487*1000*H487</x:f>
        <x:v>230377.983</x:v>
      </x:c>
      <x:c r="J487" t="n">
        <x:v>2.607</x:v>
      </x:c>
    </x:row>
    <x:row r="488">
      <x:c r="A488" s="3" t="n">
        <x:v>2023</x:v>
      </x:c>
      <x:c r="B488" s="2" t="str">
        <x:v>Julio</x:v>
      </x:c>
      <x:c r="C488" s="2" t="str">
        <x:v>RE-002887-1</x:v>
      </x:c>
      <x:c r="D488" s="2" t="str">
        <x:v>P.E. SERRA DA PANDA (ampliado el 21-10-02)</x:v>
      </x:c>
      <x:c r="E488" s="4" t="n">
        <x:v>2.59</x:v>
      </x:c>
      <x:c r="F488" s="4" t="n">
        <x:f>J488*1.02</x:f>
        <x:v>2.601</x:v>
      </x:c>
      <x:c r="G488" s="4" t="n">
        <x:v>18.48</x:v>
      </x:c>
      <x:c r="H488" s="4" t="n">
        <x:v>90.47</x:v>
      </x:c>
      <x:c r="I488" s="5" t="n">
        <x:f t="shared" si="7">F488*1000*H488</x:f>
        <x:v>235312.47</x:v>
      </x:c>
      <x:c r="J488" t="n">
        <x:v>2.55</x:v>
      </x:c>
    </x:row>
    <x:row r="489">
      <x:c r="A489" s="3" t="n">
        <x:v>2023</x:v>
      </x:c>
      <x:c r="B489" s="2" t="str">
        <x:v>Agosto</x:v>
      </x:c>
      <x:c r="C489" s="2" t="str">
        <x:v>RE-002887-1</x:v>
      </x:c>
      <x:c r="D489" s="2" t="str">
        <x:v>P.E. SERRA DA PANDA (ampliado el 21-10-02)</x:v>
      </x:c>
      <x:c r="E489" s="4" t="n">
        <x:v>2.872</x:v>
      </x:c>
      <x:c r="F489" s="4" t="n">
        <x:f>J489*0.98</x:f>
        <x:v>2.74694</x:v>
      </x:c>
      <x:c r="G489" s="4" t="n">
        <x:v>18.48</x:v>
      </x:c>
      <x:c r="H489" s="4" t="n">
        <x:v>96.05</x:v>
      </x:c>
      <x:c r="I489" s="5" t="n">
        <x:f t="shared" si="7">F489*1000*H489</x:f>
        <x:v>263843.587</x:v>
      </x:c>
      <x:c r="J489" t="n">
        <x:v>2.803</x:v>
      </x:c>
    </x:row>
    <x:row r="490">
      <x:c r="A490" s="3" t="n">
        <x:v>2023</x:v>
      </x:c>
      <x:c r="B490" s="2" t="str">
        <x:v>Septiembre</x:v>
      </x:c>
      <x:c r="C490" s="2" t="str">
        <x:v>RE-002887-1</x:v>
      </x:c>
      <x:c r="D490" s="2" t="str">
        <x:v>P.E. SERRA DA PANDA (ampliado el 21-10-02)</x:v>
      </x:c>
      <x:c r="E490" s="4" t="n">
        <x:v>3.16</x:v>
      </x:c>
      <x:c r="F490" s="4" t="n">
        <x:f>J490*0.94</x:f>
        <x:v>2.9055400000000002</x:v>
      </x:c>
      <x:c r="G490" s="4" t="n">
        <x:v>18.48</x:v>
      </x:c>
      <x:c r="H490" s="4" t="n">
        <x:v>103.34</x:v>
      </x:c>
      <x:c r="I490" s="5" t="n">
        <x:f t="shared" si="7">F490*1000*H490</x:f>
        <x:v>300258.50360000005</x:v>
      </x:c>
      <x:c r="J490" t="n">
        <x:v>3.091</x:v>
      </x:c>
    </x:row>
    <x:row r="491">
      <x:c r="A491" s="3" t="n">
        <x:v>2023</x:v>
      </x:c>
      <x:c r="B491" s="2" t="str">
        <x:v>Octubre</x:v>
      </x:c>
      <x:c r="C491" s="2" t="str">
        <x:v>RE-002887-1</x:v>
      </x:c>
      <x:c r="D491" s="2" t="str">
        <x:v>P.E. SERRA DA PANDA (ampliado el 21-10-02)</x:v>
      </x:c>
      <x:c r="E491" s="4" t="n">
        <x:v>4.434</x:v>
      </x:c>
      <x:c r="F491" s="4" t="n">
        <x:f>J491*1.01</x:f>
        <x:v>4.36219</x:v>
      </x:c>
      <x:c r="G491" s="4" t="n">
        <x:v>18.48</x:v>
      </x:c>
      <x:c r="H491" s="4" t="n">
        <x:v>90.14</x:v>
      </x:c>
      <x:c r="I491" s="5" t="n">
        <x:f t="shared" si="7">F491*1000*H491</x:f>
        <x:v>393207.80659999995</x:v>
      </x:c>
      <x:c r="J491" t="n">
        <x:v>4.319</x:v>
      </x:c>
    </x:row>
    <x:row r="492">
      <x:c r="A492" s="3" t="n">
        <x:v>2023</x:v>
      </x:c>
      <x:c r="B492" s="2" t="str">
        <x:v>Noviembre</x:v>
      </x:c>
      <x:c r="C492" s="2" t="str">
        <x:v>RE-002887-1</x:v>
      </x:c>
      <x:c r="D492" s="2" t="str">
        <x:v>P.E. SERRA DA PANDA (ampliado el 21-10-02)</x:v>
      </x:c>
      <x:c r="E492" s="4" t="n">
        <x:v>4.563</x:v>
      </x:c>
      <x:c r="F492" s="4" t="n">
        <x:f>J492*0.97</x:f>
        <x:v>4.3553</x:v>
      </x:c>
      <x:c r="G492" s="4" t="n">
        <x:v>18.48</x:v>
      </x:c>
      <x:c r="H492" s="4" t="n">
        <x:v>63.45</x:v>
      </x:c>
      <x:c r="I492" s="5" t="n">
        <x:f t="shared" si="7">F492*1000*H492</x:f>
        <x:v>276343.785</x:v>
      </x:c>
      <x:c r="J492" t="n">
        <x:v>4.49</x:v>
      </x:c>
    </x:row>
    <x:row r="493">
      <x:c r="A493" s="3" t="n">
        <x:v>2023</x:v>
      </x:c>
      <x:c r="B493" s="2" t="str">
        <x:v>Diciembre</x:v>
      </x:c>
      <x:c r="C493" s="2" t="str">
        <x:v>RE-002887-1</x:v>
      </x:c>
      <x:c r="D493" s="2" t="str">
        <x:v>P.E. SERRA DA PANDA (ampliado el 21-10-02)</x:v>
      </x:c>
      <x:c r="E493" s="4" t="n">
        <x:v>5.088</x:v>
      </x:c>
      <x:c r="F493" s="4" t="n">
        <x:f>J493*1.04</x:f>
        <x:v>5.14072</x:v>
      </x:c>
      <x:c r="G493" s="4" t="n">
        <x:v>18.48</x:v>
      </x:c>
      <x:c r="H493" s="4" t="n">
        <x:v>72.17</x:v>
      </x:c>
      <x:c r="I493" s="5" t="n">
        <x:f t="shared" si="7">F493*1000*H493</x:f>
        <x:v>371005.7624</x:v>
      </x:c>
      <x:c r="J493" t="n">
        <x:v>4.943</x:v>
      </x:c>
    </x:row>
    <x:row r="494">
      <x:c r="A494" s="3" t="n">
        <x:v>2023</x:v>
      </x:c>
      <x:c r="B494" s="2" t="str">
        <x:v>Enero</x:v>
      </x:c>
      <x:c r="C494" s="2" t="str">
        <x:v>RE-002888-1</x:v>
      </x:c>
      <x:c r="D494" s="2" t="str">
        <x:v>P.E. ALABE-REFACHON (ampliación 5250 Kw, 25/8/3)</x:v>
      </x:c>
      <x:c r="E494" s="4" t="n">
        <x:v>5.481</x:v>
      </x:c>
      <x:c r="F494" s="4" t="n">
        <x:f>J494*1</x:f>
        <x:v>5.345</x:v>
      </x:c>
      <x:c r="G494" s="4" t="n">
        <x:v>21</x:v>
      </x:c>
      <x:c r="H494" s="4" t="n">
        <x:v>69.55</x:v>
      </x:c>
      <x:c r="I494" s="5" t="n">
        <x:f t="shared" si="7">F494*1000*H494</x:f>
        <x:v>371744.75</x:v>
      </x:c>
      <x:c r="J494" t="n">
        <x:v>5.345</x:v>
      </x:c>
    </x:row>
    <x:row r="495">
      <x:c r="A495" s="3" t="n">
        <x:v>2023</x:v>
      </x:c>
      <x:c r="B495" s="2" t="str">
        <x:v>Febrero</x:v>
      </x:c>
      <x:c r="C495" s="2" t="str">
        <x:v>RE-002888-1</x:v>
      </x:c>
      <x:c r="D495" s="2" t="str">
        <x:v>P.E. ALABE-REFACHON (ampliación 5250 Kw, 25/8/3)</x:v>
      </x:c>
      <x:c r="E495" s="4" t="n">
        <x:v>4.315</x:v>
      </x:c>
      <x:c r="F495" s="4" t="n">
        <x:f>J495*0.96</x:f>
        <x:v>4.04256</x:v>
      </x:c>
      <x:c r="G495" s="4" t="n">
        <x:v>21</x:v>
      </x:c>
      <x:c r="H495" s="4" t="n">
        <x:v>133.47</x:v>
      </x:c>
      <x:c r="I495" s="5" t="n">
        <x:f t="shared" si="7">F495*1000*H495</x:f>
        <x:v>539560.4832</x:v>
      </x:c>
      <x:c r="J495" t="n">
        <x:v>4.211</x:v>
      </x:c>
    </x:row>
    <x:row r="496">
      <x:c r="A496" s="3" t="n">
        <x:v>2023</x:v>
      </x:c>
      <x:c r="B496" s="2" t="str">
        <x:v>Marzo</x:v>
      </x:c>
      <x:c r="C496" s="2" t="str">
        <x:v>RE-002888-1</x:v>
      </x:c>
      <x:c r="D496" s="2" t="str">
        <x:v>P.E. ALABE-REFACHON (ampliación 5250 Kw, 25/8/3)</x:v>
      </x:c>
      <x:c r="E496" s="4" t="n">
        <x:v>4.57</x:v>
      </x:c>
      <x:c r="F496" s="4" t="n">
        <x:f>J496*1.03</x:f>
        <x:v>4.61543</x:v>
      </x:c>
      <x:c r="G496" s="4" t="n">
        <x:v>21</x:v>
      </x:c>
      <x:c r="H496" s="4" t="n">
        <x:v>89.61</x:v>
      </x:c>
      <x:c r="I496" s="5" t="n">
        <x:f t="shared" si="7">F496*1000*H496</x:f>
        <x:v>413588.68230000004</x:v>
      </x:c>
      <x:c r="J496" t="n">
        <x:v>4.481</x:v>
      </x:c>
    </x:row>
    <x:row r="497">
      <x:c r="A497" s="3" t="n">
        <x:v>2023</x:v>
      </x:c>
      <x:c r="B497" s="2" t="str">
        <x:v>Abril</x:v>
      </x:c>
      <x:c r="C497" s="2" t="str">
        <x:v>RE-002888-1</x:v>
      </x:c>
      <x:c r="D497" s="2" t="str">
        <x:v>P.E. ALABE-REFACHON (ampliación 5250 Kw, 25/8/3)</x:v>
      </x:c>
      <x:c r="E497" s="4" t="n">
        <x:v>4.267</x:v>
      </x:c>
      <x:c r="F497" s="4" t="n">
        <x:f>J497*0.99</x:f>
        <x:v>4.1184</x:v>
      </x:c>
      <x:c r="G497" s="4" t="n">
        <x:v>21</x:v>
      </x:c>
      <x:c r="H497" s="4" t="n">
        <x:v>73.73</x:v>
      </x:c>
      <x:c r="I497" s="5" t="n">
        <x:f t="shared" si="7">F497*1000*H497</x:f>
        <x:v>303649.63200000004</x:v>
      </x:c>
      <x:c r="J497" t="n">
        <x:v>4.16</x:v>
      </x:c>
    </x:row>
    <x:row r="498">
      <x:c r="A498" s="3" t="n">
        <x:v>2023</x:v>
      </x:c>
      <x:c r="B498" s="2" t="str">
        <x:v>Mayo</x:v>
      </x:c>
      <x:c r="C498" s="2" t="str">
        <x:v>RE-002888-1</x:v>
      </x:c>
      <x:c r="D498" s="2" t="str">
        <x:v>P.E. ALABE-REFACHON (ampliación 5250 Kw, 25/8/3)</x:v>
      </x:c>
      <x:c r="E498" s="4" t="n">
        <x:v>3.392</x:v>
      </x:c>
      <x:c r="F498" s="4" t="n">
        <x:f>J498*0.95</x:f>
        <x:v>3.13785</x:v>
      </x:c>
      <x:c r="G498" s="4" t="n">
        <x:v>21</x:v>
      </x:c>
      <x:c r="H498" s="4" t="n">
        <x:v>74.21</x:v>
      </x:c>
      <x:c r="I498" s="5" t="n">
        <x:f t="shared" si="7">F498*1000*H498</x:f>
        <x:v>232859.84849999996</x:v>
      </x:c>
      <x:c r="J498" t="n">
        <x:v>3.303</x:v>
      </x:c>
    </x:row>
    <x:row r="499">
      <x:c r="A499" s="3" t="n">
        <x:v>2023</x:v>
      </x:c>
      <x:c r="B499" s="2" t="str">
        <x:v>Junio</x:v>
      </x:c>
      <x:c r="C499" s="2" t="str">
        <x:v>RE-002888-1</x:v>
      </x:c>
      <x:c r="D499" s="2" t="str">
        <x:v>P.E. ALABE-REFACHON (ampliación 5250 Kw, 25/8/3)</x:v>
      </x:c>
      <x:c r="E499" s="4" t="n">
        <x:v>2.968</x:v>
      </x:c>
      <x:c r="F499" s="4" t="n">
        <x:f>J499*1.02</x:f>
        <x:v>2.97432</x:v>
      </x:c>
      <x:c r="G499" s="4" t="n">
        <x:v>21</x:v>
      </x:c>
      <x:c r="H499" s="4" t="n">
        <x:v>93.02</x:v>
      </x:c>
      <x:c r="I499" s="5" t="n">
        <x:f t="shared" si="7">F499*1000*H499</x:f>
        <x:v>276671.2464</x:v>
      </x:c>
      <x:c r="J499" t="n">
        <x:v>2.916</x:v>
      </x:c>
    </x:row>
    <x:row r="500">
      <x:c r="A500" s="3" t="n">
        <x:v>2023</x:v>
      </x:c>
      <x:c r="B500" s="2" t="str">
        <x:v>Julio</x:v>
      </x:c>
      <x:c r="C500" s="2" t="str">
        <x:v>RE-002888-1</x:v>
      </x:c>
      <x:c r="D500" s="2" t="str">
        <x:v>P.E. ALABE-REFACHON (ampliación 5250 Kw, 25/8/3)</x:v>
      </x:c>
      <x:c r="E500" s="4" t="n">
        <x:v>3.27</x:v>
      </x:c>
      <x:c r="F500" s="4" t="n">
        <x:f>J500*0.98</x:f>
        <x:v>3.13698</x:v>
      </x:c>
      <x:c r="G500" s="4" t="n">
        <x:v>21</x:v>
      </x:c>
      <x:c r="H500" s="4" t="n">
        <x:v>90.47</x:v>
      </x:c>
      <x:c r="I500" s="5" t="n">
        <x:f t="shared" si="7">F500*1000*H500</x:f>
        <x:v>283802.5806</x:v>
      </x:c>
      <x:c r="J500" t="n">
        <x:v>3.201</x:v>
      </x:c>
    </x:row>
    <x:row r="501">
      <x:c r="A501" s="3" t="n">
        <x:v>2023</x:v>
      </x:c>
      <x:c r="B501" s="2" t="str">
        <x:v>Agosto</x:v>
      </x:c>
      <x:c r="C501" s="2" t="str">
        <x:v>RE-002888-1</x:v>
      </x:c>
      <x:c r="D501" s="2" t="str">
        <x:v>P.E. ALABE-REFACHON (ampliación 5250 Kw, 25/8/3)</x:v>
      </x:c>
      <x:c r="E501" s="4" t="n">
        <x:v>2.943</x:v>
      </x:c>
      <x:c r="F501" s="4" t="n">
        <x:f>J501*0.94</x:f>
        <x:v>2.7043799999999996</x:v>
      </x:c>
      <x:c r="G501" s="4" t="n">
        <x:v>21</x:v>
      </x:c>
      <x:c r="H501" s="4" t="n">
        <x:v>96.05</x:v>
      </x:c>
      <x:c r="I501" s="5" t="n">
        <x:f t="shared" si="7">F501*1000*H501</x:f>
        <x:v>259755.69899999996</x:v>
      </x:c>
      <x:c r="J501" t="n">
        <x:v>2.877</x:v>
      </x:c>
    </x:row>
    <x:row r="502">
      <x:c r="A502" s="3" t="n">
        <x:v>2023</x:v>
      </x:c>
      <x:c r="B502" s="2" t="str">
        <x:v>Septiembre</x:v>
      </x:c>
      <x:c r="C502" s="2" t="str">
        <x:v>RE-002888-1</x:v>
      </x:c>
      <x:c r="D502" s="2" t="str">
        <x:v>P.E. ALABE-REFACHON (ampliación 5250 Kw, 25/8/3)</x:v>
      </x:c>
      <x:c r="E502" s="4" t="n">
        <x:v>3.805</x:v>
      </x:c>
      <x:c r="F502" s="4" t="n">
        <x:f>J502*1.01</x:f>
        <x:v>3.74609</x:v>
      </x:c>
      <x:c r="G502" s="4" t="n">
        <x:v>21</x:v>
      </x:c>
      <x:c r="H502" s="4" t="n">
        <x:v>103.34</x:v>
      </x:c>
      <x:c r="I502" s="5" t="n">
        <x:f t="shared" si="7">F502*1000*H502</x:f>
        <x:v>387120.94060000003</x:v>
      </x:c>
      <x:c r="J502" t="n">
        <x:v>3.709</x:v>
      </x:c>
    </x:row>
    <x:row r="503">
      <x:c r="A503" s="3" t="n">
        <x:v>2023</x:v>
      </x:c>
      <x:c r="B503" s="2" t="str">
        <x:v>Octubre</x:v>
      </x:c>
      <x:c r="C503" s="2" t="str">
        <x:v>RE-002888-1</x:v>
      </x:c>
      <x:c r="D503" s="2" t="str">
        <x:v>P.E. ALABE-REFACHON (ampliación 5250 Kw, 25/8/3)</x:v>
      </x:c>
      <x:c r="E503" s="4" t="n">
        <x:v>4.86</x:v>
      </x:c>
      <x:c r="F503" s="4" t="n">
        <x:f>J503*0.97</x:f>
        <x:v>4.62205</x:v>
      </x:c>
      <x:c r="G503" s="4" t="n">
        <x:v>21</x:v>
      </x:c>
      <x:c r="H503" s="4" t="n">
        <x:v>90.14</x:v>
      </x:c>
      <x:c r="I503" s="5" t="n">
        <x:f t="shared" si="7">F503*1000*H503</x:f>
        <x:v>416631.587</x:v>
      </x:c>
      <x:c r="J503" t="n">
        <x:v>4.765</x:v>
      </x:c>
    </x:row>
    <x:row r="504">
      <x:c r="A504" s="3" t="n">
        <x:v>2023</x:v>
      </x:c>
      <x:c r="B504" s="2" t="str">
        <x:v>Noviembre</x:v>
      </x:c>
      <x:c r="C504" s="2" t="str">
        <x:v>RE-002888-1</x:v>
      </x:c>
      <x:c r="D504" s="2" t="str">
        <x:v>P.E. ALABE-REFACHON (ampliación 5250 Kw, 25/8/3)</x:v>
      </x:c>
      <x:c r="E504" s="4" t="n">
        <x:v>5.023</x:v>
      </x:c>
      <x:c r="F504" s="4" t="n">
        <x:f>J504*1.04</x:f>
        <x:v>5.07312</x:v>
      </x:c>
      <x:c r="G504" s="4" t="n">
        <x:v>21</x:v>
      </x:c>
      <x:c r="H504" s="4" t="n">
        <x:v>63.45</x:v>
      </x:c>
      <x:c r="I504" s="5" t="n">
        <x:f t="shared" si="7">F504*1000*H504</x:f>
        <x:v>321889.46400000004</x:v>
      </x:c>
      <x:c r="J504" t="n">
        <x:v>4.878</x:v>
      </x:c>
    </x:row>
    <x:row r="505">
      <x:c r="A505" s="3" t="n">
        <x:v>2023</x:v>
      </x:c>
      <x:c r="B505" s="2" t="str">
        <x:v>Diciembre</x:v>
      </x:c>
      <x:c r="C505" s="2" t="str">
        <x:v>RE-002888-1</x:v>
      </x:c>
      <x:c r="D505" s="2" t="str">
        <x:v>P.E. ALABE-REFACHON (ampliación 5250 Kw, 25/8/3)</x:v>
      </x:c>
      <x:c r="E505" s="4" t="n">
        <x:v>5.314</x:v>
      </x:c>
      <x:c r="F505" s="4" t="n">
        <x:f>J505*1</x:f>
        <x:v>5.167</x:v>
      </x:c>
      <x:c r="G505" s="4" t="n">
        <x:v>21</x:v>
      </x:c>
      <x:c r="H505" s="4" t="n">
        <x:v>72.17</x:v>
      </x:c>
      <x:c r="I505" s="5" t="n">
        <x:f t="shared" si="7">F505*1000*H505</x:f>
        <x:v>372902.39</x:v>
      </x:c>
      <x:c r="J505" t="n">
        <x:v>5.167</x:v>
      </x:c>
    </x:row>
    <x:row r="506">
      <x:c r="A506" s="3" t="n">
        <x:v>2023</x:v>
      </x:c>
      <x:c r="B506" s="2" t="str">
        <x:v>Enero</x:v>
      </x:c>
      <x:c r="C506" s="2" t="str">
        <x:v>RE-002890-1</x:v>
      </x:c>
      <x:c r="D506" s="2" t="str">
        <x:v>P.E. AMEIXEIRAS-TESTEIROS</x:v>
      </x:c>
      <x:c r="E506" s="4" t="n">
        <x:v>16.068</x:v>
      </x:c>
      <x:c r="F506" s="4" t="n">
        <x:f>J506*0.96</x:f>
        <x:v>15.147839999999999</x:v>
      </x:c>
      <x:c r="G506" s="4" t="n">
        <x:v>49.5</x:v>
      </x:c>
      <x:c r="H506" s="4" t="n">
        <x:v>69.55</x:v>
      </x:c>
      <x:c r="I506" s="5" t="n">
        <x:f t="shared" si="7">F506*1000*H506</x:f>
        <x:v>1053532.2719999999</x:v>
      </x:c>
      <x:c r="J506" t="n">
        <x:v>15.779</x:v>
      </x:c>
    </x:row>
    <x:row r="507">
      <x:c r="A507" s="3" t="n">
        <x:v>2023</x:v>
      </x:c>
      <x:c r="B507" s="2" t="str">
        <x:v>Febrero</x:v>
      </x:c>
      <x:c r="C507" s="2" t="str">
        <x:v>RE-002890-1</x:v>
      </x:c>
      <x:c r="D507" s="2" t="str">
        <x:v>P.E. AMEIXEIRAS-TESTEIROS</x:v>
      </x:c>
      <x:c r="E507" s="4" t="n">
        <x:v>10.526</x:v>
      </x:c>
      <x:c r="F507" s="4" t="n">
        <x:f>J507*1.03</x:f>
        <x:v>10.62651</x:v>
      </x:c>
      <x:c r="G507" s="4" t="n">
        <x:v>49.5</x:v>
      </x:c>
      <x:c r="H507" s="4" t="n">
        <x:v>133.47</x:v>
      </x:c>
      <x:c r="I507" s="5" t="n">
        <x:f t="shared" si="7">F507*1000*H507</x:f>
        <x:v>1418320.2897</x:v>
      </x:c>
      <x:c r="J507" t="n">
        <x:v>10.317</x:v>
      </x:c>
    </x:row>
    <x:row r="508">
      <x:c r="A508" s="3" t="n">
        <x:v>2023</x:v>
      </x:c>
      <x:c r="B508" s="2" t="str">
        <x:v>Marzo</x:v>
      </x:c>
      <x:c r="C508" s="2" t="str">
        <x:v>RE-002890-1</x:v>
      </x:c>
      <x:c r="D508" s="2" t="str">
        <x:v>P.E. AMEIXEIRAS-TESTEIROS</x:v>
      </x:c>
      <x:c r="E508" s="4" t="n">
        <x:v>12.37</x:v>
      </x:c>
      <x:c r="F508" s="4" t="n">
        <x:f>J508*0.99</x:f>
        <x:v>12.00375</x:v>
      </x:c>
      <x:c r="G508" s="4" t="n">
        <x:v>49.5</x:v>
      </x:c>
      <x:c r="H508" s="4" t="n">
        <x:v>89.61</x:v>
      </x:c>
      <x:c r="I508" s="5" t="n">
        <x:f t="shared" si="7">F508*1000*H508</x:f>
        <x:v>1075656.0375</x:v>
      </x:c>
      <x:c r="J508" t="n">
        <x:v>12.125</x:v>
      </x:c>
    </x:row>
    <x:row r="509">
      <x:c r="A509" s="3" t="n">
        <x:v>2023</x:v>
      </x:c>
      <x:c r="B509" s="2" t="str">
        <x:v>Abril</x:v>
      </x:c>
      <x:c r="C509" s="2" t="str">
        <x:v>RE-002890-1</x:v>
      </x:c>
      <x:c r="D509" s="2" t="str">
        <x:v>P.E. AMEIXEIRAS-TESTEIROS</x:v>
      </x:c>
      <x:c r="E509" s="4" t="n">
        <x:v>9.417</x:v>
      </x:c>
      <x:c r="F509" s="4" t="n">
        <x:f>J509*0.95</x:f>
        <x:v>8.67255</x:v>
      </x:c>
      <x:c r="G509" s="4" t="n">
        <x:v>49.5</x:v>
      </x:c>
      <x:c r="H509" s="4" t="n">
        <x:v>73.73</x:v>
      </x:c>
      <x:c r="I509" s="5" t="n">
        <x:f t="shared" si="7">F509*1000*H509</x:f>
        <x:v>639427.1115</x:v>
      </x:c>
      <x:c r="J509" t="n">
        <x:v>9.129</x:v>
      </x:c>
    </x:row>
    <x:row r="510">
      <x:c r="A510" s="3" t="n">
        <x:v>2023</x:v>
      </x:c>
      <x:c r="B510" s="2" t="str">
        <x:v>Mayo</x:v>
      </x:c>
      <x:c r="C510" s="2" t="str">
        <x:v>RE-002890-1</x:v>
      </x:c>
      <x:c r="D510" s="2" t="str">
        <x:v>P.E. AMEIXEIRAS-TESTEIROS</x:v>
      </x:c>
      <x:c r="E510" s="4" t="n">
        <x:v>9.924</x:v>
      </x:c>
      <x:c r="F510" s="4" t="n">
        <x:f>J510*1.02</x:f>
        <x:v>9.970500000000001</x:v>
      </x:c>
      <x:c r="G510" s="4" t="n">
        <x:v>49.5</x:v>
      </x:c>
      <x:c r="H510" s="4" t="n">
        <x:v>74.21</x:v>
      </x:c>
      <x:c r="I510" s="5" t="n">
        <x:f t="shared" si="7">F510*1000*H510</x:f>
        <x:v>739910.805</x:v>
      </x:c>
      <x:c r="J510" t="n">
        <x:v>9.775</x:v>
      </x:c>
    </x:row>
    <x:row r="511">
      <x:c r="A511" s="3" t="n">
        <x:v>2023</x:v>
      </x:c>
      <x:c r="B511" s="2" t="str">
        <x:v>Junio</x:v>
      </x:c>
      <x:c r="C511" s="2" t="str">
        <x:v>RE-002890-1</x:v>
      </x:c>
      <x:c r="D511" s="2" t="str">
        <x:v>P.E. AMEIXEIRAS-TESTEIROS</x:v>
      </x:c>
      <x:c r="E511" s="4" t="n">
        <x:v>8.182</x:v>
      </x:c>
      <x:c r="F511" s="4" t="n">
        <x:f>J511*0.98</x:f>
        <x:v>7.8057</x:v>
      </x:c>
      <x:c r="G511" s="4" t="n">
        <x:v>49.5</x:v>
      </x:c>
      <x:c r="H511" s="4" t="n">
        <x:v>93.02</x:v>
      </x:c>
      <x:c r="I511" s="5" t="n">
        <x:f t="shared" si="7">F511*1000*H511</x:f>
        <x:v>726086.2139999999</x:v>
      </x:c>
      <x:c r="J511" t="n">
        <x:v>7.965</x:v>
      </x:c>
    </x:row>
    <x:row r="512">
      <x:c r="A512" s="3" t="n">
        <x:v>2023</x:v>
      </x:c>
      <x:c r="B512" s="2" t="str">
        <x:v>Julio</x:v>
      </x:c>
      <x:c r="C512" s="2" t="str">
        <x:v>RE-002890-1</x:v>
      </x:c>
      <x:c r="D512" s="2" t="str">
        <x:v>P.E. AMEIXEIRAS-TESTEIROS</x:v>
      </x:c>
      <x:c r="E512" s="4" t="n">
        <x:v>7.571</x:v>
      </x:c>
      <x:c r="F512" s="4" t="n">
        <x:f>J512*0.94</x:f>
        <x:v>6.99548</x:v>
      </x:c>
      <x:c r="G512" s="4" t="n">
        <x:v>49.5</x:v>
      </x:c>
      <x:c r="H512" s="4" t="n">
        <x:v>90.47</x:v>
      </x:c>
      <x:c r="I512" s="5" t="n">
        <x:f t="shared" si="7">F512*1000*H512</x:f>
        <x:v>632881.0756</x:v>
      </x:c>
      <x:c r="J512" t="n">
        <x:v>7.442</x:v>
      </x:c>
    </x:row>
    <x:row r="513">
      <x:c r="A513" s="3" t="n">
        <x:v>2023</x:v>
      </x:c>
      <x:c r="B513" s="2" t="str">
        <x:v>Agosto</x:v>
      </x:c>
      <x:c r="C513" s="2" t="str">
        <x:v>RE-002890-1</x:v>
      </x:c>
      <x:c r="D513" s="2" t="str">
        <x:v>P.E. AMEIXEIRAS-TESTEIROS</x:v>
      </x:c>
      <x:c r="E513" s="4" t="n">
        <x:v>7.578</x:v>
      </x:c>
      <x:c r="F513" s="4" t="n">
        <x:f>J513*1.01</x:f>
        <x:v>7.44976</x:v>
      </x:c>
      <x:c r="G513" s="4" t="n">
        <x:v>49.5</x:v>
      </x:c>
      <x:c r="H513" s="4" t="n">
        <x:v>96.05</x:v>
      </x:c>
      <x:c r="I513" s="5" t="n">
        <x:f t="shared" si="7">F513*1000*H513</x:f>
        <x:v>715549.448</x:v>
      </x:c>
      <x:c r="J513" t="n">
        <x:v>7.376</x:v>
      </x:c>
    </x:row>
    <x:row r="514">
      <x:c r="A514" s="3" t="n">
        <x:v>2023</x:v>
      </x:c>
      <x:c r="B514" s="2" t="str">
        <x:v>Septiembre</x:v>
      </x:c>
      <x:c r="C514" s="2" t="str">
        <x:v>RE-002890-1</x:v>
      </x:c>
      <x:c r="D514" s="2" t="str">
        <x:v>P.E. AMEIXEIRAS-TESTEIROS</x:v>
      </x:c>
      <x:c r="E514" s="4" t="n">
        <x:v>7.824</x:v>
      </x:c>
      <x:c r="F514" s="4" t="n">
        <x:f>J514*0.97</x:f>
        <x:v>7.38558</x:v>
      </x:c>
      <x:c r="G514" s="4" t="n">
        <x:v>49.5</x:v>
      </x:c>
      <x:c r="H514" s="4" t="n">
        <x:v>103.34</x:v>
      </x:c>
      <x:c r="I514" s="5" t="n">
        <x:f t="shared" ref="I514:I577" si="8">F514*1000*H514</x:f>
        <x:v>763225.8372000001</x:v>
      </x:c>
      <x:c r="J514" t="n">
        <x:v>7.614</x:v>
      </x:c>
    </x:row>
    <x:row r="515">
      <x:c r="A515" s="3" t="n">
        <x:v>2023</x:v>
      </x:c>
      <x:c r="B515" s="2" t="str">
        <x:v>Octubre</x:v>
      </x:c>
      <x:c r="C515" s="2" t="str">
        <x:v>RE-002890-1</x:v>
      </x:c>
      <x:c r="D515" s="2" t="str">
        <x:v>P.E. AMEIXEIRAS-TESTEIROS</x:v>
      </x:c>
      <x:c r="E515" s="4" t="n">
        <x:v>10.048</x:v>
      </x:c>
      <x:c r="F515" s="4" t="n">
        <x:f>J515*1.04</x:f>
        <x:v>10.16392</x:v>
      </x:c>
      <x:c r="G515" s="4" t="n">
        <x:v>49.5</x:v>
      </x:c>
      <x:c r="H515" s="4" t="n">
        <x:v>90.14</x:v>
      </x:c>
      <x:c r="I515" s="5" t="n">
        <x:f t="shared" si="8">F515*1000*H515</x:f>
        <x:v>916175.7488000001</x:v>
      </x:c>
      <x:c r="J515" t="n">
        <x:v>9.773</x:v>
      </x:c>
    </x:row>
    <x:row r="516">
      <x:c r="A516" s="3" t="n">
        <x:v>2023</x:v>
      </x:c>
      <x:c r="B516" s="2" t="str">
        <x:v>Noviembre</x:v>
      </x:c>
      <x:c r="C516" s="2" t="str">
        <x:v>RE-002890-1</x:v>
      </x:c>
      <x:c r="D516" s="2" t="str">
        <x:v>P.E. AMEIXEIRAS-TESTEIROS</x:v>
      </x:c>
      <x:c r="E516" s="4" t="n">
        <x:v>14.432</x:v>
      </x:c>
      <x:c r="F516" s="4" t="n">
        <x:f>J516*1</x:f>
        <x:v>14.201</x:v>
      </x:c>
      <x:c r="G516" s="4" t="n">
        <x:v>49.5</x:v>
      </x:c>
      <x:c r="H516" s="4" t="n">
        <x:v>63.45</x:v>
      </x:c>
      <x:c r="I516" s="5" t="n">
        <x:f t="shared" si="8">F516*1000*H516</x:f>
        <x:v>901053.4500000001</x:v>
      </x:c>
      <x:c r="J516" t="n">
        <x:v>14.201</x:v>
      </x:c>
    </x:row>
    <x:row r="517">
      <x:c r="A517" s="3" t="n">
        <x:v>2023</x:v>
      </x:c>
      <x:c r="B517" s="2" t="str">
        <x:v>Diciembre</x:v>
      </x:c>
      <x:c r="C517" s="2" t="str">
        <x:v>RE-002890-1</x:v>
      </x:c>
      <x:c r="D517" s="2" t="str">
        <x:v>P.E. AMEIXEIRAS-TESTEIROS</x:v>
      </x:c>
      <x:c r="E517" s="4" t="n">
        <x:v>15.104</x:v>
      </x:c>
      <x:c r="F517" s="4" t="n">
        <x:f>J517*0.96</x:f>
        <x:v>14.201279999999999</x:v>
      </x:c>
      <x:c r="G517" s="4" t="n">
        <x:v>49.5</x:v>
      </x:c>
      <x:c r="H517" s="4" t="n">
        <x:v>72.17</x:v>
      </x:c>
      <x:c r="I517" s="5" t="n">
        <x:f t="shared" si="8">F517*1000*H517</x:f>
        <x:v>1024906.3775999999</x:v>
      </x:c>
      <x:c r="J517" t="n">
        <x:v>14.793</x:v>
      </x:c>
    </x:row>
    <x:row r="518">
      <x:c r="A518" s="3" t="n">
        <x:v>2023</x:v>
      </x:c>
      <x:c r="B518" s="2" t="str">
        <x:v>Enero</x:v>
      </x:c>
      <x:c r="C518" s="2" t="str">
        <x:v>RE-003021-1</x:v>
      </x:c>
      <x:c r="D518" s="2" t="str">
        <x:v>Parque Eólico Monte Redondo</x:v>
      </x:c>
      <x:c r="E518" s="4" t="n">
        <x:v>15.752</x:v>
      </x:c>
      <x:c r="F518" s="4" t="n">
        <x:f>J518*1.03</x:f>
        <x:v>15.981480000000001</x:v>
      </x:c>
      <x:c r="G518" s="4" t="n">
        <x:v>49.5</x:v>
      </x:c>
      <x:c r="H518" s="4" t="n">
        <x:v>69.55</x:v>
      </x:c>
      <x:c r="I518" s="5" t="n">
        <x:f t="shared" si="8">F518*1000*H518</x:f>
        <x:v>1111511.9340000001</x:v>
      </x:c>
      <x:c r="J518" t="n">
        <x:v>15.516</x:v>
      </x:c>
    </x:row>
    <x:row r="519">
      <x:c r="A519" s="3" t="n">
        <x:v>2023</x:v>
      </x:c>
      <x:c r="B519" s="2" t="str">
        <x:v>Febrero</x:v>
      </x:c>
      <x:c r="C519" s="2" t="str">
        <x:v>RE-003021-1</x:v>
      </x:c>
      <x:c r="D519" s="2" t="str">
        <x:v>Parque Eólico Monte Redondo</x:v>
      </x:c>
      <x:c r="E519" s="4" t="n">
        <x:v>13.189</x:v>
      </x:c>
      <x:c r="F519" s="4" t="n">
        <x:f>J519*0.99</x:f>
        <x:v>12.64428</x:v>
      </x:c>
      <x:c r="G519" s="4" t="n">
        <x:v>49.5</x:v>
      </x:c>
      <x:c r="H519" s="4" t="n">
        <x:v>133.47</x:v>
      </x:c>
      <x:c r="I519" s="5" t="n">
        <x:f t="shared" si="8">F519*1000*H519</x:f>
        <x:v>1687632.0516000001</x:v>
      </x:c>
      <x:c r="J519" t="n">
        <x:v>12.772</x:v>
      </x:c>
    </x:row>
    <x:row r="520">
      <x:c r="A520" s="3" t="n">
        <x:v>2023</x:v>
      </x:c>
      <x:c r="B520" s="2" t="str">
        <x:v>Marzo</x:v>
      </x:c>
      <x:c r="C520" s="2" t="str">
        <x:v>RE-003021-1</x:v>
      </x:c>
      <x:c r="D520" s="2" t="str">
        <x:v>Parque Eólico Monte Redondo</x:v>
      </x:c>
      <x:c r="E520" s="4" t="n">
        <x:v>14.025</x:v>
      </x:c>
      <x:c r="F520" s="4" t="n">
        <x:f>J520*0.95</x:f>
        <x:v>12.90575</x:v>
      </x:c>
      <x:c r="G520" s="4" t="n">
        <x:v>49.5</x:v>
      </x:c>
      <x:c r="H520" s="4" t="n">
        <x:v>89.61</x:v>
      </x:c>
      <x:c r="I520" s="5" t="n">
        <x:f t="shared" si="8">F520*1000*H520</x:f>
        <x:v>1156484.2575</x:v>
      </x:c>
      <x:c r="J520" t="n">
        <x:v>13.585</x:v>
      </x:c>
    </x:row>
    <x:row r="521">
      <x:c r="A521" s="3" t="n">
        <x:v>2023</x:v>
      </x:c>
      <x:c r="B521" s="2" t="str">
        <x:v>Abril</x:v>
      </x:c>
      <x:c r="C521" s="2" t="str">
        <x:v>RE-003021-1</x:v>
      </x:c>
      <x:c r="D521" s="2" t="str">
        <x:v>Parque Eólico Monte Redondo</x:v>
      </x:c>
      <x:c r="E521" s="4" t="n">
        <x:v>11.626</x:v>
      </x:c>
      <x:c r="F521" s="4" t="n">
        <x:f>J521*1.02</x:f>
        <x:v>11.5872</x:v>
      </x:c>
      <x:c r="G521" s="4" t="n">
        <x:v>49.5</x:v>
      </x:c>
      <x:c r="H521" s="4" t="n">
        <x:v>73.73</x:v>
      </x:c>
      <x:c r="I521" s="5" t="n">
        <x:f t="shared" si="8">F521*1000*H521</x:f>
        <x:v>854324.2559999999</x:v>
      </x:c>
      <x:c r="J521" t="n">
        <x:v>11.36</x:v>
      </x:c>
    </x:row>
    <x:row r="522">
      <x:c r="A522" s="3" t="n">
        <x:v>2023</x:v>
      </x:c>
      <x:c r="B522" s="2" t="str">
        <x:v>Mayo</x:v>
      </x:c>
      <x:c r="C522" s="2" t="str">
        <x:v>RE-003021-1</x:v>
      </x:c>
      <x:c r="D522" s="2" t="str">
        <x:v>Parque Eólico Monte Redondo</x:v>
      </x:c>
      <x:c r="E522" s="4" t="n">
        <x:v>10.741</x:v>
      </x:c>
      <x:c r="F522" s="4" t="n">
        <x:f>J522*0.98</x:f>
        <x:v>10.20572</x:v>
      </x:c>
      <x:c r="G522" s="4" t="n">
        <x:v>49.5</x:v>
      </x:c>
      <x:c r="H522" s="4" t="n">
        <x:v>74.21</x:v>
      </x:c>
      <x:c r="I522" s="5" t="n">
        <x:f t="shared" si="8">F522*1000*H522</x:f>
        <x:v>757366.4811999999</x:v>
      </x:c>
      <x:c r="J522" t="n">
        <x:v>10.414</x:v>
      </x:c>
    </x:row>
    <x:row r="523">
      <x:c r="A523" s="3" t="n">
        <x:v>2023</x:v>
      </x:c>
      <x:c r="B523" s="2" t="str">
        <x:v>Junio</x:v>
      </x:c>
      <x:c r="C523" s="2" t="str">
        <x:v>RE-003021-1</x:v>
      </x:c>
      <x:c r="D523" s="2" t="str">
        <x:v>Parque Eólico Monte Redondo</x:v>
      </x:c>
      <x:c r="E523" s="4" t="n">
        <x:v>9.246</x:v>
      </x:c>
      <x:c r="F523" s="4" t="n">
        <x:f>J523*0.94</x:f>
        <x:v>8.4318</x:v>
      </x:c>
      <x:c r="G523" s="4" t="n">
        <x:v>49.5</x:v>
      </x:c>
      <x:c r="H523" s="4" t="n">
        <x:v>93.02</x:v>
      </x:c>
      <x:c r="I523" s="5" t="n">
        <x:f t="shared" si="8">F523*1000*H523</x:f>
        <x:v>784326.0360000001</x:v>
      </x:c>
      <x:c r="J523" t="n">
        <x:v>8.97</x:v>
      </x:c>
    </x:row>
    <x:row r="524">
      <x:c r="A524" s="3" t="n">
        <x:v>2023</x:v>
      </x:c>
      <x:c r="B524" s="2" t="str">
        <x:v>Julio</x:v>
      </x:c>
      <x:c r="C524" s="2" t="str">
        <x:v>RE-003021-1</x:v>
      </x:c>
      <x:c r="D524" s="2" t="str">
        <x:v>Parque Eólico Monte Redondo</x:v>
      </x:c>
      <x:c r="E524" s="4" t="n">
        <x:v>8.51</x:v>
      </x:c>
      <x:c r="F524" s="4" t="n">
        <x:f>J524*1.01</x:f>
        <x:v>8.400170000000001</x:v>
      </x:c>
      <x:c r="G524" s="4" t="n">
        <x:v>49.5</x:v>
      </x:c>
      <x:c r="H524" s="4" t="n">
        <x:v>90.47</x:v>
      </x:c>
      <x:c r="I524" s="5" t="n">
        <x:f t="shared" si="8">F524*1000*H524</x:f>
        <x:v>759963.3799000002</x:v>
      </x:c>
      <x:c r="J524" t="n">
        <x:v>8.317</x:v>
      </x:c>
    </x:row>
    <x:row r="525">
      <x:c r="A525" s="3" t="n">
        <x:v>2023</x:v>
      </x:c>
      <x:c r="B525" s="2" t="str">
        <x:v>Agosto</x:v>
      </x:c>
      <x:c r="C525" s="2" t="str">
        <x:v>RE-003021-1</x:v>
      </x:c>
      <x:c r="D525" s="2" t="str">
        <x:v>Parque Eólico Monte Redondo</x:v>
      </x:c>
      <x:c r="E525" s="4" t="n">
        <x:v>8.037</x:v>
      </x:c>
      <x:c r="F525" s="4" t="n">
        <x:f>J525*0.97</x:f>
        <x:v>7.60577</x:v>
      </x:c>
      <x:c r="G525" s="4" t="n">
        <x:v>49.5</x:v>
      </x:c>
      <x:c r="H525" s="4" t="n">
        <x:v>96.05</x:v>
      </x:c>
      <x:c r="I525" s="5" t="n">
        <x:f t="shared" si="8">F525*1000*H525</x:f>
        <x:v>730534.2085</x:v>
      </x:c>
      <x:c r="J525" t="n">
        <x:v>7.841</x:v>
      </x:c>
    </x:row>
    <x:row r="526">
      <x:c r="A526" s="3" t="n">
        <x:v>2023</x:v>
      </x:c>
      <x:c r="B526" s="2" t="str">
        <x:v>Septiembre</x:v>
      </x:c>
      <x:c r="C526" s="2" t="str">
        <x:v>RE-003021-1</x:v>
      </x:c>
      <x:c r="D526" s="2" t="str">
        <x:v>Parque Eólico Monte Redondo</x:v>
      </x:c>
      <x:c r="E526" s="4" t="n">
        <x:v>10.055</x:v>
      </x:c>
      <x:c r="F526" s="4" t="n">
        <x:f>J526*1.04</x:f>
        <x:v>10.233600000000001</x:v>
      </x:c>
      <x:c r="G526" s="4" t="n">
        <x:v>49.5</x:v>
      </x:c>
      <x:c r="H526" s="4" t="n">
        <x:v>103.34</x:v>
      </x:c>
      <x:c r="I526" s="5" t="n">
        <x:f t="shared" si="8">F526*1000*H526</x:f>
        <x:v>1057540.2240000002</x:v>
      </x:c>
      <x:c r="J526" t="n">
        <x:v>9.84</x:v>
      </x:c>
    </x:row>
    <x:row r="527">
      <x:c r="A527" s="3" t="n">
        <x:v>2023</x:v>
      </x:c>
      <x:c r="B527" s="2" t="str">
        <x:v>Octubre</x:v>
      </x:c>
      <x:c r="C527" s="2" t="str">
        <x:v>RE-003021-1</x:v>
      </x:c>
      <x:c r="D527" s="2" t="str">
        <x:v>Parque Eólico Monte Redondo</x:v>
      </x:c>
      <x:c r="E527" s="4" t="n">
        <x:v>12.487</x:v>
      </x:c>
      <x:c r="F527" s="4" t="n">
        <x:f>J527*1</x:f>
        <x:v>12.117</x:v>
      </x:c>
      <x:c r="G527" s="4" t="n">
        <x:v>49.5</x:v>
      </x:c>
      <x:c r="H527" s="4" t="n">
        <x:v>90.14</x:v>
      </x:c>
      <x:c r="I527" s="5" t="n">
        <x:f t="shared" si="8">F527*1000*H527</x:f>
        <x:v>1092226.3800000001</x:v>
      </x:c>
      <x:c r="J527" t="n">
        <x:v>12.117</x:v>
      </x:c>
    </x:row>
    <x:row r="528">
      <x:c r="A528" s="3" t="n">
        <x:v>2023</x:v>
      </x:c>
      <x:c r="B528" s="2" t="str">
        <x:v>Noviembre</x:v>
      </x:c>
      <x:c r="C528" s="2" t="str">
        <x:v>RE-003021-1</x:v>
      </x:c>
      <x:c r="D528" s="2" t="str">
        <x:v>Parque Eólico Monte Redondo</x:v>
      </x:c>
      <x:c r="E528" s="4" t="n">
        <x:v>12.293</x:v>
      </x:c>
      <x:c r="F528" s="4" t="n">
        <x:f>J528*0.96</x:f>
        <x:v>11.49792</x:v>
      </x:c>
      <x:c r="G528" s="4" t="n">
        <x:v>49.5</x:v>
      </x:c>
      <x:c r="H528" s="4" t="n">
        <x:v>63.45</x:v>
      </x:c>
      <x:c r="I528" s="5" t="n">
        <x:f t="shared" si="8">F528*1000*H528</x:f>
        <x:v>729543.0240000001</x:v>
      </x:c>
      <x:c r="J528" t="n">
        <x:v>11.977</x:v>
      </x:c>
    </x:row>
    <x:row r="529">
      <x:c r="A529" s="3" t="n">
        <x:v>2023</x:v>
      </x:c>
      <x:c r="B529" s="2" t="str">
        <x:v>Diciembre</x:v>
      </x:c>
      <x:c r="C529" s="2" t="str">
        <x:v>RE-003021-1</x:v>
      </x:c>
      <x:c r="D529" s="2" t="str">
        <x:v>Parque Eólico Monte Redondo</x:v>
      </x:c>
      <x:c r="E529" s="4" t="n">
        <x:v>13.603</x:v>
      </x:c>
      <x:c r="F529" s="4" t="n">
        <x:f>J529*1.03</x:f>
        <x:v>13.771099999999999</x:v>
      </x:c>
      <x:c r="G529" s="4" t="n">
        <x:v>49.5</x:v>
      </x:c>
      <x:c r="H529" s="4" t="n">
        <x:v>72.17</x:v>
      </x:c>
      <x:c r="I529" s="5" t="n">
        <x:f t="shared" si="8">F529*1000*H529</x:f>
        <x:v>993860.2869999999</x:v>
      </x:c>
      <x:c r="J529" t="n">
        <x:v>13.37</x:v>
      </x:c>
    </x:row>
    <x:row r="530">
      <x:c r="A530" s="3" t="n">
        <x:v>2023</x:v>
      </x:c>
      <x:c r="B530" s="2" t="str">
        <x:v>Enero</x:v>
      </x:c>
      <x:c r="C530" s="2" t="str">
        <x:v>RE-003086-1</x:v>
      </x:c>
      <x:c r="D530" s="2" t="str">
        <x:v>P.E. SIL (modifi. 13/9/2004)</x:v>
      </x:c>
      <x:c r="E530" s="4" t="n">
        <x:v>12.802</x:v>
      </x:c>
      <x:c r="F530" s="4" t="n">
        <x:f>J530*0.99</x:f>
        <x:v>12.331439999999999</x:v>
      </x:c>
      <x:c r="G530" s="4" t="n">
        <x:v>49.24</x:v>
      </x:c>
      <x:c r="H530" s="4" t="n">
        <x:v>69.55</x:v>
      </x:c>
      <x:c r="I530" s="5" t="n">
        <x:f t="shared" si="8">F530*1000*H530</x:f>
        <x:v>857651.6519999999</x:v>
      </x:c>
      <x:c r="J530" t="n">
        <x:v>12.456</x:v>
      </x:c>
    </x:row>
    <x:row r="531">
      <x:c r="A531" s="3" t="n">
        <x:v>2023</x:v>
      </x:c>
      <x:c r="B531" s="2" t="str">
        <x:v>Febrero</x:v>
      </x:c>
      <x:c r="C531" s="2" t="str">
        <x:v>RE-003086-1</x:v>
      </x:c>
      <x:c r="D531" s="2" t="str">
        <x:v>P.E. SIL (modifi. 13/9/2004)</x:v>
      </x:c>
      <x:c r="E531" s="4" t="n">
        <x:v>13.742</x:v>
      </x:c>
      <x:c r="F531" s="4" t="n">
        <x:f>J531*0.95</x:f>
        <x:v>12.65305</x:v>
      </x:c>
      <x:c r="G531" s="4" t="n">
        <x:v>49.24</x:v>
      </x:c>
      <x:c r="H531" s="4" t="n">
        <x:v>133.47</x:v>
      </x:c>
      <x:c r="I531" s="5" t="n">
        <x:f t="shared" si="8">F531*1000*H531</x:f>
        <x:v>1688802.5835000002</x:v>
      </x:c>
      <x:c r="J531" t="n">
        <x:v>13.319</x:v>
      </x:c>
    </x:row>
    <x:row r="532">
      <x:c r="A532" s="3" t="n">
        <x:v>2023</x:v>
      </x:c>
      <x:c r="B532" s="2" t="str">
        <x:v>Marzo</x:v>
      </x:c>
      <x:c r="C532" s="2" t="str">
        <x:v>RE-003086-1</x:v>
      </x:c>
      <x:c r="D532" s="2" t="str">
        <x:v>P.E. SIL (modifi. 13/9/2004)</x:v>
      </x:c>
      <x:c r="E532" s="4" t="n">
        <x:v>12.042</x:v>
      </x:c>
      <x:c r="F532" s="4" t="n">
        <x:f>J532*1.02</x:f>
        <x:v>12.097199999999999</x:v>
      </x:c>
      <x:c r="G532" s="4" t="n">
        <x:v>49.24</x:v>
      </x:c>
      <x:c r="H532" s="4" t="n">
        <x:v>89.61</x:v>
      </x:c>
      <x:c r="I532" s="5" t="n">
        <x:f t="shared" si="8">F532*1000*H532</x:f>
        <x:v>1084030.092</x:v>
      </x:c>
      <x:c r="J532" t="n">
        <x:v>11.86</x:v>
      </x:c>
    </x:row>
    <x:row r="533">
      <x:c r="A533" s="3" t="n">
        <x:v>2023</x:v>
      </x:c>
      <x:c r="B533" s="2" t="str">
        <x:v>Abril</x:v>
      </x:c>
      <x:c r="C533" s="2" t="str">
        <x:v>RE-003086-1</x:v>
      </x:c>
      <x:c r="D533" s="2" t="str">
        <x:v>P.E. SIL (modifi. 13/9/2004)</x:v>
      </x:c>
      <x:c r="E533" s="4" t="n">
        <x:v>10.602</x:v>
      </x:c>
      <x:c r="F533" s="4" t="n">
        <x:f>J533*0.98</x:f>
        <x:v>10.23316</x:v>
      </x:c>
      <x:c r="G533" s="4" t="n">
        <x:v>49.24</x:v>
      </x:c>
      <x:c r="H533" s="4" t="n">
        <x:v>73.73</x:v>
      </x:c>
      <x:c r="I533" s="5" t="n">
        <x:f t="shared" si="8">F533*1000*H533</x:f>
        <x:v>754490.8868</x:v>
      </x:c>
      <x:c r="J533" t="n">
        <x:v>10.442</x:v>
      </x:c>
    </x:row>
    <x:row r="534">
      <x:c r="A534" s="3" t="n">
        <x:v>2023</x:v>
      </x:c>
      <x:c r="B534" s="2" t="str">
        <x:v>Mayo</x:v>
      </x:c>
      <x:c r="C534" s="2" t="str">
        <x:v>RE-003086-1</x:v>
      </x:c>
      <x:c r="D534" s="2" t="str">
        <x:v>P.E. SIL (modifi. 13/9/2004)</x:v>
      </x:c>
      <x:c r="E534" s="4" t="n">
        <x:v>10.651</x:v>
      </x:c>
      <x:c r="F534" s="4" t="n">
        <x:f>J534*0.94</x:f>
        <x:v>9.771299999999998</x:v>
      </x:c>
      <x:c r="G534" s="4" t="n">
        <x:v>49.24</x:v>
      </x:c>
      <x:c r="H534" s="4" t="n">
        <x:v>74.21</x:v>
      </x:c>
      <x:c r="I534" s="5" t="n">
        <x:f t="shared" si="8">F534*1000*H534</x:f>
        <x:v>725128.1729999997</x:v>
      </x:c>
      <x:c r="J534" t="n">
        <x:v>10.395</x:v>
      </x:c>
    </x:row>
    <x:row r="535">
      <x:c r="A535" s="3" t="n">
        <x:v>2023</x:v>
      </x:c>
      <x:c r="B535" s="2" t="str">
        <x:v>Junio</x:v>
      </x:c>
      <x:c r="C535" s="2" t="str">
        <x:v>RE-003086-1</x:v>
      </x:c>
      <x:c r="D535" s="2" t="str">
        <x:v>P.E. SIL (modifi. 13/9/2004)</x:v>
      </x:c>
      <x:c r="E535" s="4" t="n">
        <x:v>8.048</x:v>
      </x:c>
      <x:c r="F535" s="4" t="n">
        <x:f>J535*1.01</x:f>
        <x:v>7.9931399999999995</x:v>
      </x:c>
      <x:c r="G535" s="4" t="n">
        <x:v>49.24</x:v>
      </x:c>
      <x:c r="H535" s="4" t="n">
        <x:v>93.02</x:v>
      </x:c>
      <x:c r="I535" s="5" t="n">
        <x:f t="shared" si="8">F535*1000*H535</x:f>
        <x:v>743521.8827999999</x:v>
      </x:c>
      <x:c r="J535" t="n">
        <x:v>7.914</x:v>
      </x:c>
    </x:row>
    <x:row r="536">
      <x:c r="A536" s="3" t="n">
        <x:v>2023</x:v>
      </x:c>
      <x:c r="B536" s="2" t="str">
        <x:v>Julio</x:v>
      </x:c>
      <x:c r="C536" s="2" t="str">
        <x:v>RE-003086-1</x:v>
      </x:c>
      <x:c r="D536" s="2" t="str">
        <x:v>P.E. SIL (modifi. 13/9/2004)</x:v>
      </x:c>
      <x:c r="E536" s="4" t="n">
        <x:v>8.423</x:v>
      </x:c>
      <x:c r="F536" s="4" t="n">
        <x:f>J536*0.97</x:f>
        <x:v>7.95497</x:v>
      </x:c>
      <x:c r="G536" s="4" t="n">
        <x:v>49.24</x:v>
      </x:c>
      <x:c r="H536" s="4" t="n">
        <x:v>90.47</x:v>
      </x:c>
      <x:c r="I536" s="5" t="n">
        <x:f t="shared" si="8">F536*1000*H536</x:f>
        <x:v>719686.1359</x:v>
      </x:c>
      <x:c r="J536" t="n">
        <x:v>8.201</x:v>
      </x:c>
    </x:row>
    <x:row r="537">
      <x:c r="A537" s="3" t="n">
        <x:v>2023</x:v>
      </x:c>
      <x:c r="B537" s="2" t="str">
        <x:v>Agosto</x:v>
      </x:c>
      <x:c r="C537" s="2" t="str">
        <x:v>RE-003086-1</x:v>
      </x:c>
      <x:c r="D537" s="2" t="str">
        <x:v>P.E. SIL (modifi. 13/9/2004)</x:v>
      </x:c>
      <x:c r="E537" s="4" t="n">
        <x:v>7.636</x:v>
      </x:c>
      <x:c r="F537" s="4" t="n">
        <x:f>J537*1.04</x:f>
        <x:v>7.714720000000001</x:v>
      </x:c>
      <x:c r="G537" s="4" t="n">
        <x:v>49.24</x:v>
      </x:c>
      <x:c r="H537" s="4" t="n">
        <x:v>96.05</x:v>
      </x:c>
      <x:c r="I537" s="5" t="n">
        <x:f t="shared" si="8">F537*1000*H537</x:f>
        <x:v>740998.856</x:v>
      </x:c>
      <x:c r="J537" t="n">
        <x:v>7.418</x:v>
      </x:c>
    </x:row>
    <x:row r="538">
      <x:c r="A538" s="3" t="n">
        <x:v>2023</x:v>
      </x:c>
      <x:c r="B538" s="2" t="str">
        <x:v>Septiembre</x:v>
      </x:c>
      <x:c r="C538" s="2" t="str">
        <x:v>RE-003086-1</x:v>
      </x:c>
      <x:c r="D538" s="2" t="str">
        <x:v>P.E. SIL (modifi. 13/9/2004)</x:v>
      </x:c>
      <x:c r="E538" s="4" t="n">
        <x:v>9.642</x:v>
      </x:c>
      <x:c r="F538" s="4" t="n">
        <x:f>J538*1</x:f>
        <x:v>9.434</x:v>
      </x:c>
      <x:c r="G538" s="4" t="n">
        <x:v>49.24</x:v>
      </x:c>
      <x:c r="H538" s="4" t="n">
        <x:v>103.34</x:v>
      </x:c>
      <x:c r="I538" s="5" t="n">
        <x:f t="shared" si="8">F538*1000*H538</x:f>
        <x:v>974909.56</x:v>
      </x:c>
      <x:c r="J538" t="n">
        <x:v>9.434</x:v>
      </x:c>
    </x:row>
    <x:row r="539">
      <x:c r="A539" s="3" t="n">
        <x:v>2023</x:v>
      </x:c>
      <x:c r="B539" s="2" t="str">
        <x:v>Octubre</x:v>
      </x:c>
      <x:c r="C539" s="2" t="str">
        <x:v>RE-003086-1</x:v>
      </x:c>
      <x:c r="D539" s="2" t="str">
        <x:v>P.E. SIL (modifi. 13/9/2004)</x:v>
      </x:c>
      <x:c r="E539" s="4" t="n">
        <x:v>13.423</x:v>
      </x:c>
      <x:c r="F539" s="4" t="n">
        <x:f>J539*0.96</x:f>
        <x:v>12.607679999999998</x:v>
      </x:c>
      <x:c r="G539" s="4" t="n">
        <x:v>49.24</x:v>
      </x:c>
      <x:c r="H539" s="4" t="n">
        <x:v>90.14</x:v>
      </x:c>
      <x:c r="I539" s="5" t="n">
        <x:f t="shared" si="8">F539*1000*H539</x:f>
        <x:v>1136456.2751999998</x:v>
      </x:c>
      <x:c r="J539" t="n">
        <x:v>13.133</x:v>
      </x:c>
    </x:row>
    <x:row r="540">
      <x:c r="A540" s="3" t="n">
        <x:v>2023</x:v>
      </x:c>
      <x:c r="B540" s="2" t="str">
        <x:v>Noviembre</x:v>
      </x:c>
      <x:c r="C540" s="2" t="str">
        <x:v>RE-003086-1</x:v>
      </x:c>
      <x:c r="D540" s="2" t="str">
        <x:v>P.E. SIL (modifi. 13/9/2004)</x:v>
      </x:c>
      <x:c r="E540" s="4" t="n">
        <x:v>12.375</x:v>
      </x:c>
      <x:c r="F540" s="4" t="n">
        <x:f>J540*1.03</x:f>
        <x:v>12.45579</x:v>
      </x:c>
      <x:c r="G540" s="4" t="n">
        <x:v>49.24</x:v>
      </x:c>
      <x:c r="H540" s="4" t="n">
        <x:v>63.45</x:v>
      </x:c>
      <x:c r="I540" s="5" t="n">
        <x:f t="shared" si="8">F540*1000*H540</x:f>
        <x:v>790319.8755000001</x:v>
      </x:c>
      <x:c r="J540" t="n">
        <x:v>12.093</x:v>
      </x:c>
    </x:row>
    <x:row r="541">
      <x:c r="A541" s="3" t="n">
        <x:v>2023</x:v>
      </x:c>
      <x:c r="B541" s="2" t="str">
        <x:v>Diciembre</x:v>
      </x:c>
      <x:c r="C541" s="2" t="str">
        <x:v>RE-003086-1</x:v>
      </x:c>
      <x:c r="D541" s="2" t="str">
        <x:v>P.E. SIL (modifi. 13/9/2004)</x:v>
      </x:c>
      <x:c r="E541" s="4" t="n">
        <x:v>15.605</x:v>
      </x:c>
      <x:c r="F541" s="4" t="n">
        <x:f>J541*0.99</x:f>
        <x:v>15.07374</x:v>
      </x:c>
      <x:c r="G541" s="4" t="n">
        <x:v>49.24</x:v>
      </x:c>
      <x:c r="H541" s="4" t="n">
        <x:v>72.17</x:v>
      </x:c>
      <x:c r="I541" s="5" t="n">
        <x:f t="shared" si="8">F541*1000*H541</x:f>
        <x:v>1087871.8158000002</x:v>
      </x:c>
      <x:c r="J541" t="n">
        <x:v>15.226</x:v>
      </x:c>
    </x:row>
    <x:row r="542">
      <x:c r="A542" s="3" t="n">
        <x:v>2023</x:v>
      </x:c>
      <x:c r="B542" s="2" t="str">
        <x:v>Enero</x:v>
      </x:c>
      <x:c r="C542" s="2" t="str">
        <x:v>RE-003087-1</x:v>
      </x:c>
      <x:c r="D542" s="2" t="str">
        <x:v>P.E. CAXADO (Ampliada potencia 17-01-2003)</x:v>
      </x:c>
      <x:c r="E542" s="4" t="n">
        <x:v>6.127</x:v>
      </x:c>
      <x:c r="F542" s="4" t="n">
        <x:f>J542*0.95</x:f>
        <x:v>5.6667499999999995</x:v>
      </x:c>
      <x:c r="G542" s="4" t="n">
        <x:v>24.42</x:v>
      </x:c>
      <x:c r="H542" s="4" t="n">
        <x:v>69.55</x:v>
      </x:c>
      <x:c r="I542" s="5" t="n">
        <x:f t="shared" si="8">F542*1000*H542</x:f>
        <x:v>394122.4624999999</x:v>
      </x:c>
      <x:c r="J542" t="n">
        <x:v>5.965</x:v>
      </x:c>
    </x:row>
    <x:row r="543">
      <x:c r="A543" s="3" t="n">
        <x:v>2023</x:v>
      </x:c>
      <x:c r="B543" s="2" t="str">
        <x:v>Febrero</x:v>
      </x:c>
      <x:c r="C543" s="2" t="str">
        <x:v>RE-003087-1</x:v>
      </x:c>
      <x:c r="D543" s="2" t="str">
        <x:v>P.E. CAXADO (Ampliada potencia 17-01-2003)</x:v>
      </x:c>
      <x:c r="E543" s="4" t="n">
        <x:v>6.132</x:v>
      </x:c>
      <x:c r="F543" s="4" t="n">
        <x:f>J543*1.02</x:f>
        <x:v>6.12816</x:v>
      </x:c>
      <x:c r="G543" s="4" t="n">
        <x:v>24.42</x:v>
      </x:c>
      <x:c r="H543" s="4" t="n">
        <x:v>133.47</x:v>
      </x:c>
      <x:c r="I543" s="5" t="n">
        <x:f t="shared" si="8">F543*1000*H543</x:f>
        <x:v>817925.5152</x:v>
      </x:c>
      <x:c r="J543" t="n">
        <x:v>6.008</x:v>
      </x:c>
    </x:row>
    <x:row r="544">
      <x:c r="A544" s="3" t="n">
        <x:v>2023</x:v>
      </x:c>
      <x:c r="B544" s="2" t="str">
        <x:v>Marzo</x:v>
      </x:c>
      <x:c r="C544" s="2" t="str">
        <x:v>RE-003087-1</x:v>
      </x:c>
      <x:c r="D544" s="2" t="str">
        <x:v>P.E. CAXADO (Ampliada potencia 17-01-2003)</x:v>
      </x:c>
      <x:c r="E544" s="4" t="n">
        <x:v>5.771</x:v>
      </x:c>
      <x:c r="F544" s="4" t="n">
        <x:f>J544*0.98</x:f>
        <x:v>5.54092</x:v>
      </x:c>
      <x:c r="G544" s="4" t="n">
        <x:v>24.42</x:v>
      </x:c>
      <x:c r="H544" s="4" t="n">
        <x:v>89.61</x:v>
      </x:c>
      <x:c r="I544" s="5" t="n">
        <x:f t="shared" si="8">F544*1000*H544</x:f>
        <x:v>496521.8412</x:v>
      </x:c>
      <x:c r="J544" t="n">
        <x:v>5.654</x:v>
      </x:c>
    </x:row>
    <x:row r="545">
      <x:c r="A545" s="3" t="n">
        <x:v>2023</x:v>
      </x:c>
      <x:c r="B545" s="2" t="str">
        <x:v>Abril</x:v>
      </x:c>
      <x:c r="C545" s="2" t="str">
        <x:v>RE-003087-1</x:v>
      </x:c>
      <x:c r="D545" s="2" t="str">
        <x:v>P.E. CAXADO (Ampliada potencia 17-01-2003)</x:v>
      </x:c>
      <x:c r="E545" s="4" t="n">
        <x:v>5.503</x:v>
      </x:c>
      <x:c r="F545" s="4" t="n">
        <x:f>J545*0.94</x:f>
        <x:v>5.02524</x:v>
      </x:c>
      <x:c r="G545" s="4" t="n">
        <x:v>24.42</x:v>
      </x:c>
      <x:c r="H545" s="4" t="n">
        <x:v>73.73</x:v>
      </x:c>
      <x:c r="I545" s="5" t="n">
        <x:f t="shared" si="8">F545*1000*H545</x:f>
        <x:v>370510.9452</x:v>
      </x:c>
      <x:c r="J545" t="n">
        <x:v>5.346</x:v>
      </x:c>
    </x:row>
    <x:row r="546">
      <x:c r="A546" s="3" t="n">
        <x:v>2023</x:v>
      </x:c>
      <x:c r="B546" s="2" t="str">
        <x:v>Mayo</x:v>
      </x:c>
      <x:c r="C546" s="2" t="str">
        <x:v>RE-003087-1</x:v>
      </x:c>
      <x:c r="D546" s="2" t="str">
        <x:v>P.E. CAXADO (Ampliada potencia 17-01-2003)</x:v>
      </x:c>
      <x:c r="E546" s="4" t="n">
        <x:v>5.028</x:v>
      </x:c>
      <x:c r="F546" s="4" t="n">
        <x:f>J546*1.01</x:f>
        <x:v>4.96617</x:v>
      </x:c>
      <x:c r="G546" s="4" t="n">
        <x:v>24.42</x:v>
      </x:c>
      <x:c r="H546" s="4" t="n">
        <x:v>74.21</x:v>
      </x:c>
      <x:c r="I546" s="5" t="n">
        <x:f t="shared" si="8">F546*1000*H546</x:f>
        <x:v>368539.47569999995</x:v>
      </x:c>
      <x:c r="J546" t="n">
        <x:v>4.917</x:v>
      </x:c>
    </x:row>
    <x:row r="547">
      <x:c r="A547" s="3" t="n">
        <x:v>2023</x:v>
      </x:c>
      <x:c r="B547" s="2" t="str">
        <x:v>Junio</x:v>
      </x:c>
      <x:c r="C547" s="2" t="str">
        <x:v>RE-003087-1</x:v>
      </x:c>
      <x:c r="D547" s="2" t="str">
        <x:v>P.E. CAXADO (Ampliada potencia 17-01-2003)</x:v>
      </x:c>
      <x:c r="E547" s="4" t="n">
        <x:v>3.649</x:v>
      </x:c>
      <x:c r="F547" s="4" t="n">
        <x:f>J547*0.97</x:f>
        <x:v>3.4357399999999996</x:v>
      </x:c>
      <x:c r="G547" s="4" t="n">
        <x:v>24.42</x:v>
      </x:c>
      <x:c r="H547" s="4" t="n">
        <x:v>93.02</x:v>
      </x:c>
      <x:c r="I547" s="5" t="n">
        <x:f t="shared" si="8">F547*1000*H547</x:f>
        <x:v>319592.53479999996</x:v>
      </x:c>
      <x:c r="J547" t="n">
        <x:v>3.542</x:v>
      </x:c>
    </x:row>
    <x:row r="548">
      <x:c r="A548" s="3" t="n">
        <x:v>2023</x:v>
      </x:c>
      <x:c r="B548" s="2" t="str">
        <x:v>Julio</x:v>
      </x:c>
      <x:c r="C548" s="2" t="str">
        <x:v>RE-003087-1</x:v>
      </x:c>
      <x:c r="D548" s="2" t="str">
        <x:v>P.E. CAXADO (Ampliada potencia 17-01-2003)</x:v>
      </x:c>
      <x:c r="E548" s="4" t="n">
        <x:v>3.796</x:v>
      </x:c>
      <x:c r="F548" s="4" t="n">
        <x:f>J548*1.04</x:f>
        <x:v>3.8324000000000003</x:v>
      </x:c>
      <x:c r="G548" s="4" t="n">
        <x:v>24.42</x:v>
      </x:c>
      <x:c r="H548" s="4" t="n">
        <x:v>90.47</x:v>
      </x:c>
      <x:c r="I548" s="5" t="n">
        <x:f t="shared" si="8">F548*1000*H548</x:f>
        <x:v>346717.228</x:v>
      </x:c>
      <x:c r="J548" t="n">
        <x:v>3.685</x:v>
      </x:c>
    </x:row>
    <x:row r="549">
      <x:c r="A549" s="3" t="n">
        <x:v>2023</x:v>
      </x:c>
      <x:c r="B549" s="2" t="str">
        <x:v>Agosto</x:v>
      </x:c>
      <x:c r="C549" s="2" t="str">
        <x:v>RE-003087-1</x:v>
      </x:c>
      <x:c r="D549" s="2" t="str">
        <x:v>P.E. CAXADO (Ampliada potencia 17-01-2003)</x:v>
      </x:c>
      <x:c r="E549" s="4" t="n">
        <x:v>4.264</x:v>
      </x:c>
      <x:c r="F549" s="4" t="n">
        <x:f>J549*1</x:f>
        <x:v>4.167</x:v>
      </x:c>
      <x:c r="G549" s="4" t="n">
        <x:v>24.42</x:v>
      </x:c>
      <x:c r="H549" s="4" t="n">
        <x:v>96.05</x:v>
      </x:c>
      <x:c r="I549" s="5" t="n">
        <x:f t="shared" si="8">F549*1000*H549</x:f>
        <x:v>400240.35</x:v>
      </x:c>
      <x:c r="J549" t="n">
        <x:v>4.167</x:v>
      </x:c>
    </x:row>
    <x:row r="550">
      <x:c r="A550" s="3" t="n">
        <x:v>2023</x:v>
      </x:c>
      <x:c r="B550" s="2" t="str">
        <x:v>Septiembre</x:v>
      </x:c>
      <x:c r="C550" s="2" t="str">
        <x:v>RE-003087-1</x:v>
      </x:c>
      <x:c r="D550" s="2" t="str">
        <x:v>P.E. CAXADO (Ampliada potencia 17-01-2003)</x:v>
      </x:c>
      <x:c r="E550" s="4" t="n">
        <x:v>4.613</x:v>
      </x:c>
      <x:c r="F550" s="4" t="n">
        <x:f>J550*0.96</x:f>
        <x:v>4.34112</x:v>
      </x:c>
      <x:c r="G550" s="4" t="n">
        <x:v>24.42</x:v>
      </x:c>
      <x:c r="H550" s="4" t="n">
        <x:v>103.34</x:v>
      </x:c>
      <x:c r="I550" s="5" t="n">
        <x:f t="shared" si="8">F550*1000*H550</x:f>
        <x:v>448611.3408</x:v>
      </x:c>
      <x:c r="J550" t="n">
        <x:v>4.522</x:v>
      </x:c>
    </x:row>
    <x:row r="551">
      <x:c r="A551" s="3" t="n">
        <x:v>2023</x:v>
      </x:c>
      <x:c r="B551" s="2" t="str">
        <x:v>Octubre</x:v>
      </x:c>
      <x:c r="C551" s="2" t="str">
        <x:v>RE-003087-1</x:v>
      </x:c>
      <x:c r="D551" s="2" t="str">
        <x:v>P.E. CAXADO (Ampliada potencia 17-01-2003)</x:v>
      </x:c>
      <x:c r="E551" s="4" t="n">
        <x:v>6.444</x:v>
      </x:c>
      <x:c r="F551" s="4" t="n">
        <x:f>J551*1.03</x:f>
        <x:v>6.45192</x:v>
      </x:c>
      <x:c r="G551" s="4" t="n">
        <x:v>24.42</x:v>
      </x:c>
      <x:c r="H551" s="4" t="n">
        <x:v>90.14</x:v>
      </x:c>
      <x:c r="I551" s="5" t="n">
        <x:f t="shared" si="8">F551*1000*H551</x:f>
        <x:v>581576.0688</x:v>
      </x:c>
      <x:c r="J551" t="n">
        <x:v>6.264</x:v>
      </x:c>
    </x:row>
    <x:row r="552">
      <x:c r="A552" s="3" t="n">
        <x:v>2023</x:v>
      </x:c>
      <x:c r="B552" s="2" t="str">
        <x:v>Noviembre</x:v>
      </x:c>
      <x:c r="C552" s="2" t="str">
        <x:v>RE-003087-1</x:v>
      </x:c>
      <x:c r="D552" s="2" t="str">
        <x:v>P.E. CAXADO (Ampliada potencia 17-01-2003)</x:v>
      </x:c>
      <x:c r="E552" s="4" t="n">
        <x:v>6.315</x:v>
      </x:c>
      <x:c r="F552" s="4" t="n">
        <x:f>J552*0.99</x:f>
        <x:v>6.1083</x:v>
      </x:c>
      <x:c r="G552" s="4" t="n">
        <x:v>24.42</x:v>
      </x:c>
      <x:c r="H552" s="4" t="n">
        <x:v>63.45</x:v>
      </x:c>
      <x:c r="I552" s="5" t="n">
        <x:f t="shared" si="8">F552*1000*H552</x:f>
        <x:v>387571.635</x:v>
      </x:c>
      <x:c r="J552" t="n">
        <x:v>6.17</x:v>
      </x:c>
    </x:row>
    <x:row r="553">
      <x:c r="A553" s="3" t="n">
        <x:v>2023</x:v>
      </x:c>
      <x:c r="B553" s="2" t="str">
        <x:v>Diciembre</x:v>
      </x:c>
      <x:c r="C553" s="2" t="str">
        <x:v>RE-003087-1</x:v>
      </x:c>
      <x:c r="D553" s="2" t="str">
        <x:v>P.E. CAXADO (Ampliada potencia 17-01-2003)</x:v>
      </x:c>
      <x:c r="E553" s="4" t="n">
        <x:v>7.632</x:v>
      </x:c>
      <x:c r="F553" s="4" t="n">
        <x:f>J553*0.95</x:f>
        <x:v>7.026199999999999</x:v>
      </x:c>
      <x:c r="G553" s="4" t="n">
        <x:v>24.42</x:v>
      </x:c>
      <x:c r="H553" s="4" t="n">
        <x:v>72.17</x:v>
      </x:c>
      <x:c r="I553" s="5" t="n">
        <x:f t="shared" si="8">F553*1000*H553</x:f>
        <x:v>507080.85399999993</x:v>
      </x:c>
      <x:c r="J553" t="n">
        <x:v>7.396</x:v>
      </x:c>
    </x:row>
    <x:row r="554">
      <x:c r="A554" s="3" t="n">
        <x:v>2023</x:v>
      </x:c>
      <x:c r="B554" s="2" t="str">
        <x:v>Enero</x:v>
      </x:c>
      <x:c r="C554" s="2" t="str">
        <x:v>RE-003088-1</x:v>
      </x:c>
      <x:c r="D554" s="2" t="str">
        <x:v>P.E. PENA DA LOBA (ampliado el 7-1-03)</x:v>
      </x:c>
      <x:c r="E554" s="4" t="n">
        <x:v>6.214</x:v>
      </x:c>
      <x:c r="F554" s="4" t="n">
        <x:f>J554*1.02</x:f>
        <x:v>6.213839999999999</x:v>
      </x:c>
      <x:c r="G554" s="4" t="n">
        <x:v>24.42</x:v>
      </x:c>
      <x:c r="H554" s="4" t="n">
        <x:v>69.55</x:v>
      </x:c>
      <x:c r="I554" s="5" t="n">
        <x:f t="shared" si="8">F554*1000*H554</x:f>
        <x:v>432172.5719999999</x:v>
      </x:c>
      <x:c r="J554" t="n">
        <x:v>6.092</x:v>
      </x:c>
    </x:row>
    <x:row r="555">
      <x:c r="A555" s="3" t="n">
        <x:v>2023</x:v>
      </x:c>
      <x:c r="B555" s="2" t="str">
        <x:v>Febrero</x:v>
      </x:c>
      <x:c r="C555" s="2" t="str">
        <x:v>RE-003088-1</x:v>
      </x:c>
      <x:c r="D555" s="2" t="str">
        <x:v>P.E. PENA DA LOBA (ampliado el 7-1-03)</x:v>
      </x:c>
      <x:c r="E555" s="4" t="n">
        <x:v>5.902</x:v>
      </x:c>
      <x:c r="F555" s="4" t="n">
        <x:f>J555*0.98</x:f>
        <x:v>5.65852</x:v>
      </x:c>
      <x:c r="G555" s="4" t="n">
        <x:v>24.42</x:v>
      </x:c>
      <x:c r="H555" s="4" t="n">
        <x:v>133.47</x:v>
      </x:c>
      <x:c r="I555" s="5" t="n">
        <x:f t="shared" si="8">F555*1000*H555</x:f>
        <x:v>755242.6644</x:v>
      </x:c>
      <x:c r="J555" t="n">
        <x:v>5.774</x:v>
      </x:c>
    </x:row>
    <x:row r="556">
      <x:c r="A556" s="3" t="n">
        <x:v>2023</x:v>
      </x:c>
      <x:c r="B556" s="2" t="str">
        <x:v>Marzo</x:v>
      </x:c>
      <x:c r="C556" s="2" t="str">
        <x:v>RE-003088-1</x:v>
      </x:c>
      <x:c r="D556" s="2" t="str">
        <x:v>P.E. PENA DA LOBA (ampliado el 7-1-03)</x:v>
      </x:c>
      <x:c r="E556" s="4" t="n">
        <x:v>7.17</x:v>
      </x:c>
      <x:c r="F556" s="4" t="n">
        <x:f>J556*0.94</x:f>
        <x:v>6.59786</x:v>
      </x:c>
      <x:c r="G556" s="4" t="n">
        <x:v>24.42</x:v>
      </x:c>
      <x:c r="H556" s="4" t="n">
        <x:v>89.61</x:v>
      </x:c>
      <x:c r="I556" s="5" t="n">
        <x:f t="shared" si="8">F556*1000*H556</x:f>
        <x:v>591234.2346</x:v>
      </x:c>
      <x:c r="J556" t="n">
        <x:v>7.019</x:v>
      </x:c>
    </x:row>
    <x:row r="557">
      <x:c r="A557" s="3" t="n">
        <x:v>2023</x:v>
      </x:c>
      <x:c r="B557" s="2" t="str">
        <x:v>Abril</x:v>
      </x:c>
      <x:c r="C557" s="2" t="str">
        <x:v>RE-003088-1</x:v>
      </x:c>
      <x:c r="D557" s="2" t="str">
        <x:v>P.E. PENA DA LOBA (ampliado el 7-1-03)</x:v>
      </x:c>
      <x:c r="E557" s="4" t="n">
        <x:v>4.937</x:v>
      </x:c>
      <x:c r="F557" s="4" t="n">
        <x:f>J557*1.01</x:f>
        <x:v>4.84497</x:v>
      </x:c>
      <x:c r="G557" s="4" t="n">
        <x:v>24.42</x:v>
      </x:c>
      <x:c r="H557" s="4" t="n">
        <x:v>73.73</x:v>
      </x:c>
      <x:c r="I557" s="5" t="n">
        <x:f t="shared" si="8">F557*1000*H557</x:f>
        <x:v>357219.63810000004</x:v>
      </x:c>
      <x:c r="J557" t="n">
        <x:v>4.797</x:v>
      </x:c>
    </x:row>
    <x:row r="558">
      <x:c r="A558" s="3" t="n">
        <x:v>2023</x:v>
      </x:c>
      <x:c r="B558" s="2" t="str">
        <x:v>Mayo</x:v>
      </x:c>
      <x:c r="C558" s="2" t="str">
        <x:v>RE-003088-1</x:v>
      </x:c>
      <x:c r="D558" s="2" t="str">
        <x:v>P.E. PENA DA LOBA (ampliado el 7-1-03)</x:v>
      </x:c>
      <x:c r="E558" s="4" t="n">
        <x:v>4.571</x:v>
      </x:c>
      <x:c r="F558" s="4" t="n">
        <x:f>J558*0.97</x:f>
        <x:v>4.358210000000001</x:v>
      </x:c>
      <x:c r="G558" s="4" t="n">
        <x:v>24.42</x:v>
      </x:c>
      <x:c r="H558" s="4" t="n">
        <x:v>74.21</x:v>
      </x:c>
      <x:c r="I558" s="5" t="n">
        <x:f t="shared" si="8">F558*1000*H558</x:f>
        <x:v>323422.76410000003</x:v>
      </x:c>
      <x:c r="J558" t="n">
        <x:v>4.493</x:v>
      </x:c>
    </x:row>
    <x:row r="559">
      <x:c r="A559" s="3" t="n">
        <x:v>2023</x:v>
      </x:c>
      <x:c r="B559" s="2" t="str">
        <x:v>Junio</x:v>
      </x:c>
      <x:c r="C559" s="2" t="str">
        <x:v>RE-003088-1</x:v>
      </x:c>
      <x:c r="D559" s="2" t="str">
        <x:v>P.E. PENA DA LOBA (ampliado el 7-1-03)</x:v>
      </x:c>
      <x:c r="E559" s="4" t="n">
        <x:v>4.079</x:v>
      </x:c>
      <x:c r="F559" s="4" t="n">
        <x:f>J559*1.04</x:f>
        <x:v>4.1683200000000005</x:v>
      </x:c>
      <x:c r="G559" s="4" t="n">
        <x:v>24.42</x:v>
      </x:c>
      <x:c r="H559" s="4" t="n">
        <x:v>93.02</x:v>
      </x:c>
      <x:c r="I559" s="5" t="n">
        <x:f t="shared" si="8">F559*1000*H559</x:f>
        <x:v>387737.12640000007</x:v>
      </x:c>
      <x:c r="J559" t="n">
        <x:v>4.008</x:v>
      </x:c>
    </x:row>
    <x:row r="560">
      <x:c r="A560" s="3" t="n">
        <x:v>2023</x:v>
      </x:c>
      <x:c r="B560" s="2" t="str">
        <x:v>Julio</x:v>
      </x:c>
      <x:c r="C560" s="2" t="str">
        <x:v>RE-003088-1</x:v>
      </x:c>
      <x:c r="D560" s="2" t="str">
        <x:v>P.E. PENA DA LOBA (ampliado el 7-1-03)</x:v>
      </x:c>
      <x:c r="E560" s="4" t="n">
        <x:v>3.895</x:v>
      </x:c>
      <x:c r="F560" s="4" t="n">
        <x:f>J560*1</x:f>
        <x:v>3.823</x:v>
      </x:c>
      <x:c r="G560" s="4" t="n">
        <x:v>24.42</x:v>
      </x:c>
      <x:c r="H560" s="4" t="n">
        <x:v>90.47</x:v>
      </x:c>
      <x:c r="I560" s="5" t="n">
        <x:f t="shared" si="8">F560*1000*H560</x:f>
        <x:v>345866.81</x:v>
      </x:c>
      <x:c r="J560" t="n">
        <x:v>3.823</x:v>
      </x:c>
    </x:row>
    <x:row r="561">
      <x:c r="A561" s="3" t="n">
        <x:v>2023</x:v>
      </x:c>
      <x:c r="B561" s="2" t="str">
        <x:v>Agosto</x:v>
      </x:c>
      <x:c r="C561" s="2" t="str">
        <x:v>RE-003088-1</x:v>
      </x:c>
      <x:c r="D561" s="2" t="str">
        <x:v>P.E. PENA DA LOBA (ampliado el 7-1-03)</x:v>
      </x:c>
      <x:c r="E561" s="4" t="n">
        <x:v>4.455</x:v>
      </x:c>
      <x:c r="F561" s="4" t="n">
        <x:f>J561*0.96</x:f>
        <x:v>4.1788799999999995</x:v>
      </x:c>
      <x:c r="G561" s="4" t="n">
        <x:v>24.42</x:v>
      </x:c>
      <x:c r="H561" s="4" t="n">
        <x:v>96.05</x:v>
      </x:c>
      <x:c r="I561" s="5" t="n">
        <x:f t="shared" si="8">F561*1000*H561</x:f>
        <x:v>401381.4239999999</x:v>
      </x:c>
      <x:c r="J561" t="n">
        <x:v>4.353</x:v>
      </x:c>
    </x:row>
    <x:row r="562">
      <x:c r="A562" s="3" t="n">
        <x:v>2023</x:v>
      </x:c>
      <x:c r="B562" s="2" t="str">
        <x:v>Septiembre</x:v>
      </x:c>
      <x:c r="C562" s="2" t="str">
        <x:v>RE-003088-1</x:v>
      </x:c>
      <x:c r="D562" s="2" t="str">
        <x:v>P.E. PENA DA LOBA (ampliado el 7-1-03)</x:v>
      </x:c>
      <x:c r="E562" s="4" t="n">
        <x:v>3.99</x:v>
      </x:c>
      <x:c r="F562" s="4" t="n">
        <x:f>J562*1.03</x:f>
        <x:v>4.01391</x:v>
      </x:c>
      <x:c r="G562" s="4" t="n">
        <x:v>24.42</x:v>
      </x:c>
      <x:c r="H562" s="4" t="n">
        <x:v>103.34</x:v>
      </x:c>
      <x:c r="I562" s="5" t="n">
        <x:f t="shared" si="8">F562*1000*H562</x:f>
        <x:v>414797.45940000005</x:v>
      </x:c>
      <x:c r="J562" t="n">
        <x:v>3.897</x:v>
      </x:c>
    </x:row>
    <x:row r="563">
      <x:c r="A563" s="3" t="n">
        <x:v>2023</x:v>
      </x:c>
      <x:c r="B563" s="2" t="str">
        <x:v>Octubre</x:v>
      </x:c>
      <x:c r="C563" s="2" t="str">
        <x:v>RE-003088-1</x:v>
      </x:c>
      <x:c r="D563" s="2" t="str">
        <x:v>P.E. PENA DA LOBA (ampliado el 7-1-03)</x:v>
      </x:c>
      <x:c r="E563" s="4" t="n">
        <x:v>5.389</x:v>
      </x:c>
      <x:c r="F563" s="4" t="n">
        <x:f>J563*0.99</x:f>
        <x:v>5.22918</x:v>
      </x:c>
      <x:c r="G563" s="4" t="n">
        <x:v>24.42</x:v>
      </x:c>
      <x:c r="H563" s="4" t="n">
        <x:v>90.14</x:v>
      </x:c>
      <x:c r="I563" s="5" t="n">
        <x:f t="shared" si="8">F563*1000*H563</x:f>
        <x:v>471358.28520000004</x:v>
      </x:c>
      <x:c r="J563" t="n">
        <x:v>5.282</x:v>
      </x:c>
    </x:row>
    <x:row r="564">
      <x:c r="A564" s="3" t="n">
        <x:v>2023</x:v>
      </x:c>
      <x:c r="B564" s="2" t="str">
        <x:v>Noviembre</x:v>
      </x:c>
      <x:c r="C564" s="2" t="str">
        <x:v>RE-003088-1</x:v>
      </x:c>
      <x:c r="D564" s="2" t="str">
        <x:v>P.E. PENA DA LOBA (ampliado el 7-1-03)</x:v>
      </x:c>
      <x:c r="E564" s="4" t="n">
        <x:v>7.221</x:v>
      </x:c>
      <x:c r="F564" s="4" t="n">
        <x:f>J564*0.95</x:f>
        <x:v>6.7013</x:v>
      </x:c>
      <x:c r="G564" s="4" t="n">
        <x:v>24.42</x:v>
      </x:c>
      <x:c r="H564" s="4" t="n">
        <x:v>63.45</x:v>
      </x:c>
      <x:c r="I564" s="5" t="n">
        <x:f t="shared" si="8">F564*1000*H564</x:f>
        <x:v>425197.48500000004</x:v>
      </x:c>
      <x:c r="J564" t="n">
        <x:v>7.054</x:v>
      </x:c>
    </x:row>
    <x:row r="565">
      <x:c r="A565" s="3" t="n">
        <x:v>2023</x:v>
      </x:c>
      <x:c r="B565" s="2" t="str">
        <x:v>Diciembre</x:v>
      </x:c>
      <x:c r="C565" s="2" t="str">
        <x:v>RE-003088-1</x:v>
      </x:c>
      <x:c r="D565" s="2" t="str">
        <x:v>P.E. PENA DA LOBA (ampliado el 7-1-03)</x:v>
      </x:c>
      <x:c r="E565" s="4" t="n">
        <x:v>7.976</x:v>
      </x:c>
      <x:c r="F565" s="4" t="n">
        <x:f>J565*1.02</x:f>
        <x:v>7.976400000000001</x:v>
      </x:c>
      <x:c r="G565" s="4" t="n">
        <x:v>24.42</x:v>
      </x:c>
      <x:c r="H565" s="4" t="n">
        <x:v>72.17</x:v>
      </x:c>
      <x:c r="I565" s="5" t="n">
        <x:f t="shared" si="8">F565*1000*H565</x:f>
        <x:v>575656.7880000001</x:v>
      </x:c>
      <x:c r="J565" t="n">
        <x:v>7.82</x:v>
      </x:c>
    </x:row>
    <x:row r="566">
      <x:c r="A566" s="3" t="n">
        <x:v>2023</x:v>
      </x:c>
      <x:c r="B566" s="2" t="str">
        <x:v>Enero</x:v>
      </x:c>
      <x:c r="C566" s="2" t="str">
        <x:v>RE-003141-1</x:v>
      </x:c>
      <x:c r="D566" s="2" t="str">
        <x:v>P.E. PENA GALLUDA</x:v>
      </x:c>
      <x:c r="E566" s="4" t="n">
        <x:v>0.147</x:v>
      </x:c>
      <x:c r="F566" s="4" t="n">
        <x:f>J566*0.98</x:f>
        <x:v>0.14112</x:v>
      </x:c>
      <x:c r="G566" s="4" t="n">
        <x:v>0.66</x:v>
      </x:c>
      <x:c r="H566" s="4" t="n">
        <x:v>69.55</x:v>
      </x:c>
      <x:c r="I566" s="5" t="n">
        <x:f t="shared" si="8">F566*1000*H566</x:f>
        <x:v>9814.896</x:v>
      </x:c>
      <x:c r="J566" t="n">
        <x:v>0.144</x:v>
      </x:c>
    </x:row>
    <x:row r="567">
      <x:c r="A567" s="3" t="n">
        <x:v>2023</x:v>
      </x:c>
      <x:c r="B567" s="2" t="str">
        <x:v>Febrero</x:v>
      </x:c>
      <x:c r="C567" s="2" t="str">
        <x:v>RE-003141-1</x:v>
      </x:c>
      <x:c r="D567" s="2" t="str">
        <x:v>P.E. PENA GALLUDA</x:v>
      </x:c>
      <x:c r="E567" s="4" t="n">
        <x:v>0.16</x:v>
      </x:c>
      <x:c r="F567" s="4" t="n">
        <x:f>J567*0.94</x:f>
        <x:v>0.14758</x:v>
      </x:c>
      <x:c r="G567" s="4" t="n">
        <x:v>0.66</x:v>
      </x:c>
      <x:c r="H567" s="4" t="n">
        <x:v>133.47</x:v>
      </x:c>
      <x:c r="I567" s="5" t="n">
        <x:f t="shared" si="8">F567*1000*H567</x:f>
        <x:v>19697.502599999996</x:v>
      </x:c>
      <x:c r="J567" t="n">
        <x:v>0.157</x:v>
      </x:c>
    </x:row>
    <x:row r="568">
      <x:c r="A568" s="3" t="n">
        <x:v>2023</x:v>
      </x:c>
      <x:c r="B568" s="2" t="str">
        <x:v>Marzo</x:v>
      </x:c>
      <x:c r="C568" s="2" t="str">
        <x:v>RE-003141-1</x:v>
      </x:c>
      <x:c r="D568" s="2" t="str">
        <x:v>P.E. PENA GALLUDA</x:v>
      </x:c>
      <x:c r="E568" s="4" t="n">
        <x:v>0.167</x:v>
      </x:c>
      <x:c r="F568" s="4" t="n">
        <x:f>J568*1.01</x:f>
        <x:v>0.16463</x:v>
      </x:c>
      <x:c r="G568" s="4" t="n">
        <x:v>0.66</x:v>
      </x:c>
      <x:c r="H568" s="4" t="n">
        <x:v>89.61</x:v>
      </x:c>
      <x:c r="I568" s="5" t="n">
        <x:f t="shared" si="8">F568*1000*H568</x:f>
        <x:v>14752.4943</x:v>
      </x:c>
      <x:c r="J568" t="n">
        <x:v>0.163</x:v>
      </x:c>
    </x:row>
    <x:row r="569">
      <x:c r="A569" s="3" t="n">
        <x:v>2023</x:v>
      </x:c>
      <x:c r="B569" s="2" t="str">
        <x:v>Abril</x:v>
      </x:c>
      <x:c r="C569" s="2" t="str">
        <x:v>RE-003141-1</x:v>
      </x:c>
      <x:c r="D569" s="2" t="str">
        <x:v>P.E. PENA GALLUDA</x:v>
      </x:c>
      <x:c r="E569" s="4" t="n">
        <x:v>0.128</x:v>
      </x:c>
      <x:c r="F569" s="4" t="n">
        <x:f>J569*0.97</x:f>
        <x:v>0.12125</x:v>
      </x:c>
      <x:c r="G569" s="4" t="n">
        <x:v>0.66</x:v>
      </x:c>
      <x:c r="H569" s="4" t="n">
        <x:v>73.73</x:v>
      </x:c>
      <x:c r="I569" s="5" t="n">
        <x:f t="shared" si="8">F569*1000*H569</x:f>
        <x:v>8939.7625</x:v>
      </x:c>
      <x:c r="J569" t="n">
        <x:v>0.125</x:v>
      </x:c>
    </x:row>
    <x:row r="570">
      <x:c r="A570" s="3" t="n">
        <x:v>2023</x:v>
      </x:c>
      <x:c r="B570" s="2" t="str">
        <x:v>Mayo</x:v>
      </x:c>
      <x:c r="C570" s="2" t="str">
        <x:v>RE-003141-1</x:v>
      </x:c>
      <x:c r="D570" s="2" t="str">
        <x:v>P.E. PENA GALLUDA</x:v>
      </x:c>
      <x:c r="E570" s="4" t="n">
        <x:v>0.099</x:v>
      </x:c>
      <x:c r="F570" s="4" t="n">
        <x:f>J570*1.04</x:f>
        <x:v>0.10088000000000001</x:v>
      </x:c>
      <x:c r="G570" s="4" t="n">
        <x:v>0.66</x:v>
      </x:c>
      <x:c r="H570" s="4" t="n">
        <x:v>74.21</x:v>
      </x:c>
      <x:c r="I570" s="5" t="n">
        <x:f t="shared" si="8">F570*1000*H570</x:f>
        <x:v>7486.3048</x:v>
      </x:c>
      <x:c r="J570" t="n">
        <x:v>0.097</x:v>
      </x:c>
    </x:row>
    <x:row r="571">
      <x:c r="A571" s="3" t="n">
        <x:v>2023</x:v>
      </x:c>
      <x:c r="B571" s="2" t="str">
        <x:v>Junio</x:v>
      </x:c>
      <x:c r="C571" s="2" t="str">
        <x:v>RE-003141-1</x:v>
      </x:c>
      <x:c r="D571" s="2" t="str">
        <x:v>P.E. PENA GALLUDA</x:v>
      </x:c>
      <x:c r="E571" s="4" t="n">
        <x:v>0.091</x:v>
      </x:c>
      <x:c r="F571" s="4" t="n">
        <x:f>J571*1</x:f>
        <x:v>0.089</x:v>
      </x:c>
      <x:c r="G571" s="4" t="n">
        <x:v>0.66</x:v>
      </x:c>
      <x:c r="H571" s="4" t="n">
        <x:v>93.02</x:v>
      </x:c>
      <x:c r="I571" s="5" t="n">
        <x:f t="shared" si="8">F571*1000*H571</x:f>
        <x:v>8278.779999999999</x:v>
      </x:c>
      <x:c r="J571" t="n">
        <x:v>0.089</x:v>
      </x:c>
    </x:row>
    <x:row r="572">
      <x:c r="A572" s="3" t="n">
        <x:v>2023</x:v>
      </x:c>
      <x:c r="B572" s="2" t="str">
        <x:v>Julio</x:v>
      </x:c>
      <x:c r="C572" s="2" t="str">
        <x:v>RE-003141-1</x:v>
      </x:c>
      <x:c r="D572" s="2" t="str">
        <x:v>P.E. PENA GALLUDA</x:v>
      </x:c>
      <x:c r="E572" s="4" t="n">
        <x:v>0.09</x:v>
      </x:c>
      <x:c r="F572" s="4" t="n">
        <x:f>J572*0.96</x:f>
        <x:v>0.08352</x:v>
      </x:c>
      <x:c r="G572" s="4" t="n">
        <x:v>0.66</x:v>
      </x:c>
      <x:c r="H572" s="4" t="n">
        <x:v>90.47</x:v>
      </x:c>
      <x:c r="I572" s="5" t="n">
        <x:f t="shared" si="8">F572*1000*H572</x:f>
        <x:v>7556.0544</x:v>
      </x:c>
      <x:c r="J572" t="n">
        <x:v>0.087</x:v>
      </x:c>
    </x:row>
    <x:row r="573">
      <x:c r="A573" s="3" t="n">
        <x:v>2023</x:v>
      </x:c>
      <x:c r="B573" s="2" t="str">
        <x:v>Agosto</x:v>
      </x:c>
      <x:c r="C573" s="2" t="str">
        <x:v>RE-003141-1</x:v>
      </x:c>
      <x:c r="D573" s="2" t="str">
        <x:v>P.E. PENA GALLUDA</x:v>
      </x:c>
      <x:c r="E573" s="4" t="n">
        <x:v>0.09</x:v>
      </x:c>
      <x:c r="F573" s="4" t="n">
        <x:f>J573*1.03</x:f>
        <x:v>0.09064</x:v>
      </x:c>
      <x:c r="G573" s="4" t="n">
        <x:v>0.66</x:v>
      </x:c>
      <x:c r="H573" s="4" t="n">
        <x:v>96.05</x:v>
      </x:c>
      <x:c r="I573" s="5" t="n">
        <x:f t="shared" si="8">F573*1000*H573</x:f>
        <x:v>8705.972</x:v>
      </x:c>
      <x:c r="J573" t="n">
        <x:v>0.088</x:v>
      </x:c>
    </x:row>
    <x:row r="574">
      <x:c r="A574" s="3" t="n">
        <x:v>2023</x:v>
      </x:c>
      <x:c r="B574" s="2" t="str">
        <x:v>Septiembre</x:v>
      </x:c>
      <x:c r="C574" s="2" t="str">
        <x:v>RE-003141-1</x:v>
      </x:c>
      <x:c r="D574" s="2" t="str">
        <x:v>P.E. PENA GALLUDA</x:v>
      </x:c>
      <x:c r="E574" s="4" t="n">
        <x:v>0.118</x:v>
      </x:c>
      <x:c r="F574" s="4" t="n">
        <x:f>J574*0.99</x:f>
        <x:v>0.11286</x:v>
      </x:c>
      <x:c r="G574" s="4" t="n">
        <x:v>0.66</x:v>
      </x:c>
      <x:c r="H574" s="4" t="n">
        <x:v>103.34</x:v>
      </x:c>
      <x:c r="I574" s="5" t="n">
        <x:f t="shared" si="8">F574*1000*H574</x:f>
        <x:v>11662.9524</x:v>
      </x:c>
      <x:c r="J574" t="n">
        <x:v>0.114</x:v>
      </x:c>
    </x:row>
    <x:row r="575">
      <x:c r="A575" s="3" t="n">
        <x:v>2023</x:v>
      </x:c>
      <x:c r="B575" s="2" t="str">
        <x:v>Octubre</x:v>
      </x:c>
      <x:c r="C575" s="2" t="str">
        <x:v>RE-003141-1</x:v>
      </x:c>
      <x:c r="D575" s="2" t="str">
        <x:v>P.E. PENA GALLUDA</x:v>
      </x:c>
      <x:c r="E575" s="4" t="n">
        <x:v>0.15</x:v>
      </x:c>
      <x:c r="F575" s="4" t="n">
        <x:f>J575*0.95</x:f>
        <x:v>0.1387</x:v>
      </x:c>
      <x:c r="G575" s="4" t="n">
        <x:v>0.66</x:v>
      </x:c>
      <x:c r="H575" s="4" t="n">
        <x:v>90.14</x:v>
      </x:c>
      <x:c r="I575" s="5" t="n">
        <x:f t="shared" si="8">F575*1000*H575</x:f>
        <x:v>12502.418</x:v>
      </x:c>
      <x:c r="J575" t="n">
        <x:v>0.146</x:v>
      </x:c>
    </x:row>
    <x:row r="576">
      <x:c r="A576" s="3" t="n">
        <x:v>2023</x:v>
      </x:c>
      <x:c r="B576" s="2" t="str">
        <x:v>Noviembre</x:v>
      </x:c>
      <x:c r="C576" s="2" t="str">
        <x:v>RE-003141-1</x:v>
      </x:c>
      <x:c r="D576" s="2" t="str">
        <x:v>P.E. PENA GALLUDA</x:v>
      </x:c>
      <x:c r="E576" s="4" t="n">
        <x:v>0.171</x:v>
      </x:c>
      <x:c r="F576" s="4" t="n">
        <x:f>J576*1.02</x:f>
        <x:v>0.17034000000000002</x:v>
      </x:c>
      <x:c r="G576" s="4" t="n">
        <x:v>0.66</x:v>
      </x:c>
      <x:c r="H576" s="4" t="n">
        <x:v>63.45</x:v>
      </x:c>
      <x:c r="I576" s="5" t="n">
        <x:f t="shared" si="8">F576*1000*H576</x:f>
        <x:v>10808.073000000002</x:v>
      </x:c>
      <x:c r="J576" t="n">
        <x:v>0.167</x:v>
      </x:c>
    </x:row>
    <x:row r="577">
      <x:c r="A577" s="3" t="n">
        <x:v>2023</x:v>
      </x:c>
      <x:c r="B577" s="2" t="str">
        <x:v>Diciembre</x:v>
      </x:c>
      <x:c r="C577" s="2" t="str">
        <x:v>RE-003141-1</x:v>
      </x:c>
      <x:c r="D577" s="2" t="str">
        <x:v>P.E. PENA GALLUDA</x:v>
      </x:c>
      <x:c r="E577" s="4" t="n">
        <x:v>0.15</x:v>
      </x:c>
      <x:c r="F577" s="4" t="n">
        <x:f>J577*0.98</x:f>
        <x:v>0.14307999999999998</x:v>
      </x:c>
      <x:c r="G577" s="4" t="n">
        <x:v>0.66</x:v>
      </x:c>
      <x:c r="H577" s="4" t="n">
        <x:v>72.17</x:v>
      </x:c>
      <x:c r="I577" s="5" t="n">
        <x:f t="shared" si="8">F577*1000*H577</x:f>
        <x:v>10326.0836</x:v>
      </x:c>
      <x:c r="J577" t="n">
        <x:v>0.146</x:v>
      </x:c>
    </x:row>
    <x:row r="578">
      <x:c r="A578" s="3" t="n">
        <x:v>2023</x:v>
      </x:c>
      <x:c r="B578" s="2" t="str">
        <x:v>Enero</x:v>
      </x:c>
      <x:c r="C578" s="2" t="str">
        <x:v>RE-003232-1</x:v>
      </x:c>
      <x:c r="D578" s="2" t="str">
        <x:v>P. E. DE PAXAREIRAS II D Y E (ampliado el 22-9-02)</x:v>
      </x:c>
      <x:c r="E578" s="4" t="n">
        <x:v>10.924</x:v>
      </x:c>
      <x:c r="F578" s="4" t="n">
        <x:f>J578*0.94</x:f>
        <x:v>9.943319999999998</x:v>
      </x:c>
      <x:c r="G578" s="4" t="n">
        <x:v>34.8</x:v>
      </x:c>
      <x:c r="H578" s="4" t="n">
        <x:v>69.55</x:v>
      </x:c>
      <x:c r="I578" s="5" t="n">
        <x:f t="shared" ref="I578:I641" si="9">F578*1000*H578</x:f>
        <x:v>691557.9059999998</x:v>
      </x:c>
      <x:c r="J578" t="n">
        <x:v>10.578</x:v>
      </x:c>
    </x:row>
    <x:row r="579">
      <x:c r="A579" s="3" t="n">
        <x:v>2023</x:v>
      </x:c>
      <x:c r="B579" s="2" t="str">
        <x:v>Febrero</x:v>
      </x:c>
      <x:c r="C579" s="2" t="str">
        <x:v>RE-003232-1</x:v>
      </x:c>
      <x:c r="D579" s="2" t="str">
        <x:v>P. E. DE PAXAREIRAS II D Y E (ampliado el 22-9-02)</x:v>
      </x:c>
      <x:c r="E579" s="4" t="n">
        <x:v>8.725</x:v>
      </x:c>
      <x:c r="F579" s="4" t="n">
        <x:f>J579*1.01</x:f>
        <x:v>8.55268</x:v>
      </x:c>
      <x:c r="G579" s="4" t="n">
        <x:v>34.8</x:v>
      </x:c>
      <x:c r="H579" s="4" t="n">
        <x:v>133.47</x:v>
      </x:c>
      <x:c r="I579" s="5" t="n">
        <x:f t="shared" si="9">F579*1000*H579</x:f>
        <x:v>1141526.1996</x:v>
      </x:c>
      <x:c r="J579" t="n">
        <x:v>8.468</x:v>
      </x:c>
    </x:row>
    <x:row r="580">
      <x:c r="A580" s="3" t="n">
        <x:v>2023</x:v>
      </x:c>
      <x:c r="B580" s="2" t="str">
        <x:v>Marzo</x:v>
      </x:c>
      <x:c r="C580" s="2" t="str">
        <x:v>RE-003232-1</x:v>
      </x:c>
      <x:c r="D580" s="2" t="str">
        <x:v>P. E. DE PAXAREIRAS II D Y E (ampliado el 22-9-02)</x:v>
      </x:c>
      <x:c r="E580" s="4" t="n">
        <x:v>8.407</x:v>
      </x:c>
      <x:c r="F580" s="4" t="n">
        <x:f>J580*0.97</x:f>
        <x:v>8.00347</x:v>
      </x:c>
      <x:c r="G580" s="4" t="n">
        <x:v>34.8</x:v>
      </x:c>
      <x:c r="H580" s="4" t="n">
        <x:v>89.61</x:v>
      </x:c>
      <x:c r="I580" s="5" t="n">
        <x:f t="shared" si="9">F580*1000*H580</x:f>
        <x:v>717190.9467</x:v>
      </x:c>
      <x:c r="J580" t="n">
        <x:v>8.251</x:v>
      </x:c>
    </x:row>
    <x:row r="581">
      <x:c r="A581" s="3" t="n">
        <x:v>2023</x:v>
      </x:c>
      <x:c r="B581" s="2" t="str">
        <x:v>Abril</x:v>
      </x:c>
      <x:c r="C581" s="2" t="str">
        <x:v>RE-003232-1</x:v>
      </x:c>
      <x:c r="D581" s="2" t="str">
        <x:v>P. E. DE PAXAREIRAS II D Y E (ampliado el 22-9-02)</x:v>
      </x:c>
      <x:c r="E581" s="4" t="n">
        <x:v>6.319</x:v>
      </x:c>
      <x:c r="F581" s="4" t="n">
        <x:f>J581*1.04</x:f>
        <x:v>6.40848</x:v>
      </x:c>
      <x:c r="G581" s="4" t="n">
        <x:v>34.8</x:v>
      </x:c>
      <x:c r="H581" s="4" t="n">
        <x:v>73.73</x:v>
      </x:c>
      <x:c r="I581" s="5" t="n">
        <x:f t="shared" si="9">F581*1000*H581</x:f>
        <x:v>472497.2304</x:v>
      </x:c>
      <x:c r="J581" t="n">
        <x:v>6.162</x:v>
      </x:c>
    </x:row>
    <x:row r="582">
      <x:c r="A582" s="3" t="n">
        <x:v>2023</x:v>
      </x:c>
      <x:c r="B582" s="2" t="str">
        <x:v>Mayo</x:v>
      </x:c>
      <x:c r="C582" s="2" t="str">
        <x:v>RE-003232-1</x:v>
      </x:c>
      <x:c r="D582" s="2" t="str">
        <x:v>P. E. DE PAXAREIRAS II D Y E (ampliado el 22-9-02)</x:v>
      </x:c>
      <x:c r="E582" s="4" t="n">
        <x:v>5.496</x:v>
      </x:c>
      <x:c r="F582" s="4" t="n">
        <x:f>J582*1</x:f>
        <x:v>5.394</x:v>
      </x:c>
      <x:c r="G582" s="4" t="n">
        <x:v>34.8</x:v>
      </x:c>
      <x:c r="H582" s="4" t="n">
        <x:v>74.21</x:v>
      </x:c>
      <x:c r="I582" s="5" t="n">
        <x:f t="shared" si="9">F582*1000*H582</x:f>
        <x:v>400288.74</x:v>
      </x:c>
      <x:c r="J582" t="n">
        <x:v>5.394</x:v>
      </x:c>
    </x:row>
    <x:row r="583">
      <x:c r="A583" s="3" t="n">
        <x:v>2023</x:v>
      </x:c>
      <x:c r="B583" s="2" t="str">
        <x:v>Junio</x:v>
      </x:c>
      <x:c r="C583" s="2" t="str">
        <x:v>RE-003232-1</x:v>
      </x:c>
      <x:c r="D583" s="2" t="str">
        <x:v>P. E. DE PAXAREIRAS II D Y E (ampliado el 22-9-02)</x:v>
      </x:c>
      <x:c r="E583" s="4" t="n">
        <x:v>5.576</x:v>
      </x:c>
      <x:c r="F583" s="4" t="n">
        <x:f>J583*0.96</x:f>
        <x:v>5.2224</x:v>
      </x:c>
      <x:c r="G583" s="4" t="n">
        <x:v>34.8</x:v>
      </x:c>
      <x:c r="H583" s="4" t="n">
        <x:v>93.02</x:v>
      </x:c>
      <x:c r="I583" s="5" t="n">
        <x:f t="shared" si="9">F583*1000*H583</x:f>
        <x:v>485787.64800000004</x:v>
      </x:c>
      <x:c r="J583" t="n">
        <x:v>5.44</x:v>
      </x:c>
    </x:row>
    <x:row r="584">
      <x:c r="A584" s="3" t="n">
        <x:v>2023</x:v>
      </x:c>
      <x:c r="B584" s="2" t="str">
        <x:v>Julio</x:v>
      </x:c>
      <x:c r="C584" s="2" t="str">
        <x:v>RE-003232-1</x:v>
      </x:c>
      <x:c r="D584" s="2" t="str">
        <x:v>P. E. DE PAXAREIRAS II D Y E (ampliado el 22-9-02)</x:v>
      </x:c>
      <x:c r="E584" s="4" t="n">
        <x:v>5.331</x:v>
      </x:c>
      <x:c r="F584" s="4" t="n">
        <x:f>J584*1.03</x:f>
        <x:v>5.37145</x:v>
      </x:c>
      <x:c r="G584" s="4" t="n">
        <x:v>34.8</x:v>
      </x:c>
      <x:c r="H584" s="4" t="n">
        <x:v>90.47</x:v>
      </x:c>
      <x:c r="I584" s="5" t="n">
        <x:f t="shared" si="9">F584*1000*H584</x:f>
        <x:v>485955.0815000001</x:v>
      </x:c>
      <x:c r="J584" t="n">
        <x:v>5.215</x:v>
      </x:c>
    </x:row>
    <x:row r="585">
      <x:c r="A585" s="3" t="n">
        <x:v>2023</x:v>
      </x:c>
      <x:c r="B585" s="2" t="str">
        <x:v>Agosto</x:v>
      </x:c>
      <x:c r="C585" s="2" t="str">
        <x:v>RE-003232-1</x:v>
      </x:c>
      <x:c r="D585" s="2" t="str">
        <x:v>P. E. DE PAXAREIRAS II D Y E (ampliado el 22-9-02)</x:v>
      </x:c>
      <x:c r="E585" s="4" t="n">
        <x:v>5.536</x:v>
      </x:c>
      <x:c r="F585" s="4" t="n">
        <x:f>J585*0.99</x:f>
        <x:v>5.31333</x:v>
      </x:c>
      <x:c r="G585" s="4" t="n">
        <x:v>34.8</x:v>
      </x:c>
      <x:c r="H585" s="4" t="n">
        <x:v>96.05</x:v>
      </x:c>
      <x:c r="I585" s="5" t="n">
        <x:f t="shared" si="9">F585*1000*H585</x:f>
        <x:v>510345.3465</x:v>
      </x:c>
      <x:c r="J585" t="n">
        <x:v>5.367</x:v>
      </x:c>
    </x:row>
    <x:row r="586">
      <x:c r="A586" s="3" t="n">
        <x:v>2023</x:v>
      </x:c>
      <x:c r="B586" s="2" t="str">
        <x:v>Septiembre</x:v>
      </x:c>
      <x:c r="C586" s="2" t="str">
        <x:v>RE-003232-1</x:v>
      </x:c>
      <x:c r="D586" s="2" t="str">
        <x:v>P. E. DE PAXAREIRAS II D Y E (ampliado el 22-9-02)</x:v>
      </x:c>
      <x:c r="E586" s="4" t="n">
        <x:v>6.623</x:v>
      </x:c>
      <x:c r="F586" s="4" t="n">
        <x:f>J586*0.95</x:f>
        <x:v>6.11135</x:v>
      </x:c>
      <x:c r="G586" s="4" t="n">
        <x:v>34.8</x:v>
      </x:c>
      <x:c r="H586" s="4" t="n">
        <x:v>103.34</x:v>
      </x:c>
      <x:c r="I586" s="5" t="n">
        <x:f t="shared" si="9">F586*1000*H586</x:f>
        <x:v>631546.909</x:v>
      </x:c>
      <x:c r="J586" t="n">
        <x:v>6.433</x:v>
      </x:c>
    </x:row>
    <x:row r="587">
      <x:c r="A587" s="3" t="n">
        <x:v>2023</x:v>
      </x:c>
      <x:c r="B587" s="2" t="str">
        <x:v>Octubre</x:v>
      </x:c>
      <x:c r="C587" s="2" t="str">
        <x:v>RE-003232-1</x:v>
      </x:c>
      <x:c r="D587" s="2" t="str">
        <x:v>P. E. DE PAXAREIRAS II D Y E (ampliado el 22-9-02)</x:v>
      </x:c>
      <x:c r="E587" s="4" t="n">
        <x:v>6.874</x:v>
      </x:c>
      <x:c r="F587" s="4" t="n">
        <x:f>J587*1.02</x:f>
        <x:v>6.87174</x:v>
      </x:c>
      <x:c r="G587" s="4" t="n">
        <x:v>34.8</x:v>
      </x:c>
      <x:c r="H587" s="4" t="n">
        <x:v>90.14</x:v>
      </x:c>
      <x:c r="I587" s="5" t="n">
        <x:f t="shared" si="9">F587*1000*H587</x:f>
        <x:v>619418.6436</x:v>
      </x:c>
      <x:c r="J587" t="n">
        <x:v>6.737</x:v>
      </x:c>
    </x:row>
    <x:row r="588">
      <x:c r="A588" s="3" t="n">
        <x:v>2023</x:v>
      </x:c>
      <x:c r="B588" s="2" t="str">
        <x:v>Noviembre</x:v>
      </x:c>
      <x:c r="C588" s="2" t="str">
        <x:v>RE-003232-1</x:v>
      </x:c>
      <x:c r="D588" s="2" t="str">
        <x:v>P. E. DE PAXAREIRAS II D Y E (ampliado el 22-9-02)</x:v>
      </x:c>
      <x:c r="E588" s="4" t="n">
        <x:v>7.779</x:v>
      </x:c>
      <x:c r="F588" s="4" t="n">
        <x:f>J588*0.98</x:f>
        <x:v>7.4333</x:v>
      </x:c>
      <x:c r="G588" s="4" t="n">
        <x:v>34.8</x:v>
      </x:c>
      <x:c r="H588" s="4" t="n">
        <x:v>63.45</x:v>
      </x:c>
      <x:c r="I588" s="5" t="n">
        <x:f t="shared" si="9">F588*1000*H588</x:f>
        <x:v>471642.885</x:v>
      </x:c>
      <x:c r="J588" t="n">
        <x:v>7.585</x:v>
      </x:c>
    </x:row>
    <x:row r="589">
      <x:c r="A589" s="3" t="n">
        <x:v>2023</x:v>
      </x:c>
      <x:c r="B589" s="2" t="str">
        <x:v>Diciembre</x:v>
      </x:c>
      <x:c r="C589" s="2" t="str">
        <x:v>RE-003232-1</x:v>
      </x:c>
      <x:c r="D589" s="2" t="str">
        <x:v>P. E. DE PAXAREIRAS II D Y E (ampliado el 22-9-02)</x:v>
      </x:c>
      <x:c r="E589" s="4" t="n">
        <x:v>9.67</x:v>
      </x:c>
      <x:c r="F589" s="4" t="n">
        <x:f>J589*0.94</x:f>
        <x:v>8.81814</x:v>
      </x:c>
      <x:c r="G589" s="4" t="n">
        <x:v>34.8</x:v>
      </x:c>
      <x:c r="H589" s="4" t="n">
        <x:v>72.17</x:v>
      </x:c>
      <x:c r="I589" s="5" t="n">
        <x:f t="shared" si="9">F589*1000*H589</x:f>
        <x:v>636405.1638</x:v>
      </x:c>
      <x:c r="J589" t="n">
        <x:v>9.381</x:v>
      </x:c>
    </x:row>
    <x:row r="590">
      <x:c r="A590" s="3" t="n">
        <x:v>2023</x:v>
      </x:c>
      <x:c r="B590" s="2" t="str">
        <x:v>Enero</x:v>
      </x:c>
      <x:c r="C590" s="2" t="str">
        <x:v>RE-003501-1</x:v>
      </x:c>
      <x:c r="D590" s="2" t="str">
        <x:v>P. E. CURRAS(PAXAREIRAS 2F AMPLIACION)</x:v>
      </x:c>
      <x:c r="E590" s="4" t="n">
        <x:v>2.169</x:v>
      </x:c>
      <x:c r="F590" s="4" t="n">
        <x:f>J590*1.01</x:f>
        <x:v>2.14625</x:v>
      </x:c>
      <x:c r="G590" s="4" t="n">
        <x:v>7.8</x:v>
      </x:c>
      <x:c r="H590" s="4" t="n">
        <x:v>69.55</x:v>
      </x:c>
      <x:c r="I590" s="5" t="n">
        <x:f t="shared" si="9">F590*1000*H590</x:f>
        <x:v>149271.6875</x:v>
      </x:c>
      <x:c r="J590" t="n">
        <x:v>2.125</x:v>
      </x:c>
    </x:row>
    <x:row r="591">
      <x:c r="A591" s="3" t="n">
        <x:v>2023</x:v>
      </x:c>
      <x:c r="B591" s="2" t="str">
        <x:v>Febrero</x:v>
      </x:c>
      <x:c r="C591" s="2" t="str">
        <x:v>RE-003501-1</x:v>
      </x:c>
      <x:c r="D591" s="2" t="str">
        <x:v>P. E. CURRAS(PAXAREIRAS 2F AMPLIACION)</x:v>
      </x:c>
      <x:c r="E591" s="4" t="n">
        <x:v>1.958</x:v>
      </x:c>
      <x:c r="F591" s="4" t="n">
        <x:f>J591*0.97</x:f>
        <x:v>1.8439699999999999</x:v>
      </x:c>
      <x:c r="G591" s="4" t="n">
        <x:v>7.8</x:v>
      </x:c>
      <x:c r="H591" s="4" t="n">
        <x:v>133.47</x:v>
      </x:c>
      <x:c r="I591" s="5" t="n">
        <x:f t="shared" si="9">F591*1000*H591</x:f>
        <x:v>246114.67589999997</x:v>
      </x:c>
      <x:c r="J591" t="n">
        <x:v>1.901</x:v>
      </x:c>
    </x:row>
    <x:row r="592">
      <x:c r="A592" s="3" t="n">
        <x:v>2023</x:v>
      </x:c>
      <x:c r="B592" s="2" t="str">
        <x:v>Marzo</x:v>
      </x:c>
      <x:c r="C592" s="2" t="str">
        <x:v>RE-003501-1</x:v>
      </x:c>
      <x:c r="D592" s="2" t="str">
        <x:v>P. E. CURRAS(PAXAREIRAS 2F AMPLIACION)</x:v>
      </x:c>
      <x:c r="E592" s="4" t="n">
        <x:v>1.749</x:v>
      </x:c>
      <x:c r="F592" s="4" t="n">
        <x:f>J592*1.04</x:f>
        <x:v>1.79088</x:v>
      </x:c>
      <x:c r="G592" s="4" t="n">
        <x:v>7.8</x:v>
      </x:c>
      <x:c r="H592" s="4" t="n">
        <x:v>89.61</x:v>
      </x:c>
      <x:c r="I592" s="5" t="n">
        <x:f t="shared" si="9">F592*1000*H592</x:f>
        <x:v>160480.7568</x:v>
      </x:c>
      <x:c r="J592" t="n">
        <x:v>1.722</x:v>
      </x:c>
    </x:row>
    <x:row r="593">
      <x:c r="A593" s="3" t="n">
        <x:v>2023</x:v>
      </x:c>
      <x:c r="B593" s="2" t="str">
        <x:v>Abril</x:v>
      </x:c>
      <x:c r="C593" s="2" t="str">
        <x:v>RE-003501-1</x:v>
      </x:c>
      <x:c r="D593" s="2" t="str">
        <x:v>P. E. CURRAS(PAXAREIRAS 2F AMPLIACION)</x:v>
      </x:c>
      <x:c r="E593" s="4" t="n">
        <x:v>1.474</x:v>
      </x:c>
      <x:c r="F593" s="4" t="n">
        <x:f>J593*1</x:f>
        <x:v>1.438</x:v>
      </x:c>
      <x:c r="G593" s="4" t="n">
        <x:v>7.8</x:v>
      </x:c>
      <x:c r="H593" s="4" t="n">
        <x:v>73.73</x:v>
      </x:c>
      <x:c r="I593" s="5" t="n">
        <x:f t="shared" si="9">F593*1000*H593</x:f>
        <x:v>106023.74</x:v>
      </x:c>
      <x:c r="J593" t="n">
        <x:v>1.438</x:v>
      </x:c>
    </x:row>
    <x:row r="594">
      <x:c r="A594" s="3" t="n">
        <x:v>2023</x:v>
      </x:c>
      <x:c r="B594" s="2" t="str">
        <x:v>Mayo</x:v>
      </x:c>
      <x:c r="C594" s="2" t="str">
        <x:v>RE-003501-1</x:v>
      </x:c>
      <x:c r="D594" s="2" t="str">
        <x:v>P. E. CURRAS(PAXAREIRAS 2F AMPLIACION)</x:v>
      </x:c>
      <x:c r="E594" s="4" t="n">
        <x:v>1.336</x:v>
      </x:c>
      <x:c r="F594" s="4" t="n">
        <x:f>J594*0.96</x:f>
        <x:v>1.2489599999999998</x:v>
      </x:c>
      <x:c r="G594" s="4" t="n">
        <x:v>7.8</x:v>
      </x:c>
      <x:c r="H594" s="4" t="n">
        <x:v>74.21</x:v>
      </x:c>
      <x:c r="I594" s="5" t="n">
        <x:f t="shared" si="9">F594*1000*H594</x:f>
        <x:v>92685.32159999998</x:v>
      </x:c>
      <x:c r="J594" t="n">
        <x:v>1.301</x:v>
      </x:c>
    </x:row>
    <x:row r="595">
      <x:c r="A595" s="3" t="n">
        <x:v>2023</x:v>
      </x:c>
      <x:c r="B595" s="2" t="str">
        <x:v>Junio</x:v>
      </x:c>
      <x:c r="C595" s="2" t="str">
        <x:v>RE-003501-1</x:v>
      </x:c>
      <x:c r="D595" s="2" t="str">
        <x:v>P. E. CURRAS(PAXAREIRAS 2F AMPLIACION)</x:v>
      </x:c>
      <x:c r="E595" s="4" t="n">
        <x:v>1.36</x:v>
      </x:c>
      <x:c r="F595" s="4" t="n">
        <x:f>J595*1.03</x:f>
        <x:v>1.37299</x:v>
      </x:c>
      <x:c r="G595" s="4" t="n">
        <x:v>7.8</x:v>
      </x:c>
      <x:c r="H595" s="4" t="n">
        <x:v>93.02</x:v>
      </x:c>
      <x:c r="I595" s="5" t="n">
        <x:f t="shared" si="9">F595*1000*H595</x:f>
        <x:v>127715.52979999999</x:v>
      </x:c>
      <x:c r="J595" t="n">
        <x:v>1.333</x:v>
      </x:c>
    </x:row>
    <x:row r="596">
      <x:c r="A596" s="3" t="n">
        <x:v>2023</x:v>
      </x:c>
      <x:c r="B596" s="2" t="str">
        <x:v>Julio</x:v>
      </x:c>
      <x:c r="C596" s="2" t="str">
        <x:v>RE-003501-1</x:v>
      </x:c>
      <x:c r="D596" s="2" t="str">
        <x:v>P. E. CURRAS(PAXAREIRAS 2F AMPLIACION)</x:v>
      </x:c>
      <x:c r="E596" s="4" t="n">
        <x:v>1.219</x:v>
      </x:c>
      <x:c r="F596" s="4" t="n">
        <x:f>J596*0.99</x:f>
        <x:v>1.17513</x:v>
      </x:c>
      <x:c r="G596" s="4" t="n">
        <x:v>7.8</x:v>
      </x:c>
      <x:c r="H596" s="4" t="n">
        <x:v>90.47</x:v>
      </x:c>
      <x:c r="I596" s="5" t="n">
        <x:f t="shared" si="9">F596*1000*H596</x:f>
        <x:v>106314.0111</x:v>
      </x:c>
      <x:c r="J596" t="n">
        <x:v>1.187</x:v>
      </x:c>
    </x:row>
    <x:row r="597">
      <x:c r="A597" s="3" t="n">
        <x:v>2023</x:v>
      </x:c>
      <x:c r="B597" s="2" t="str">
        <x:v>Agosto</x:v>
      </x:c>
      <x:c r="C597" s="2" t="str">
        <x:v>RE-003501-1</x:v>
      </x:c>
      <x:c r="D597" s="2" t="str">
        <x:v>P. E. CURRAS(PAXAREIRAS 2F AMPLIACION)</x:v>
      </x:c>
      <x:c r="E597" s="4" t="n">
        <x:v>1.202</x:v>
      </x:c>
      <x:c r="F597" s="4" t="n">
        <x:f>J597*0.95</x:f>
        <x:v>1.12195</x:v>
      </x:c>
      <x:c r="G597" s="4" t="n">
        <x:v>7.8</x:v>
      </x:c>
      <x:c r="H597" s="4" t="n">
        <x:v>96.05</x:v>
      </x:c>
      <x:c r="I597" s="5" t="n">
        <x:f t="shared" si="9">F597*1000*H597</x:f>
        <x:v>107763.2975</x:v>
      </x:c>
      <x:c r="J597" t="n">
        <x:v>1.181</x:v>
      </x:c>
    </x:row>
    <x:row r="598">
      <x:c r="A598" s="3" t="n">
        <x:v>2023</x:v>
      </x:c>
      <x:c r="B598" s="2" t="str">
        <x:v>Septiembre</x:v>
      </x:c>
      <x:c r="C598" s="2" t="str">
        <x:v>RE-003501-1</x:v>
      </x:c>
      <x:c r="D598" s="2" t="str">
        <x:v>P. E. CURRAS(PAXAREIRAS 2F AMPLIACION)</x:v>
      </x:c>
      <x:c r="E598" s="4" t="n">
        <x:v>1.415</x:v>
      </x:c>
      <x:c r="F598" s="4" t="n">
        <x:f>J598*1.02</x:f>
        <x:v>1.3974000000000002</x:v>
      </x:c>
      <x:c r="G598" s="4" t="n">
        <x:v>7.8</x:v>
      </x:c>
      <x:c r="H598" s="4" t="n">
        <x:v>103.34</x:v>
      </x:c>
      <x:c r="I598" s="5" t="n">
        <x:f t="shared" si="9">F598*1000*H598</x:f>
        <x:v>144407.31600000002</x:v>
      </x:c>
      <x:c r="J598" t="n">
        <x:v>1.37</x:v>
      </x:c>
    </x:row>
    <x:row r="599">
      <x:c r="A599" s="3" t="n">
        <x:v>2023</x:v>
      </x:c>
      <x:c r="B599" s="2" t="str">
        <x:v>Octubre</x:v>
      </x:c>
      <x:c r="C599" s="2" t="str">
        <x:v>RE-003501-1</x:v>
      </x:c>
      <x:c r="D599" s="2" t="str">
        <x:v>P. E. CURRAS(PAXAREIRAS 2F AMPLIACION)</x:v>
      </x:c>
      <x:c r="E599" s="4" t="n">
        <x:v>1.663</x:v>
      </x:c>
      <x:c r="F599" s="4" t="n">
        <x:f>J599*0.98</x:f>
        <x:v>1.60426</x:v>
      </x:c>
      <x:c r="G599" s="4" t="n">
        <x:v>7.8</x:v>
      </x:c>
      <x:c r="H599" s="4" t="n">
        <x:v>90.14</x:v>
      </x:c>
      <x:c r="I599" s="5" t="n">
        <x:f t="shared" si="9">F599*1000*H599</x:f>
        <x:v>144607.9964</x:v>
      </x:c>
      <x:c r="J599" t="n">
        <x:v>1.637</x:v>
      </x:c>
    </x:row>
    <x:row r="600">
      <x:c r="A600" s="3" t="n">
        <x:v>2023</x:v>
      </x:c>
      <x:c r="B600" s="2" t="str">
        <x:v>Noviembre</x:v>
      </x:c>
      <x:c r="C600" s="2" t="str">
        <x:v>RE-003501-1</x:v>
      </x:c>
      <x:c r="D600" s="2" t="str">
        <x:v>P. E. CURRAS(PAXAREIRAS 2F AMPLIACION)</x:v>
      </x:c>
      <x:c r="E600" s="4" t="n">
        <x:v>2.017</x:v>
      </x:c>
      <x:c r="F600" s="4" t="n">
        <x:f>J600*0.94</x:f>
        <x:v>1.8668399999999998</x:v>
      </x:c>
      <x:c r="G600" s="4" t="n">
        <x:v>7.8</x:v>
      </x:c>
      <x:c r="H600" s="4" t="n">
        <x:v>63.45</x:v>
      </x:c>
      <x:c r="I600" s="5" t="n">
        <x:f t="shared" si="9">F600*1000*H600</x:f>
        <x:v>118450.998</x:v>
      </x:c>
      <x:c r="J600" t="n">
        <x:v>1.986</x:v>
      </x:c>
    </x:row>
    <x:row r="601">
      <x:c r="A601" s="3" t="n">
        <x:v>2023</x:v>
      </x:c>
      <x:c r="B601" s="2" t="str">
        <x:v>Diciembre</x:v>
      </x:c>
      <x:c r="C601" s="2" t="str">
        <x:v>RE-003501-1</x:v>
      </x:c>
      <x:c r="D601" s="2" t="str">
        <x:v>P. E. CURRAS(PAXAREIRAS 2F AMPLIACION)</x:v>
      </x:c>
      <x:c r="E601" s="4" t="n">
        <x:v>2.376</x:v>
      </x:c>
      <x:c r="F601" s="4" t="n">
        <x:f>J601*1.01</x:f>
        <x:v>2.3331</x:v>
      </x:c>
      <x:c r="G601" s="4" t="n">
        <x:v>7.8</x:v>
      </x:c>
      <x:c r="H601" s="4" t="n">
        <x:v>72.17</x:v>
      </x:c>
      <x:c r="I601" s="5" t="n">
        <x:f t="shared" si="9">F601*1000*H601</x:f>
        <x:v>168379.827</x:v>
      </x:c>
      <x:c r="J601" t="n">
        <x:v>2.31</x:v>
      </x:c>
    </x:row>
    <x:row r="602">
      <x:c r="A602" s="3" t="n">
        <x:v>2023</x:v>
      </x:c>
      <x:c r="B602" s="2" t="str">
        <x:v>Enero</x:v>
      </x:c>
      <x:c r="C602" s="2" t="str">
        <x:v>RE-003502-1</x:v>
      </x:c>
      <x:c r="D602" s="2" t="str">
        <x:v>P. E. FALADOIRA</x:v>
      </x:c>
      <x:c r="E602" s="4" t="n">
        <x:v>7.405</x:v>
      </x:c>
      <x:c r="F602" s="4" t="n">
        <x:f>J602*0.97</x:f>
        <x:v>6.98788</x:v>
      </x:c>
      <x:c r="G602" s="4" t="n">
        <x:v>24.42</x:v>
      </x:c>
      <x:c r="H602" s="4" t="n">
        <x:v>69.55</x:v>
      </x:c>
      <x:c r="I602" s="5" t="n">
        <x:f t="shared" si="9">F602*1000*H602</x:f>
        <x:v>486007.05399999995</x:v>
      </x:c>
      <x:c r="J602" t="n">
        <x:v>7.204</x:v>
      </x:c>
    </x:row>
    <x:row r="603">
      <x:c r="A603" s="3" t="n">
        <x:v>2023</x:v>
      </x:c>
      <x:c r="B603" s="2" t="str">
        <x:v>Febrero</x:v>
      </x:c>
      <x:c r="C603" s="2" t="str">
        <x:v>RE-003502-1</x:v>
      </x:c>
      <x:c r="D603" s="2" t="str">
        <x:v>P. E. FALADOIRA</x:v>
      </x:c>
      <x:c r="E603" s="4" t="n">
        <x:v>6.14</x:v>
      </x:c>
      <x:c r="F603" s="4" t="n">
        <x:f>J603*1.04</x:f>
        <x:v>6.188000000000001</x:v>
      </x:c>
      <x:c r="G603" s="4" t="n">
        <x:v>24.42</x:v>
      </x:c>
      <x:c r="H603" s="4" t="n">
        <x:v>133.47</x:v>
      </x:c>
      <x:c r="I603" s="5" t="n">
        <x:f t="shared" si="9">F603*1000*H603</x:f>
        <x:v>825912.3600000001</x:v>
      </x:c>
      <x:c r="J603" t="n">
        <x:v>5.95</x:v>
      </x:c>
    </x:row>
    <x:row r="604">
      <x:c r="A604" s="3" t="n">
        <x:v>2023</x:v>
      </x:c>
      <x:c r="B604" s="2" t="str">
        <x:v>Marzo</x:v>
      </x:c>
      <x:c r="C604" s="2" t="str">
        <x:v>RE-003502-1</x:v>
      </x:c>
      <x:c r="D604" s="2" t="str">
        <x:v>P. E. FALADOIRA</x:v>
      </x:c>
      <x:c r="E604" s="4" t="n">
        <x:v>5.701</x:v>
      </x:c>
      <x:c r="F604" s="4" t="n">
        <x:f>J604*1</x:f>
        <x:v>5.549</x:v>
      </x:c>
      <x:c r="G604" s="4" t="n">
        <x:v>24.42</x:v>
      </x:c>
      <x:c r="H604" s="4" t="n">
        <x:v>89.61</x:v>
      </x:c>
      <x:c r="I604" s="5" t="n">
        <x:f t="shared" si="9">F604*1000*H604</x:f>
        <x:v>497245.89</x:v>
      </x:c>
      <x:c r="J604" t="n">
        <x:v>5.549</x:v>
      </x:c>
    </x:row>
    <x:row r="605">
      <x:c r="A605" s="3" t="n">
        <x:v>2023</x:v>
      </x:c>
      <x:c r="B605" s="2" t="str">
        <x:v>Abril</x:v>
      </x:c>
      <x:c r="C605" s="2" t="str">
        <x:v>RE-003502-1</x:v>
      </x:c>
      <x:c r="D605" s="2" t="str">
        <x:v>P. E. FALADOIRA</x:v>
      </x:c>
      <x:c r="E605" s="4" t="n">
        <x:v>5.357</x:v>
      </x:c>
      <x:c r="F605" s="4" t="n">
        <x:f>J605*0.96</x:f>
        <x:v>5.0304</x:v>
      </x:c>
      <x:c r="G605" s="4" t="n">
        <x:v>24.42</x:v>
      </x:c>
      <x:c r="H605" s="4" t="n">
        <x:v>73.73</x:v>
      </x:c>
      <x:c r="I605" s="5" t="n">
        <x:f t="shared" si="9">F605*1000*H605</x:f>
        <x:v>370891.39200000005</x:v>
      </x:c>
      <x:c r="J605" t="n">
        <x:v>5.24</x:v>
      </x:c>
    </x:row>
    <x:row r="606">
      <x:c r="A606" s="3" t="n">
        <x:v>2023</x:v>
      </x:c>
      <x:c r="B606" s="2" t="str">
        <x:v>Mayo</x:v>
      </x:c>
      <x:c r="C606" s="2" t="str">
        <x:v>RE-003502-1</x:v>
      </x:c>
      <x:c r="D606" s="2" t="str">
        <x:v>P. E. FALADOIRA</x:v>
      </x:c>
      <x:c r="E606" s="4" t="n">
        <x:v>4.737</x:v>
      </x:c>
      <x:c r="F606" s="4" t="n">
        <x:f>J606*1.03</x:f>
        <x:v>4.79774</x:v>
      </x:c>
      <x:c r="G606" s="4" t="n">
        <x:v>24.42</x:v>
      </x:c>
      <x:c r="H606" s="4" t="n">
        <x:v>74.21</x:v>
      </x:c>
      <x:c r="I606" s="5" t="n">
        <x:f t="shared" si="9">F606*1000*H606</x:f>
        <x:v>356040.28539999994</x:v>
      </x:c>
      <x:c r="J606" t="n">
        <x:v>4.658</x:v>
      </x:c>
    </x:row>
    <x:row r="607">
      <x:c r="A607" s="3" t="n">
        <x:v>2023</x:v>
      </x:c>
      <x:c r="B607" s="2" t="str">
        <x:v>Junio</x:v>
      </x:c>
      <x:c r="C607" s="2" t="str">
        <x:v>RE-003502-1</x:v>
      </x:c>
      <x:c r="D607" s="2" t="str">
        <x:v>P. E. FALADOIRA</x:v>
      </x:c>
      <x:c r="E607" s="4" t="n">
        <x:v>3.705</x:v>
      </x:c>
      <x:c r="F607" s="4" t="n">
        <x:f>J607*0.99</x:f>
        <x:v>3.5986499999999997</x:v>
      </x:c>
      <x:c r="G607" s="4" t="n">
        <x:v>24.42</x:v>
      </x:c>
      <x:c r="H607" s="4" t="n">
        <x:v>93.02</x:v>
      </x:c>
      <x:c r="I607" s="5" t="n">
        <x:f t="shared" si="9">F607*1000*H607</x:f>
        <x:v>334746.42299999995</x:v>
      </x:c>
      <x:c r="J607" t="n">
        <x:v>3.635</x:v>
      </x:c>
    </x:row>
    <x:row r="608">
      <x:c r="A608" s="3" t="n">
        <x:v>2023</x:v>
      </x:c>
      <x:c r="B608" s="2" t="str">
        <x:v>Julio</x:v>
      </x:c>
      <x:c r="C608" s="2" t="str">
        <x:v>RE-003502-1</x:v>
      </x:c>
      <x:c r="D608" s="2" t="str">
        <x:v>P. E. FALADOIRA</x:v>
      </x:c>
      <x:c r="E608" s="4" t="n">
        <x:v>3.936</x:v>
      </x:c>
      <x:c r="F608" s="4" t="n">
        <x:f>J608*0.95</x:f>
        <x:v>3.6536999999999997</x:v>
      </x:c>
      <x:c r="G608" s="4" t="n">
        <x:v>24.42</x:v>
      </x:c>
      <x:c r="H608" s="4" t="n">
        <x:v>90.47</x:v>
      </x:c>
      <x:c r="I608" s="5" t="n">
        <x:f t="shared" si="9">F608*1000*H608</x:f>
        <x:v>330550.239</x:v>
      </x:c>
      <x:c r="J608" t="n">
        <x:v>3.846</x:v>
      </x:c>
    </x:row>
    <x:row r="609">
      <x:c r="A609" s="3" t="n">
        <x:v>2023</x:v>
      </x:c>
      <x:c r="B609" s="2" t="str">
        <x:v>Agosto</x:v>
      </x:c>
      <x:c r="C609" s="2" t="str">
        <x:v>RE-003502-1</x:v>
      </x:c>
      <x:c r="D609" s="2" t="str">
        <x:v>P. E. FALADOIRA</x:v>
      </x:c>
      <x:c r="E609" s="4" t="n">
        <x:v>3.534</x:v>
      </x:c>
      <x:c r="F609" s="4" t="n">
        <x:f>J609*1.02</x:f>
        <x:v>3.5353200000000005</x:v>
      </x:c>
      <x:c r="G609" s="4" t="n">
        <x:v>24.42</x:v>
      </x:c>
      <x:c r="H609" s="4" t="n">
        <x:v>96.05</x:v>
      </x:c>
      <x:c r="I609" s="5" t="n">
        <x:f t="shared" si="9">F609*1000*H609</x:f>
        <x:v>339567.48600000003</x:v>
      </x:c>
      <x:c r="J609" t="n">
        <x:v>3.466</x:v>
      </x:c>
    </x:row>
    <x:row r="610">
      <x:c r="A610" s="3" t="n">
        <x:v>2023</x:v>
      </x:c>
      <x:c r="B610" s="2" t="str">
        <x:v>Septiembre</x:v>
      </x:c>
      <x:c r="C610" s="2" t="str">
        <x:v>RE-003502-1</x:v>
      </x:c>
      <x:c r="D610" s="2" t="str">
        <x:v>P. E. FALADOIRA</x:v>
      </x:c>
      <x:c r="E610" s="4" t="n">
        <x:v>4.738</x:v>
      </x:c>
      <x:c r="F610" s="4" t="n">
        <x:f>J610*0.98</x:f>
        <x:v>4.560919999999999</x:v>
      </x:c>
      <x:c r="G610" s="4" t="n">
        <x:v>24.42</x:v>
      </x:c>
      <x:c r="H610" s="4" t="n">
        <x:v>103.34</x:v>
      </x:c>
      <x:c r="I610" s="5" t="n">
        <x:f t="shared" si="9">F610*1000*H610</x:f>
        <x:v>471325.47279999993</x:v>
      </x:c>
      <x:c r="J610" t="n">
        <x:v>4.654</x:v>
      </x:c>
    </x:row>
    <x:row r="611">
      <x:c r="A611" s="3" t="n">
        <x:v>2023</x:v>
      </x:c>
      <x:c r="B611" s="2" t="str">
        <x:v>Octubre</x:v>
      </x:c>
      <x:c r="C611" s="2" t="str">
        <x:v>RE-003502-1</x:v>
      </x:c>
      <x:c r="D611" s="2" t="str">
        <x:v>P. E. FALADOIRA</x:v>
      </x:c>
      <x:c r="E611" s="4" t="n">
        <x:v>6.737</x:v>
      </x:c>
      <x:c r="F611" s="4" t="n">
        <x:f>J611*0.94</x:f>
        <x:v>6.169219999999999</x:v>
      </x:c>
      <x:c r="G611" s="4" t="n">
        <x:v>24.42</x:v>
      </x:c>
      <x:c r="H611" s="4" t="n">
        <x:v>90.14</x:v>
      </x:c>
      <x:c r="I611" s="5" t="n">
        <x:f t="shared" si="9">F611*1000*H611</x:f>
        <x:v>556093.4907999999</x:v>
      </x:c>
      <x:c r="J611" t="n">
        <x:v>6.563</x:v>
      </x:c>
    </x:row>
    <x:row r="612">
      <x:c r="A612" s="3" t="n">
        <x:v>2023</x:v>
      </x:c>
      <x:c r="B612" s="2" t="str">
        <x:v>Noviembre</x:v>
      </x:c>
      <x:c r="C612" s="2" t="str">
        <x:v>RE-003502-1</x:v>
      </x:c>
      <x:c r="D612" s="2" t="str">
        <x:v>P. E. FALADOIRA</x:v>
      </x:c>
      <x:c r="E612" s="4" t="n">
        <x:v>7.408</x:v>
      </x:c>
      <x:c r="F612" s="4" t="n">
        <x:f>J612*1.01</x:f>
        <x:v>7.3528</x:v>
      </x:c>
      <x:c r="G612" s="4" t="n">
        <x:v>24.42</x:v>
      </x:c>
      <x:c r="H612" s="4" t="n">
        <x:v>63.45</x:v>
      </x:c>
      <x:c r="I612" s="5" t="n">
        <x:f t="shared" si="9">F612*1000*H612</x:f>
        <x:v>466535.16000000003</x:v>
      </x:c>
      <x:c r="J612" t="n">
        <x:v>7.28</x:v>
      </x:c>
    </x:row>
    <x:row r="613">
      <x:c r="A613" s="3" t="n">
        <x:v>2023</x:v>
      </x:c>
      <x:c r="B613" s="2" t="str">
        <x:v>Diciembre</x:v>
      </x:c>
      <x:c r="C613" s="2" t="str">
        <x:v>RE-003502-1</x:v>
      </x:c>
      <x:c r="D613" s="2" t="str">
        <x:v>P. E. FALADOIRA</x:v>
      </x:c>
      <x:c r="E613" s="4" t="n">
        <x:v>8.291</x:v>
      </x:c>
      <x:c r="F613" s="4" t="n">
        <x:f>J613*0.97</x:f>
        <x:v>7.8308100000000005</x:v>
      </x:c>
      <x:c r="G613" s="4" t="n">
        <x:v>24.42</x:v>
      </x:c>
      <x:c r="H613" s="4" t="n">
        <x:v>72.17</x:v>
      </x:c>
      <x:c r="I613" s="5" t="n">
        <x:f t="shared" si="9">F613*1000*H613</x:f>
        <x:v>565149.5577</x:v>
      </x:c>
      <x:c r="J613" t="n">
        <x:v>8.073</x:v>
      </x:c>
    </x:row>
    <x:row r="614">
      <x:c r="A614" s="3" t="n">
        <x:v>2023</x:v>
      </x:c>
      <x:c r="B614" s="2" t="str">
        <x:v>Enero</x:v>
      </x:c>
      <x:c r="C614" s="2" t="str">
        <x:v>RE-003503-1</x:v>
      </x:c>
      <x:c r="D614" s="2" t="str">
        <x:v>P. E. TEIXIDO</x:v>
      </x:c>
      <x:c r="E614" s="4" t="n">
        <x:v>5.77</x:v>
      </x:c>
      <x:c r="F614" s="4" t="n">
        <x:f>J614*1.04</x:f>
        <x:v>5.87704</x:v>
      </x:c>
      <x:c r="G614" s="4" t="n">
        <x:v>23.1</x:v>
      </x:c>
      <x:c r="H614" s="4" t="n">
        <x:v>69.55</x:v>
      </x:c>
      <x:c r="I614" s="5" t="n">
        <x:f t="shared" si="9">F614*1000*H614</x:f>
        <x:v>408748.132</x:v>
      </x:c>
      <x:c r="J614" t="n">
        <x:v>5.651</x:v>
      </x:c>
    </x:row>
    <x:row r="615">
      <x:c r="A615" s="3" t="n">
        <x:v>2023</x:v>
      </x:c>
      <x:c r="B615" s="2" t="str">
        <x:v>Febrero</x:v>
      </x:c>
      <x:c r="C615" s="2" t="str">
        <x:v>RE-003503-1</x:v>
      </x:c>
      <x:c r="D615" s="2" t="str">
        <x:v>P. E. TEIXIDO</x:v>
      </x:c>
      <x:c r="E615" s="4" t="n">
        <x:v>5.193</x:v>
      </x:c>
      <x:c r="F615" s="4" t="n">
        <x:f>J615*1</x:f>
        <x:v>5.072</x:v>
      </x:c>
      <x:c r="G615" s="4" t="n">
        <x:v>23.1</x:v>
      </x:c>
      <x:c r="H615" s="4" t="n">
        <x:v>133.47</x:v>
      </x:c>
      <x:c r="I615" s="5" t="n">
        <x:f t="shared" si="9">F615*1000*H615</x:f>
        <x:v>676959.84</x:v>
      </x:c>
      <x:c r="J615" t="n">
        <x:v>5.072</x:v>
      </x:c>
    </x:row>
    <x:row r="616">
      <x:c r="A616" s="3" t="n">
        <x:v>2023</x:v>
      </x:c>
      <x:c r="B616" s="2" t="str">
        <x:v>Marzo</x:v>
      </x:c>
      <x:c r="C616" s="2" t="str">
        <x:v>RE-003503-1</x:v>
      </x:c>
      <x:c r="D616" s="2" t="str">
        <x:v>P. E. TEIXIDO</x:v>
      </x:c>
      <x:c r="E616" s="4" t="n">
        <x:v>6.147</x:v>
      </x:c>
      <x:c r="F616" s="4" t="n">
        <x:f>J616*0.96</x:f>
        <x:v>5.7936</x:v>
      </x:c>
      <x:c r="G616" s="4" t="n">
        <x:v>23.1</x:v>
      </x:c>
      <x:c r="H616" s="4" t="n">
        <x:v>89.61</x:v>
      </x:c>
      <x:c r="I616" s="5" t="n">
        <x:f t="shared" si="9">F616*1000*H616</x:f>
        <x:v>519164.4959999999</x:v>
      </x:c>
      <x:c r="J616" t="n">
        <x:v>6.035</x:v>
      </x:c>
    </x:row>
    <x:row r="617">
      <x:c r="A617" s="3" t="n">
        <x:v>2023</x:v>
      </x:c>
      <x:c r="B617" s="2" t="str">
        <x:v>Abril</x:v>
      </x:c>
      <x:c r="C617" s="2" t="str">
        <x:v>RE-003503-1</x:v>
      </x:c>
      <x:c r="D617" s="2" t="str">
        <x:v>P. E. TEIXIDO</x:v>
      </x:c>
      <x:c r="E617" s="4" t="n">
        <x:v>4.579</x:v>
      </x:c>
      <x:c r="F617" s="4" t="n">
        <x:f>J617*1.03</x:f>
        <x:v>4.606160000000001</x:v>
      </x:c>
      <x:c r="G617" s="4" t="n">
        <x:v>23.1</x:v>
      </x:c>
      <x:c r="H617" s="4" t="n">
        <x:v>73.73</x:v>
      </x:c>
      <x:c r="I617" s="5" t="n">
        <x:f t="shared" si="9">F617*1000*H617</x:f>
        <x:v>339612.1768000001</x:v>
      </x:c>
      <x:c r="J617" t="n">
        <x:v>4.472</x:v>
      </x:c>
    </x:row>
    <x:row r="618">
      <x:c r="A618" s="3" t="n">
        <x:v>2023</x:v>
      </x:c>
      <x:c r="B618" s="2" t="str">
        <x:v>Mayo</x:v>
      </x:c>
      <x:c r="C618" s="2" t="str">
        <x:v>RE-003503-1</x:v>
      </x:c>
      <x:c r="D618" s="2" t="str">
        <x:v>P. E. TEIXIDO</x:v>
      </x:c>
      <x:c r="E618" s="4" t="n">
        <x:v>3.648</x:v>
      </x:c>
      <x:c r="F618" s="4" t="n">
        <x:f>J618*0.99</x:f>
        <x:v>3.5046</x:v>
      </x:c>
      <x:c r="G618" s="4" t="n">
        <x:v>23.1</x:v>
      </x:c>
      <x:c r="H618" s="4" t="n">
        <x:v>74.21</x:v>
      </x:c>
      <x:c r="I618" s="5" t="n">
        <x:f t="shared" si="9">F618*1000*H618</x:f>
        <x:v>260076.36599999998</x:v>
      </x:c>
      <x:c r="J618" t="n">
        <x:v>3.54</x:v>
      </x:c>
    </x:row>
    <x:row r="619">
      <x:c r="A619" s="3" t="n">
        <x:v>2023</x:v>
      </x:c>
      <x:c r="B619" s="2" t="str">
        <x:v>Junio</x:v>
      </x:c>
      <x:c r="C619" s="2" t="str">
        <x:v>RE-003503-1</x:v>
      </x:c>
      <x:c r="D619" s="2" t="str">
        <x:v>P. E. TEIXIDO</x:v>
      </x:c>
      <x:c r="E619" s="4" t="n">
        <x:v>3.409</x:v>
      </x:c>
      <x:c r="F619" s="4" t="n">
        <x:f>J619*0.95</x:f>
        <x:v>3.18915</x:v>
      </x:c>
      <x:c r="G619" s="4" t="n">
        <x:v>23.1</x:v>
      </x:c>
      <x:c r="H619" s="4" t="n">
        <x:v>93.02</x:v>
      </x:c>
      <x:c r="I619" s="5" t="n">
        <x:f t="shared" si="9">F619*1000*H619</x:f>
        <x:v>296654.733</x:v>
      </x:c>
      <x:c r="J619" t="n">
        <x:v>3.357</x:v>
      </x:c>
    </x:row>
    <x:row r="620">
      <x:c r="A620" s="3" t="n">
        <x:v>2023</x:v>
      </x:c>
      <x:c r="B620" s="2" t="str">
        <x:v>Julio</x:v>
      </x:c>
      <x:c r="C620" s="2" t="str">
        <x:v>RE-003503-1</x:v>
      </x:c>
      <x:c r="D620" s="2" t="str">
        <x:v>P. E. TEIXIDO</x:v>
      </x:c>
      <x:c r="E620" s="4" t="n">
        <x:v>3.415</x:v>
      </x:c>
      <x:c r="F620" s="4" t="n">
        <x:f>J620*1.02</x:f>
        <x:v>3.39252</x:v>
      </x:c>
      <x:c r="G620" s="4" t="n">
        <x:v>23.1</x:v>
      </x:c>
      <x:c r="H620" s="4" t="n">
        <x:v>90.47</x:v>
      </x:c>
      <x:c r="I620" s="5" t="n">
        <x:f t="shared" si="9">F620*1000*H620</x:f>
        <x:v>306921.2844</x:v>
      </x:c>
      <x:c r="J620" t="n">
        <x:v>3.326</x:v>
      </x:c>
    </x:row>
    <x:row r="621">
      <x:c r="A621" s="3" t="n">
        <x:v>2023</x:v>
      </x:c>
      <x:c r="B621" s="2" t="str">
        <x:v>Agosto</x:v>
      </x:c>
      <x:c r="C621" s="2" t="str">
        <x:v>RE-003503-1</x:v>
      </x:c>
      <x:c r="D621" s="2" t="str">
        <x:v>P. E. TEIXIDO</x:v>
      </x:c>
      <x:c r="E621" s="4" t="n">
        <x:v>3.839</x:v>
      </x:c>
      <x:c r="F621" s="4" t="n">
        <x:f>J621*0.98</x:f>
        <x:v>3.67794</x:v>
      </x:c>
      <x:c r="G621" s="4" t="n">
        <x:v>23.1</x:v>
      </x:c>
      <x:c r="H621" s="4" t="n">
        <x:v>96.05</x:v>
      </x:c>
      <x:c r="I621" s="5" t="n">
        <x:f t="shared" si="9">F621*1000*H621</x:f>
        <x:v>353266.137</x:v>
      </x:c>
      <x:c r="J621" t="n">
        <x:v>3.753</x:v>
      </x:c>
    </x:row>
    <x:row r="622">
      <x:c r="A622" s="3" t="n">
        <x:v>2023</x:v>
      </x:c>
      <x:c r="B622" s="2" t="str">
        <x:v>Septiembre</x:v>
      </x:c>
      <x:c r="C622" s="2" t="str">
        <x:v>RE-003503-1</x:v>
      </x:c>
      <x:c r="D622" s="2" t="str">
        <x:v>P. E. TEIXIDO</x:v>
      </x:c>
      <x:c r="E622" s="4" t="n">
        <x:v>3.764</x:v>
      </x:c>
      <x:c r="F622" s="4" t="n">
        <x:f>J622*0.94</x:f>
        <x:v>3.47518</x:v>
      </x:c>
      <x:c r="G622" s="4" t="n">
        <x:v>23.1</x:v>
      </x:c>
      <x:c r="H622" s="4" t="n">
        <x:v>103.34</x:v>
      </x:c>
      <x:c r="I622" s="5" t="n">
        <x:f t="shared" si="9">F622*1000*H622</x:f>
        <x:v>359125.1012</x:v>
      </x:c>
      <x:c r="J622" t="n">
        <x:v>3.697</x:v>
      </x:c>
    </x:row>
    <x:row r="623">
      <x:c r="A623" s="3" t="n">
        <x:v>2023</x:v>
      </x:c>
      <x:c r="B623" s="2" t="str">
        <x:v>Octubre</x:v>
      </x:c>
      <x:c r="C623" s="2" t="str">
        <x:v>RE-003503-1</x:v>
      </x:c>
      <x:c r="D623" s="2" t="str">
        <x:v>P. E. TEIXIDO</x:v>
      </x:c>
      <x:c r="E623" s="4" t="n">
        <x:v>5.102</x:v>
      </x:c>
      <x:c r="F623" s="4" t="n">
        <x:f>J623*1.01</x:f>
        <x:v>5.029800000000001</x:v>
      </x:c>
      <x:c r="G623" s="4" t="n">
        <x:v>23.1</x:v>
      </x:c>
      <x:c r="H623" s="4" t="n">
        <x:v>90.14</x:v>
      </x:c>
      <x:c r="I623" s="5" t="n">
        <x:f t="shared" si="9">F623*1000*H623</x:f>
        <x:v>453386.1720000001</x:v>
      </x:c>
      <x:c r="J623" t="n">
        <x:v>4.98</x:v>
      </x:c>
    </x:row>
    <x:row r="624">
      <x:c r="A624" s="3" t="n">
        <x:v>2023</x:v>
      </x:c>
      <x:c r="B624" s="2" t="str">
        <x:v>Noviembre</x:v>
      </x:c>
      <x:c r="C624" s="2" t="str">
        <x:v>RE-003503-1</x:v>
      </x:c>
      <x:c r="D624" s="2" t="str">
        <x:v>P. E. TEIXIDO</x:v>
      </x:c>
      <x:c r="E624" s="4" t="n">
        <x:v>4.984</x:v>
      </x:c>
      <x:c r="F624" s="4" t="n">
        <x:f>J624*0.97</x:f>
        <x:v>4.68801</x:v>
      </x:c>
      <x:c r="G624" s="4" t="n">
        <x:v>23.1</x:v>
      </x:c>
      <x:c r="H624" s="4" t="n">
        <x:v>63.45</x:v>
      </x:c>
      <x:c r="I624" s="5" t="n">
        <x:f t="shared" si="9">F624*1000*H624</x:f>
        <x:v>297454.2345</x:v>
      </x:c>
      <x:c r="J624" t="n">
        <x:v>4.833</x:v>
      </x:c>
    </x:row>
    <x:row r="625">
      <x:c r="A625" s="3" t="n">
        <x:v>2023</x:v>
      </x:c>
      <x:c r="B625" s="2" t="str">
        <x:v>Diciembre</x:v>
      </x:c>
      <x:c r="C625" s="2" t="str">
        <x:v>RE-003503-1</x:v>
      </x:c>
      <x:c r="D625" s="2" t="str">
        <x:v>P. E. TEIXIDO</x:v>
      </x:c>
      <x:c r="E625" s="4" t="n">
        <x:v>6.388</x:v>
      </x:c>
      <x:c r="F625" s="4" t="n">
        <x:f>J625*1.04</x:f>
        <x:v>6.445920000000001</x:v>
      </x:c>
      <x:c r="G625" s="4" t="n">
        <x:v>23.1</x:v>
      </x:c>
      <x:c r="H625" s="4" t="n">
        <x:v>72.17</x:v>
      </x:c>
      <x:c r="I625" s="5" t="n">
        <x:f t="shared" si="9">F625*1000*H625</x:f>
        <x:v>465202.0464000001</x:v>
      </x:c>
      <x:c r="J625" t="n">
        <x:v>6.198</x:v>
      </x:c>
    </x:row>
    <x:row r="626">
      <x:c r="A626" s="3" t="n">
        <x:v>2023</x:v>
      </x:c>
      <x:c r="B626" s="2" t="str">
        <x:v>Enero</x:v>
      </x:c>
      <x:c r="C626" s="2" t="str">
        <x:v>RE-003504-1</x:v>
      </x:c>
      <x:c r="D626" s="2" t="str">
        <x:v>P.E. SERRA DO BURGO Y AMPLIACION(11050 kW,31/5/05)</x:v>
      </x:c>
      <x:c r="E626" s="4" t="n">
        <x:v>7.959</x:v>
      </x:c>
      <x:c r="F626" s="4" t="n">
        <x:f>J626*1</x:f>
        <x:v>7.722</x:v>
      </x:c>
      <x:c r="G626" s="4" t="n">
        <x:v>27.2</x:v>
      </x:c>
      <x:c r="H626" s="4" t="n">
        <x:v>69.55</x:v>
      </x:c>
      <x:c r="I626" s="5" t="n">
        <x:f t="shared" si="9">F626*1000*H626</x:f>
        <x:v>537065.1</x:v>
      </x:c>
      <x:c r="J626" t="n">
        <x:v>7.722</x:v>
      </x:c>
    </x:row>
    <x:row r="627">
      <x:c r="A627" s="3" t="n">
        <x:v>2023</x:v>
      </x:c>
      <x:c r="B627" s="2" t="str">
        <x:v>Febrero</x:v>
      </x:c>
      <x:c r="C627" s="2" t="str">
        <x:v>RE-003504-1</x:v>
      </x:c>
      <x:c r="D627" s="2" t="str">
        <x:v>P.E. SERRA DO BURGO Y AMPLIACION(11050 kW,31/5/05)</x:v>
      </x:c>
      <x:c r="E627" s="4" t="n">
        <x:v>5.699</x:v>
      </x:c>
      <x:c r="F627" s="4" t="n">
        <x:f>J627*0.96</x:f>
        <x:v>5.3769599999999995</x:v>
      </x:c>
      <x:c r="G627" s="4" t="n">
        <x:v>27.2</x:v>
      </x:c>
      <x:c r="H627" s="4" t="n">
        <x:v>133.47</x:v>
      </x:c>
      <x:c r="I627" s="5" t="n">
        <x:f t="shared" si="9">F627*1000*H627</x:f>
        <x:v>717662.8511999999</x:v>
      </x:c>
      <x:c r="J627" t="n">
        <x:v>5.601</x:v>
      </x:c>
    </x:row>
    <x:row r="628">
      <x:c r="A628" s="3" t="n">
        <x:v>2023</x:v>
      </x:c>
      <x:c r="B628" s="2" t="str">
        <x:v>Marzo</x:v>
      </x:c>
      <x:c r="C628" s="2" t="str">
        <x:v>RE-003504-1</x:v>
      </x:c>
      <x:c r="D628" s="2" t="str">
        <x:v>P.E. SERRA DO BURGO Y AMPLIACION(11050 kW,31/5/05)</x:v>
      </x:c>
      <x:c r="E628" s="4" t="n">
        <x:v>6.438</x:v>
      </x:c>
      <x:c r="F628" s="4" t="n">
        <x:f>J628*1.03</x:f>
        <x:v>6.50136</x:v>
      </x:c>
      <x:c r="G628" s="4" t="n">
        <x:v>27.2</x:v>
      </x:c>
      <x:c r="H628" s="4" t="n">
        <x:v>89.61</x:v>
      </x:c>
      <x:c r="I628" s="5" t="n">
        <x:f t="shared" si="9">F628*1000*H628</x:f>
        <x:v>582586.8696</x:v>
      </x:c>
      <x:c r="J628" t="n">
        <x:v>6.312</x:v>
      </x:c>
    </x:row>
    <x:row r="629">
      <x:c r="A629" s="3" t="n">
        <x:v>2023</x:v>
      </x:c>
      <x:c r="B629" s="2" t="str">
        <x:v>Abril</x:v>
      </x:c>
      <x:c r="C629" s="2" t="str">
        <x:v>RE-003504-1</x:v>
      </x:c>
      <x:c r="D629" s="2" t="str">
        <x:v>P.E. SERRA DO BURGO Y AMPLIACION(11050 kW,31/5/05)</x:v>
      </x:c>
      <x:c r="E629" s="4" t="n">
        <x:v>4.616</x:v>
      </x:c>
      <x:c r="F629" s="4" t="n">
        <x:f>J629*0.99</x:f>
        <x:v>4.48965</x:v>
      </x:c>
      <x:c r="G629" s="4" t="n">
        <x:v>27.2</x:v>
      </x:c>
      <x:c r="H629" s="4" t="n">
        <x:v>73.73</x:v>
      </x:c>
      <x:c r="I629" s="5" t="n">
        <x:f t="shared" si="9">F629*1000*H629</x:f>
        <x:v>331021.89450000005</x:v>
      </x:c>
      <x:c r="J629" t="n">
        <x:v>4.535</x:v>
      </x:c>
    </x:row>
    <x:row r="630">
      <x:c r="A630" s="3" t="n">
        <x:v>2023</x:v>
      </x:c>
      <x:c r="B630" s="2" t="str">
        <x:v>Mayo</x:v>
      </x:c>
      <x:c r="C630" s="2" t="str">
        <x:v>RE-003504-1</x:v>
      </x:c>
      <x:c r="D630" s="2" t="str">
        <x:v>P.E. SERRA DO BURGO Y AMPLIACION(11050 kW,31/5/05)</x:v>
      </x:c>
      <x:c r="E630" s="4" t="n">
        <x:v>4.883</x:v>
      </x:c>
      <x:c r="F630" s="4" t="n">
        <x:f>J630*0.95</x:f>
        <x:v>4.4982500000000005</x:v>
      </x:c>
      <x:c r="G630" s="4" t="n">
        <x:v>27.2</x:v>
      </x:c>
      <x:c r="H630" s="4" t="n">
        <x:v>74.21</x:v>
      </x:c>
      <x:c r="I630" s="5" t="n">
        <x:f t="shared" si="9">F630*1000*H630</x:f>
        <x:v>333815.13250000007</x:v>
      </x:c>
      <x:c r="J630" t="n">
        <x:v>4.735</x:v>
      </x:c>
    </x:row>
    <x:row r="631">
      <x:c r="A631" s="3" t="n">
        <x:v>2023</x:v>
      </x:c>
      <x:c r="B631" s="2" t="str">
        <x:v>Junio</x:v>
      </x:c>
      <x:c r="C631" s="2" t="str">
        <x:v>RE-003504-1</x:v>
      </x:c>
      <x:c r="D631" s="2" t="str">
        <x:v>P.E. SERRA DO BURGO Y AMPLIACION(11050 kW,31/5/05)</x:v>
      </x:c>
      <x:c r="E631" s="4" t="n">
        <x:v>3.563</x:v>
      </x:c>
      <x:c r="F631" s="4" t="n">
        <x:f>J631*1.02</x:f>
        <x:v>3.5730600000000003</x:v>
      </x:c>
      <x:c r="G631" s="4" t="n">
        <x:v>27.2</x:v>
      </x:c>
      <x:c r="H631" s="4" t="n">
        <x:v>93.02</x:v>
      </x:c>
      <x:c r="I631" s="5" t="n">
        <x:f t="shared" si="9">F631*1000*H631</x:f>
        <x:v>332366.04120000004</x:v>
      </x:c>
      <x:c r="J631" t="n">
        <x:v>3.503</x:v>
      </x:c>
    </x:row>
    <x:row r="632">
      <x:c r="A632" s="3" t="n">
        <x:v>2023</x:v>
      </x:c>
      <x:c r="B632" s="2" t="str">
        <x:v>Julio</x:v>
      </x:c>
      <x:c r="C632" s="2" t="str">
        <x:v>RE-003504-1</x:v>
      </x:c>
      <x:c r="D632" s="2" t="str">
        <x:v>P.E. SERRA DO BURGO Y AMPLIACION(11050 kW,31/5/05)</x:v>
      </x:c>
      <x:c r="E632" s="4" t="n">
        <x:v>3.744</x:v>
      </x:c>
      <x:c r="F632" s="4" t="n">
        <x:f>J632*0.98</x:f>
        <x:v>3.5917</x:v>
      </x:c>
      <x:c r="G632" s="4" t="n">
        <x:v>27.2</x:v>
      </x:c>
      <x:c r="H632" s="4" t="n">
        <x:v>90.47</x:v>
      </x:c>
      <x:c r="I632" s="5" t="n">
        <x:f t="shared" si="9">F632*1000*H632</x:f>
        <x:v>324941.099</x:v>
      </x:c>
      <x:c r="J632" t="n">
        <x:v>3.665</x:v>
      </x:c>
    </x:row>
    <x:row r="633">
      <x:c r="A633" s="3" t="n">
        <x:v>2023</x:v>
      </x:c>
      <x:c r="B633" s="2" t="str">
        <x:v>Agosto</x:v>
      </x:c>
      <x:c r="C633" s="2" t="str">
        <x:v>RE-003504-1</x:v>
      </x:c>
      <x:c r="D633" s="2" t="str">
        <x:v>P.E. SERRA DO BURGO Y AMPLIACION(11050 kW,31/5/05)</x:v>
      </x:c>
      <x:c r="E633" s="4" t="n">
        <x:v>4.024</x:v>
      </x:c>
      <x:c r="F633" s="4" t="n">
        <x:f>J633*0.94</x:f>
        <x:v>3.70924</x:v>
      </x:c>
      <x:c r="G633" s="4" t="n">
        <x:v>27.2</x:v>
      </x:c>
      <x:c r="H633" s="4" t="n">
        <x:v>96.05</x:v>
      </x:c>
      <x:c r="I633" s="5" t="n">
        <x:f t="shared" si="9">F633*1000*H633</x:f>
        <x:v>356272.502</x:v>
      </x:c>
      <x:c r="J633" t="n">
        <x:v>3.946</x:v>
      </x:c>
    </x:row>
    <x:row r="634">
      <x:c r="A634" s="3" t="n">
        <x:v>2023</x:v>
      </x:c>
      <x:c r="B634" s="2" t="str">
        <x:v>Septiembre</x:v>
      </x:c>
      <x:c r="C634" s="2" t="str">
        <x:v>RE-003504-1</x:v>
      </x:c>
      <x:c r="D634" s="2" t="str">
        <x:v>P.E. SERRA DO BURGO Y AMPLIACION(11050 kW,31/5/05)</x:v>
      </x:c>
      <x:c r="E634" s="4" t="n">
        <x:v>4.364</x:v>
      </x:c>
      <x:c r="F634" s="4" t="n">
        <x:f>J634*1.01</x:f>
        <x:v>4.32684</x:v>
      </x:c>
      <x:c r="G634" s="4" t="n">
        <x:v>27.2</x:v>
      </x:c>
      <x:c r="H634" s="4" t="n">
        <x:v>103.34</x:v>
      </x:c>
      <x:c r="I634" s="5" t="n">
        <x:f t="shared" si="9">F634*1000*H634</x:f>
        <x:v>447135.64560000005</x:v>
      </x:c>
      <x:c r="J634" t="n">
        <x:v>4.284</x:v>
      </x:c>
    </x:row>
    <x:row r="635">
      <x:c r="A635" s="3" t="n">
        <x:v>2023</x:v>
      </x:c>
      <x:c r="B635" s="2" t="str">
        <x:v>Octubre</x:v>
      </x:c>
      <x:c r="C635" s="2" t="str">
        <x:v>RE-003504-1</x:v>
      </x:c>
      <x:c r="D635" s="2" t="str">
        <x:v>P.E. SERRA DO BURGO Y AMPLIACION(11050 kW,31/5/05)</x:v>
      </x:c>
      <x:c r="E635" s="4" t="n">
        <x:v>6.093</x:v>
      </x:c>
      <x:c r="F635" s="4" t="n">
        <x:f>J635*0.97</x:f>
        <x:v>5.795749999999999</x:v>
      </x:c>
      <x:c r="G635" s="4" t="n">
        <x:v>27.2</x:v>
      </x:c>
      <x:c r="H635" s="4" t="n">
        <x:v>90.14</x:v>
      </x:c>
      <x:c r="I635" s="5" t="n">
        <x:f t="shared" si="9">F635*1000*H635</x:f>
        <x:v>522428.9049999999</x:v>
      </x:c>
      <x:c r="J635" t="n">
        <x:v>5.975</x:v>
      </x:c>
    </x:row>
    <x:row r="636">
      <x:c r="A636" s="3" t="n">
        <x:v>2023</x:v>
      </x:c>
      <x:c r="B636" s="2" t="str">
        <x:v>Noviembre</x:v>
      </x:c>
      <x:c r="C636" s="2" t="str">
        <x:v>RE-003504-1</x:v>
      </x:c>
      <x:c r="D636" s="2" t="str">
        <x:v>P.E. SERRA DO BURGO Y AMPLIACION(11050 kW,31/5/05)</x:v>
      </x:c>
      <x:c r="E636" s="4" t="n">
        <x:v>6.912</x:v>
      </x:c>
      <x:c r="F636" s="4" t="n">
        <x:f>J636*1.04</x:f>
        <x:v>7.07512</x:v>
      </x:c>
      <x:c r="G636" s="4" t="n">
        <x:v>27.2</x:v>
      </x:c>
      <x:c r="H636" s="4" t="n">
        <x:v>63.45</x:v>
      </x:c>
      <x:c r="I636" s="5" t="n">
        <x:f t="shared" si="9">F636*1000*H636</x:f>
        <x:v>448916.364</x:v>
      </x:c>
      <x:c r="J636" t="n">
        <x:v>6.803</x:v>
      </x:c>
    </x:row>
    <x:row r="637">
      <x:c r="A637" s="3" t="n">
        <x:v>2023</x:v>
      </x:c>
      <x:c r="B637" s="2" t="str">
        <x:v>Diciembre</x:v>
      </x:c>
      <x:c r="C637" s="2" t="str">
        <x:v>RE-003504-1</x:v>
      </x:c>
      <x:c r="D637" s="2" t="str">
        <x:v>P.E. SERRA DO BURGO Y AMPLIACION(11050 kW,31/5/05)</x:v>
      </x:c>
      <x:c r="E637" s="4" t="n">
        <x:v>8.029</x:v>
      </x:c>
      <x:c r="F637" s="4" t="n">
        <x:f>J637*1</x:f>
        <x:v>7.791</x:v>
      </x:c>
      <x:c r="G637" s="4" t="n">
        <x:v>27.2</x:v>
      </x:c>
      <x:c r="H637" s="4" t="n">
        <x:v>72.17</x:v>
      </x:c>
      <x:c r="I637" s="5" t="n">
        <x:f t="shared" si="9">F637*1000*H637</x:f>
        <x:v>562276.47</x:v>
      </x:c>
      <x:c r="J637" t="n">
        <x:v>7.791</x:v>
      </x:c>
    </x:row>
    <x:row r="638">
      <x:c r="A638" s="3" t="n">
        <x:v>2023</x:v>
      </x:c>
      <x:c r="B638" s="2" t="str">
        <x:v>Enero</x:v>
      </x:c>
      <x:c r="C638" s="2" t="str">
        <x:v>RE-003505-1</x:v>
      </x:c>
      <x:c r="D638" s="2" t="str">
        <x:v>Parque Eólico Novo</x:v>
      </x:c>
      <x:c r="E638" s="4" t="n">
        <x:v>4.969</x:v>
      </x:c>
      <x:c r="F638" s="4" t="n">
        <x:f>J638*0.96</x:f>
        <x:v>4.62144</x:v>
      </x:c>
      <x:c r="G638" s="4" t="n">
        <x:v>18.75</x:v>
      </x:c>
      <x:c r="H638" s="4" t="n">
        <x:v>69.55</x:v>
      </x:c>
      <x:c r="I638" s="5" t="n">
        <x:f t="shared" si="9">F638*1000*H638</x:f>
        <x:v>321421.15199999994</x:v>
      </x:c>
      <x:c r="J638" t="n">
        <x:v>4.814</x:v>
      </x:c>
    </x:row>
    <x:row r="639">
      <x:c r="A639" s="3" t="n">
        <x:v>2023</x:v>
      </x:c>
      <x:c r="B639" s="2" t="str">
        <x:v>Febrero</x:v>
      </x:c>
      <x:c r="C639" s="2" t="str">
        <x:v>RE-003505-1</x:v>
      </x:c>
      <x:c r="D639" s="2" t="str">
        <x:v>Parque Eólico Novo</x:v>
      </x:c>
      <x:c r="E639" s="4" t="n">
        <x:v>5.118</x:v>
      </x:c>
      <x:c r="F639" s="4" t="n">
        <x:f>J639*1.03</x:f>
        <x:v>5.1839900000000005</x:v>
      </x:c>
      <x:c r="G639" s="4" t="n">
        <x:v>18.75</x:v>
      </x:c>
      <x:c r="H639" s="4" t="n">
        <x:v>133.47</x:v>
      </x:c>
      <x:c r="I639" s="5" t="n">
        <x:f t="shared" si="9">F639*1000*H639</x:f>
        <x:v>691907.1453000001</x:v>
      </x:c>
      <x:c r="J639" t="n">
        <x:v>5.033</x:v>
      </x:c>
    </x:row>
    <x:row r="640">
      <x:c r="A640" s="3" t="n">
        <x:v>2023</x:v>
      </x:c>
      <x:c r="B640" s="2" t="str">
        <x:v>Marzo</x:v>
      </x:c>
      <x:c r="C640" s="2" t="str">
        <x:v>RE-003505-1</x:v>
      </x:c>
      <x:c r="D640" s="2" t="str">
        <x:v>Parque Eólico Novo</x:v>
      </x:c>
      <x:c r="E640" s="4" t="n">
        <x:v>5.645</x:v>
      </x:c>
      <x:c r="F640" s="4" t="n">
        <x:f>J640*0.99</x:f>
        <x:v>5.415299999999999</x:v>
      </x:c>
      <x:c r="G640" s="4" t="n">
        <x:v>18.75</x:v>
      </x:c>
      <x:c r="H640" s="4" t="n">
        <x:v>89.61</x:v>
      </x:c>
      <x:c r="I640" s="5" t="n">
        <x:f t="shared" si="9">F640*1000*H640</x:f>
        <x:v>485265.03299999994</x:v>
      </x:c>
      <x:c r="J640" t="n">
        <x:v>5.47</x:v>
      </x:c>
    </x:row>
    <x:row r="641">
      <x:c r="A641" s="3" t="n">
        <x:v>2023</x:v>
      </x:c>
      <x:c r="B641" s="2" t="str">
        <x:v>Abril</x:v>
      </x:c>
      <x:c r="C641" s="2" t="str">
        <x:v>RE-003505-1</x:v>
      </x:c>
      <x:c r="D641" s="2" t="str">
        <x:v>Parque Eólico Novo</x:v>
      </x:c>
      <x:c r="E641" s="4" t="n">
        <x:v>4.634</x:v>
      </x:c>
      <x:c r="F641" s="4" t="n">
        <x:f>J641*0.95</x:f>
        <x:v>4.27025</x:v>
      </x:c>
      <x:c r="G641" s="4" t="n">
        <x:v>18.75</x:v>
      </x:c>
      <x:c r="H641" s="4" t="n">
        <x:v>73.73</x:v>
      </x:c>
      <x:c r="I641" s="5" t="n">
        <x:f t="shared" si="9">F641*1000*H641</x:f>
        <x:v>314845.53250000003</x:v>
      </x:c>
      <x:c r="J641" t="n">
        <x:v>4.495</x:v>
      </x:c>
    </x:row>
    <x:row r="642">
      <x:c r="A642" s="3" t="n">
        <x:v>2023</x:v>
      </x:c>
      <x:c r="B642" s="2" t="str">
        <x:v>Mayo</x:v>
      </x:c>
      <x:c r="C642" s="2" t="str">
        <x:v>RE-003505-1</x:v>
      </x:c>
      <x:c r="D642" s="2" t="str">
        <x:v>Parque Eólico Novo</x:v>
      </x:c>
      <x:c r="E642" s="4" t="n">
        <x:v>3.375</x:v>
      </x:c>
      <x:c r="F642" s="4" t="n">
        <x:f>J642*1.02</x:f>
        <x:v>3.3751800000000003</x:v>
      </x:c>
      <x:c r="G642" s="4" t="n">
        <x:v>18.75</x:v>
      </x:c>
      <x:c r="H642" s="4" t="n">
        <x:v>74.21</x:v>
      </x:c>
      <x:c r="I642" s="5" t="n">
        <x:f t="shared" ref="I642:I705" si="10">F642*1000*H642</x:f>
        <x:v>250472.1078</x:v>
      </x:c>
      <x:c r="J642" t="n">
        <x:v>3.309</x:v>
      </x:c>
    </x:row>
    <x:row r="643">
      <x:c r="A643" s="3" t="n">
        <x:v>2023</x:v>
      </x:c>
      <x:c r="B643" s="2" t="str">
        <x:v>Junio</x:v>
      </x:c>
      <x:c r="C643" s="2" t="str">
        <x:v>RE-003505-1</x:v>
      </x:c>
      <x:c r="D643" s="2" t="str">
        <x:v>Parque Eólico Novo</x:v>
      </x:c>
      <x:c r="E643" s="4" t="n">
        <x:v>3.413</x:v>
      </x:c>
      <x:c r="F643" s="4" t="n">
        <x:f>J643*0.98</x:f>
        <x:v>3.26634</x:v>
      </x:c>
      <x:c r="G643" s="4" t="n">
        <x:v>18.75</x:v>
      </x:c>
      <x:c r="H643" s="4" t="n">
        <x:v>93.02</x:v>
      </x:c>
      <x:c r="I643" s="5" t="n">
        <x:f t="shared" si="10">F643*1000*H643</x:f>
        <x:v>303834.9468</x:v>
      </x:c>
      <x:c r="J643" t="n">
        <x:v>3.333</x:v>
      </x:c>
    </x:row>
    <x:row r="644">
      <x:c r="A644" s="3" t="n">
        <x:v>2023</x:v>
      </x:c>
      <x:c r="B644" s="2" t="str">
        <x:v>Julio</x:v>
      </x:c>
      <x:c r="C644" s="2" t="str">
        <x:v>RE-003505-1</x:v>
      </x:c>
      <x:c r="D644" s="2" t="str">
        <x:v>Parque Eólico Novo</x:v>
      </x:c>
      <x:c r="E644" s="4" t="n">
        <x:v>3.213</x:v>
      </x:c>
      <x:c r="F644" s="4" t="n">
        <x:f>J644*0.94</x:f>
        <x:v>2.9581799999999996</x:v>
      </x:c>
      <x:c r="G644" s="4" t="n">
        <x:v>18.75</x:v>
      </x:c>
      <x:c r="H644" s="4" t="n">
        <x:v>90.47</x:v>
      </x:c>
      <x:c r="I644" s="5" t="n">
        <x:f t="shared" si="10">F644*1000*H644</x:f>
        <x:v>267626.54459999996</x:v>
      </x:c>
      <x:c r="J644" t="n">
        <x:v>3.147</x:v>
      </x:c>
    </x:row>
    <x:row r="645">
      <x:c r="A645" s="3" t="n">
        <x:v>2023</x:v>
      </x:c>
      <x:c r="B645" s="2" t="str">
        <x:v>Agosto</x:v>
      </x:c>
      <x:c r="C645" s="2" t="str">
        <x:v>RE-003505-1</x:v>
      </x:c>
      <x:c r="D645" s="2" t="str">
        <x:v>Parque Eólico Novo</x:v>
      </x:c>
      <x:c r="E645" s="4" t="n">
        <x:v>3.167</x:v>
      </x:c>
      <x:c r="F645" s="4" t="n">
        <x:f>J645*1.01</x:f>
        <x:v>3.1411</x:v>
      </x:c>
      <x:c r="G645" s="4" t="n">
        <x:v>18.75</x:v>
      </x:c>
      <x:c r="H645" s="4" t="n">
        <x:v>96.05</x:v>
      </x:c>
      <x:c r="I645" s="5" t="n">
        <x:f t="shared" si="10">F645*1000*H645</x:f>
        <x:v>301702.65499999997</x:v>
      </x:c>
      <x:c r="J645" t="n">
        <x:v>3.11</x:v>
      </x:c>
    </x:row>
    <x:row r="646">
      <x:c r="A646" s="3" t="n">
        <x:v>2023</x:v>
      </x:c>
      <x:c r="B646" s="2" t="str">
        <x:v>Septiembre</x:v>
      </x:c>
      <x:c r="C646" s="2" t="str">
        <x:v>RE-003505-1</x:v>
      </x:c>
      <x:c r="D646" s="2" t="str">
        <x:v>Parque Eólico Novo</x:v>
      </x:c>
      <x:c r="E646" s="4" t="n">
        <x:v>3.563</x:v>
      </x:c>
      <x:c r="F646" s="4" t="n">
        <x:f>J646*0.97</x:f>
        <x:v>3.39985</x:v>
      </x:c>
      <x:c r="G646" s="4" t="n">
        <x:v>18.75</x:v>
      </x:c>
      <x:c r="H646" s="4" t="n">
        <x:v>103.34</x:v>
      </x:c>
      <x:c r="I646" s="5" t="n">
        <x:f t="shared" si="10">F646*1000*H646</x:f>
        <x:v>351340.499</x:v>
      </x:c>
      <x:c r="J646" t="n">
        <x:v>3.505</x:v>
      </x:c>
    </x:row>
    <x:row r="647">
      <x:c r="A647" s="3" t="n">
        <x:v>2023</x:v>
      </x:c>
      <x:c r="B647" s="2" t="str">
        <x:v>Octubre</x:v>
      </x:c>
      <x:c r="C647" s="2" t="str">
        <x:v>RE-003505-1</x:v>
      </x:c>
      <x:c r="D647" s="2" t="str">
        <x:v>Parque Eólico Novo</x:v>
      </x:c>
      <x:c r="E647" s="4" t="n">
        <x:v>4.121</x:v>
      </x:c>
      <x:c r="F647" s="4" t="n">
        <x:f>J647*1.04</x:f>
        <x:v>4.21304</x:v>
      </x:c>
      <x:c r="G647" s="4" t="n">
        <x:v>18.75</x:v>
      </x:c>
      <x:c r="H647" s="4" t="n">
        <x:v>90.14</x:v>
      </x:c>
      <x:c r="I647" s="5" t="n">
        <x:f t="shared" si="10">F647*1000*H647</x:f>
        <x:v>379763.4256</x:v>
      </x:c>
      <x:c r="J647" t="n">
        <x:v>4.051</x:v>
      </x:c>
    </x:row>
    <x:row r="648">
      <x:c r="A648" s="3" t="n">
        <x:v>2023</x:v>
      </x:c>
      <x:c r="B648" s="2" t="str">
        <x:v>Noviembre</x:v>
      </x:c>
      <x:c r="C648" s="2" t="str">
        <x:v>RE-003505-1</x:v>
      </x:c>
      <x:c r="D648" s="2" t="str">
        <x:v>Parque Eólico Novo</x:v>
      </x:c>
      <x:c r="E648" s="4" t="n">
        <x:v>5.524</x:v>
      </x:c>
      <x:c r="F648" s="4" t="n">
        <x:f>J648*1</x:f>
        <x:v>5.435</x:v>
      </x:c>
      <x:c r="G648" s="4" t="n">
        <x:v>18.75</x:v>
      </x:c>
      <x:c r="H648" s="4" t="n">
        <x:v>63.45</x:v>
      </x:c>
      <x:c r="I648" s="5" t="n">
        <x:f t="shared" si="10">F648*1000*H648</x:f>
        <x:v>344850.75</x:v>
      </x:c>
      <x:c r="J648" t="n">
        <x:v>5.435</x:v>
      </x:c>
    </x:row>
    <x:row r="649">
      <x:c r="A649" s="3" t="n">
        <x:v>2023</x:v>
      </x:c>
      <x:c r="B649" s="2" t="str">
        <x:v>Diciembre</x:v>
      </x:c>
      <x:c r="C649" s="2" t="str">
        <x:v>RE-003505-1</x:v>
      </x:c>
      <x:c r="D649" s="2" t="str">
        <x:v>Parque Eólico Novo</x:v>
      </x:c>
      <x:c r="E649" s="4" t="n">
        <x:v>6.29</x:v>
      </x:c>
      <x:c r="F649" s="4" t="n">
        <x:f>J649*0.96</x:f>
        <x:v>5.88576</x:v>
      </x:c>
      <x:c r="G649" s="4" t="n">
        <x:v>18.75</x:v>
      </x:c>
      <x:c r="H649" s="4" t="n">
        <x:v>72.17</x:v>
      </x:c>
      <x:c r="I649" s="5" t="n">
        <x:f t="shared" si="10">F649*1000*H649</x:f>
        <x:v>424775.2992</x:v>
      </x:c>
      <x:c r="J649" t="n">
        <x:v>6.131</x:v>
      </x:c>
    </x:row>
    <x:row r="650">
      <x:c r="A650" s="3" t="n">
        <x:v>2023</x:v>
      </x:c>
      <x:c r="B650" s="2" t="str">
        <x:v>Enero</x:v>
      </x:c>
      <x:c r="C650" s="2" t="str">
        <x:v>RE-003506-1</x:v>
      </x:c>
      <x:c r="D650" s="2" t="str">
        <x:v>P.E. PENA DA CRUZ</x:v>
      </x:c>
      <x:c r="E650" s="4" t="n">
        <x:v>2.918888888888889</x:v>
      </x:c>
      <x:c r="F650" s="4" t="n">
        <x:f>J650*1.03</x:f>
        <x:v>2.9257722222222227</x:v>
      </x:c>
      <x:c r="G650" s="4" t="n">
        <x:v>12.75</x:v>
      </x:c>
      <x:c r="H650" s="4" t="n">
        <x:v>69.55</x:v>
      </x:c>
      <x:c r="I650" s="5" t="n">
        <x:f t="shared" si="10">F650*1000*H650</x:f>
        <x:v>203487.4580555556</x:v>
      </x:c>
      <x:c r="J650" t="n">
        <x:v>2.840555555555556</x:v>
      </x:c>
    </x:row>
    <x:row r="651">
      <x:c r="A651" s="3" t="n">
        <x:v>2023</x:v>
      </x:c>
      <x:c r="B651" s="2" t="str">
        <x:v>Enero</x:v>
      </x:c>
      <x:c r="C651" s="2" t="str">
        <x:v>RE-003506-2</x:v>
      </x:c>
      <x:c r="D651" s="2" t="str">
        <x:v>P.E. PENA DA CRUZ</x:v>
      </x:c>
      <x:c r="E651" s="4" t="n">
        <x:v>2.3351111111111105</x:v>
      </x:c>
      <x:c r="F651" s="4" t="n">
        <x:f>J651*1.03</x:f>
        <x:v>2.3406177777777777</x:v>
      </x:c>
      <x:c r="G651" s="4" t="n">
        <x:v>10.2</x:v>
      </x:c>
      <x:c r="H651" s="4" t="n">
        <x:v>69.55</x:v>
      </x:c>
      <x:c r="I651" s="5" t="n">
        <x:f t="shared" si="10">F651*1000*H651</x:f>
        <x:v>162789.9664444444</x:v>
      </x:c>
      <x:c r="J651" t="n">
        <x:v>2.2724444444444445</x:v>
      </x:c>
    </x:row>
    <x:row r="652">
      <x:c r="A652" s="3" t="n">
        <x:v>2023</x:v>
      </x:c>
      <x:c r="B652" s="2" t="str">
        <x:v>Febrero</x:v>
      </x:c>
      <x:c r="C652" s="2" t="str">
        <x:v>RE-003506-1</x:v>
      </x:c>
      <x:c r="D652" s="2" t="str">
        <x:v>P.E. PENA DA CRUZ</x:v>
      </x:c>
      <x:c r="E652" s="4" t="n">
        <x:v>2.3777777777777778</x:v>
      </x:c>
      <x:c r="F652" s="4" t="n">
        <x:f>J652*0.99</x:f>
        <x:v>2.2869000000000006</x:v>
      </x:c>
      <x:c r="G652" s="4" t="n">
        <x:v>12.75</x:v>
      </x:c>
      <x:c r="H652" s="4" t="n">
        <x:v>133.47</x:v>
      </x:c>
      <x:c r="I652" s="5" t="n">
        <x:f t="shared" si="10">F652*1000*H652</x:f>
        <x:v>305232.54300000006</x:v>
      </x:c>
      <x:c r="J652" t="n">
        <x:v>2.3100000000000005</x:v>
      </x:c>
    </x:row>
    <x:row r="653">
      <x:c r="A653" s="3" t="n">
        <x:v>2023</x:v>
      </x:c>
      <x:c r="B653" s="2" t="str">
        <x:v>Febrero</x:v>
      </x:c>
      <x:c r="C653" s="2" t="str">
        <x:v>RE-003506-2</x:v>
      </x:c>
      <x:c r="D653" s="2" t="str">
        <x:v>P.E. PENA DA CRUZ</x:v>
      </x:c>
      <x:c r="E653" s="4" t="n">
        <x:v>1.9022222222222225</x:v>
      </x:c>
      <x:c r="F653" s="4" t="n">
        <x:f>J653*0.99</x:f>
        <x:v>1.8295199999999998</x:v>
      </x:c>
      <x:c r="G653" s="4" t="n">
        <x:v>10.2</x:v>
      </x:c>
      <x:c r="H653" s="4" t="n">
        <x:v>133.47</x:v>
      </x:c>
      <x:c r="I653" s="5" t="n">
        <x:f t="shared" si="10">F653*1000*H653</x:f>
        <x:v>244186.03439999997</x:v>
      </x:c>
      <x:c r="J653" t="n">
        <x:v>1.8479999999999999</x:v>
      </x:c>
    </x:row>
    <x:row r="654">
      <x:c r="A654" s="3" t="n">
        <x:v>2023</x:v>
      </x:c>
      <x:c r="B654" s="2" t="str">
        <x:v>Marzo</x:v>
      </x:c>
      <x:c r="C654" s="2" t="str">
        <x:v>RE-003506-1</x:v>
      </x:c>
      <x:c r="D654" s="2" t="str">
        <x:v>P.E. PENA DA CRUZ</x:v>
      </x:c>
      <x:c r="E654" s="4" t="n">
        <x:v>3.006111111111111</x:v>
      </x:c>
      <x:c r="F654" s="4" t="n">
        <x:f>J654*0.95</x:f>
        <x:v>2.7961666666666667</x:v>
      </x:c>
      <x:c r="G654" s="4" t="n">
        <x:v>12.75</x:v>
      </x:c>
      <x:c r="H654" s="4" t="n">
        <x:v>89.61</x:v>
      </x:c>
      <x:c r="I654" s="5" t="n">
        <x:f t="shared" si="10">F654*1000*H654</x:f>
        <x:v>250564.495</x:v>
      </x:c>
      <x:c r="J654" t="n">
        <x:v>2.9433333333333334</x:v>
      </x:c>
    </x:row>
    <x:row r="655">
      <x:c r="A655" s="3" t="n">
        <x:v>2023</x:v>
      </x:c>
      <x:c r="B655" s="2" t="str">
        <x:v>Marzo</x:v>
      </x:c>
      <x:c r="C655" s="2" t="str">
        <x:v>RE-003506-2</x:v>
      </x:c>
      <x:c r="D655" s="2" t="str">
        <x:v>P.E. PENA DA CRUZ</x:v>
      </x:c>
      <x:c r="E655" s="4" t="n">
        <x:v>2.4048888888888884</x:v>
      </x:c>
      <x:c r="F655" s="4" t="n">
        <x:f>J655*0.95</x:f>
        <x:v>2.2369333333333334</x:v>
      </x:c>
      <x:c r="G655" s="4" t="n">
        <x:v>10.2</x:v>
      </x:c>
      <x:c r="H655" s="4" t="n">
        <x:v>89.61</x:v>
      </x:c>
      <x:c r="I655" s="5" t="n">
        <x:f t="shared" si="10">F655*1000*H655</x:f>
        <x:v>200451.596</x:v>
      </x:c>
      <x:c r="J655" t="n">
        <x:v>2.3546666666666667</x:v>
      </x:c>
    </x:row>
    <x:row r="656">
      <x:c r="A656" s="3" t="n">
        <x:v>2023</x:v>
      </x:c>
      <x:c r="B656" s="2" t="str">
        <x:v>Abril</x:v>
      </x:c>
      <x:c r="C656" s="2" t="str">
        <x:v>RE-003506-1</x:v>
      </x:c>
      <x:c r="D656" s="2" t="str">
        <x:v>P.E. PENA DA CRUZ</x:v>
      </x:c>
      <x:c r="E656" s="4" t="n">
        <x:v>2.078333333333333</x:v>
      </x:c>
      <x:c r="F656" s="4" t="n">
        <x:f>J656*1.02</x:f>
        <x:v>2.0836333333333332</x:v>
      </x:c>
      <x:c r="G656" s="4" t="n">
        <x:v>12.75</x:v>
      </x:c>
      <x:c r="H656" s="4" t="n">
        <x:v>73.73</x:v>
      </x:c>
      <x:c r="I656" s="5" t="n">
        <x:f t="shared" si="10">F656*1000*H656</x:f>
        <x:v>153626.28566666666</x:v>
      </x:c>
      <x:c r="J656" t="n">
        <x:v>2.042777777777778</x:v>
      </x:c>
    </x:row>
    <x:row r="657">
      <x:c r="A657" s="3" t="n">
        <x:v>2023</x:v>
      </x:c>
      <x:c r="B657" s="2" t="str">
        <x:v>Abril</x:v>
      </x:c>
      <x:c r="C657" s="2" t="str">
        <x:v>RE-003506-2</x:v>
      </x:c>
      <x:c r="D657" s="2" t="str">
        <x:v>P.E. PENA DA CRUZ</x:v>
      </x:c>
      <x:c r="E657" s="4" t="n">
        <x:v>1.662666666666667</x:v>
      </x:c>
      <x:c r="F657" s="4" t="n">
        <x:f>J657*1.02</x:f>
        <x:v>1.6669066666666668</x:v>
      </x:c>
      <x:c r="G657" s="4" t="n">
        <x:v>10.2</x:v>
      </x:c>
      <x:c r="H657" s="4" t="n">
        <x:v>73.73</x:v>
      </x:c>
      <x:c r="I657" s="5" t="n">
        <x:f t="shared" si="10">F657*1000*H657</x:f>
        <x:v>122901.02853333334</x:v>
      </x:c>
      <x:c r="J657" t="n">
        <x:v>1.6342222222222222</x:v>
      </x:c>
    </x:row>
    <x:row r="658">
      <x:c r="A658" s="3" t="n">
        <x:v>2023</x:v>
      </x:c>
      <x:c r="B658" s="2" t="str">
        <x:v>Mayo</x:v>
      </x:c>
      <x:c r="C658" s="2" t="str">
        <x:v>RE-003506-1</x:v>
      </x:c>
      <x:c r="D658" s="2" t="str">
        <x:v>P.E. PENA DA CRUZ</x:v>
      </x:c>
      <x:c r="E658" s="4" t="n">
        <x:v>2.087222222222222</x:v>
      </x:c>
      <x:c r="F658" s="4" t="n">
        <x:f>J658*0.98</x:f>
        <x:v>2.000833333333333</x:v>
      </x:c>
      <x:c r="G658" s="4" t="n">
        <x:v>12.75</x:v>
      </x:c>
      <x:c r="H658" s="4" t="n">
        <x:v>74.21</x:v>
      </x:c>
      <x:c r="I658" s="5" t="n">
        <x:f t="shared" si="10">F658*1000*H658</x:f>
        <x:v>148481.84166666665</x:v>
      </x:c>
      <x:c r="J658" t="n">
        <x:v>2.0416666666666665</x:v>
      </x:c>
    </x:row>
    <x:row r="659">
      <x:c r="A659" s="3" t="n">
        <x:v>2023</x:v>
      </x:c>
      <x:c r="B659" s="2" t="str">
        <x:v>Mayo</x:v>
      </x:c>
      <x:c r="C659" s="2" t="str">
        <x:v>RE-003506-2</x:v>
      </x:c>
      <x:c r="D659" s="2" t="str">
        <x:v>P.E. PENA DA CRUZ</x:v>
      </x:c>
      <x:c r="E659" s="4" t="n">
        <x:v>1.669777777777778</x:v>
      </x:c>
      <x:c r="F659" s="4" t="n">
        <x:f>J659*0.98</x:f>
        <x:v>1.6006666666666667</x:v>
      </x:c>
      <x:c r="G659" s="4" t="n">
        <x:v>10.2</x:v>
      </x:c>
      <x:c r="H659" s="4" t="n">
        <x:v>74.21</x:v>
      </x:c>
      <x:c r="I659" s="5" t="n">
        <x:f t="shared" si="10">F659*1000*H659</x:f>
        <x:v>118785.47333333333</x:v>
      </x:c>
      <x:c r="J659" t="n">
        <x:v>1.6333333333333333</x:v>
      </x:c>
    </x:row>
    <x:row r="660">
      <x:c r="A660" s="3" t="n">
        <x:v>2023</x:v>
      </x:c>
      <x:c r="B660" s="2" t="str">
        <x:v>Junio</x:v>
      </x:c>
      <x:c r="C660" s="2" t="str">
        <x:v>RE-003506-1</x:v>
      </x:c>
      <x:c r="D660" s="2" t="str">
        <x:v>P.E. PENA DA CRUZ</x:v>
      </x:c>
      <x:c r="E660" s="4" t="n">
        <x:v>1.7338888888888888</x:v>
      </x:c>
      <x:c r="F660" s="4" t="n">
        <x:f>J660*0.94</x:f>
        <x:v>1.6027</x:v>
      </x:c>
      <x:c r="G660" s="4" t="n">
        <x:v>12.75</x:v>
      </x:c>
      <x:c r="H660" s="4" t="n">
        <x:v>93.02</x:v>
      </x:c>
      <x:c r="I660" s="5" t="n">
        <x:f t="shared" si="10">F660*1000*H660</x:f>
        <x:v>149083.154</x:v>
      </x:c>
      <x:c r="J660" t="n">
        <x:v>1.705</x:v>
      </x:c>
    </x:row>
    <x:row r="661">
      <x:c r="A661" s="3" t="n">
        <x:v>2023</x:v>
      </x:c>
      <x:c r="B661" s="2" t="str">
        <x:v>Junio</x:v>
      </x:c>
      <x:c r="C661" s="2" t="str">
        <x:v>RE-003506-2</x:v>
      </x:c>
      <x:c r="D661" s="2" t="str">
        <x:v>P.E. PENA DA CRUZ</x:v>
      </x:c>
      <x:c r="E661" s="4" t="n">
        <x:v>1.3871111111111112</x:v>
      </x:c>
      <x:c r="F661" s="4" t="n">
        <x:f>J661*0.94</x:f>
        <x:v>1.2821599999999997</x:v>
      </x:c>
      <x:c r="G661" s="4" t="n">
        <x:v>10.2</x:v>
      </x:c>
      <x:c r="H661" s="4" t="n">
        <x:v>93.02</x:v>
      </x:c>
      <x:c r="I661" s="5" t="n">
        <x:f t="shared" si="10">F661*1000*H661</x:f>
        <x:v>119266.52319999998</x:v>
      </x:c>
      <x:c r="J661" t="n">
        <x:v>1.3639999999999999</x:v>
      </x:c>
    </x:row>
    <x:row r="662">
      <x:c r="A662" s="3" t="n">
        <x:v>2023</x:v>
      </x:c>
      <x:c r="B662" s="2" t="str">
        <x:v>Julio</x:v>
      </x:c>
      <x:c r="C662" s="2" t="str">
        <x:v>RE-003506-1</x:v>
      </x:c>
      <x:c r="D662" s="2" t="str">
        <x:v>P.E. PENA DA CRUZ</x:v>
      </x:c>
      <x:c r="E662" s="4" t="n">
        <x:v>1.646111111111111</x:v>
      </x:c>
      <x:c r="F662" s="4" t="n">
        <x:f>J662*1.01</x:f>
        <x:v>1.6339555555555556</x:v>
      </x:c>
      <x:c r="G662" s="4" t="n">
        <x:v>12.75</x:v>
      </x:c>
      <x:c r="H662" s="4" t="n">
        <x:v>90.47</x:v>
      </x:c>
      <x:c r="I662" s="5" t="n">
        <x:f t="shared" si="10">F662*1000*H662</x:f>
        <x:v>147823.9591111111</x:v>
      </x:c>
      <x:c r="J662" t="n">
        <x:v>1.6177777777777778</x:v>
      </x:c>
    </x:row>
    <x:row r="663">
      <x:c r="A663" s="3" t="n">
        <x:v>2023</x:v>
      </x:c>
      <x:c r="B663" s="2" t="str">
        <x:v>Julio</x:v>
      </x:c>
      <x:c r="C663" s="2" t="str">
        <x:v>RE-003506-2</x:v>
      </x:c>
      <x:c r="D663" s="2" t="str">
        <x:v>P.E. PENA DA CRUZ</x:v>
      </x:c>
      <x:c r="E663" s="4" t="n">
        <x:v>1.316888888888889</x:v>
      </x:c>
      <x:c r="F663" s="4" t="n">
        <x:f>J663*1.01</x:f>
        <x:v>1.3071644444444444</x:v>
      </x:c>
      <x:c r="G663" s="4" t="n">
        <x:v>10.2</x:v>
      </x:c>
      <x:c r="H663" s="4" t="n">
        <x:v>90.47</x:v>
      </x:c>
      <x:c r="I663" s="5" t="n">
        <x:f t="shared" si="10">F663*1000*H663</x:f>
        <x:v>118259.16728888889</x:v>
      </x:c>
      <x:c r="J663" t="n">
        <x:v>1.2942222222222222</x:v>
      </x:c>
    </x:row>
    <x:row r="664">
      <x:c r="A664" s="3" t="n">
        <x:v>2023</x:v>
      </x:c>
      <x:c r="B664" s="2" t="str">
        <x:v>Agosto</x:v>
      </x:c>
      <x:c r="C664" s="2" t="str">
        <x:v>RE-003506-1</x:v>
      </x:c>
      <x:c r="D664" s="2" t="str">
        <x:v>P.E. PENA DA CRUZ</x:v>
      </x:c>
      <x:c r="E664" s="4" t="n">
        <x:v>1.8583333333333334</x:v>
      </x:c>
      <x:c r="F664" s="4" t="n">
        <x:f>J664*0.97</x:f>
        <x:v>1.7680944444444444</x:v>
      </x:c>
      <x:c r="G664" s="4" t="n">
        <x:v>12.75</x:v>
      </x:c>
      <x:c r="H664" s="4" t="n">
        <x:v>96.05</x:v>
      </x:c>
      <x:c r="I664" s="5" t="n">
        <x:f t="shared" si="10">F664*1000*H664</x:f>
        <x:v>169825.4713888889</x:v>
      </x:c>
      <x:c r="J664" t="n">
        <x:v>1.8227777777777778</x:v>
      </x:c>
    </x:row>
    <x:row r="665">
      <x:c r="A665" s="3" t="n">
        <x:v>2023</x:v>
      </x:c>
      <x:c r="B665" s="2" t="str">
        <x:v>Agosto</x:v>
      </x:c>
      <x:c r="C665" s="2" t="str">
        <x:v>RE-003506-2</x:v>
      </x:c>
      <x:c r="D665" s="2" t="str">
        <x:v>P.E. PENA DA CRUZ</x:v>
      </x:c>
      <x:c r="E665" s="4" t="n">
        <x:v>1.4866666666666668</x:v>
      </x:c>
      <x:c r="F665" s="4" t="n">
        <x:f>J665*0.97</x:f>
        <x:v>1.4144755555555557</x:v>
      </x:c>
      <x:c r="G665" s="4" t="n">
        <x:v>10.2</x:v>
      </x:c>
      <x:c r="H665" s="4" t="n">
        <x:v>96.05</x:v>
      </x:c>
      <x:c r="I665" s="5" t="n">
        <x:f t="shared" si="10">F665*1000*H665</x:f>
        <x:v>135860.37711111113</x:v>
      </x:c>
      <x:c r="J665" t="n">
        <x:v>1.4582222222222223</x:v>
      </x:c>
    </x:row>
    <x:row r="666">
      <x:c r="A666" s="3" t="n">
        <x:v>2023</x:v>
      </x:c>
      <x:c r="B666" s="2" t="str">
        <x:v>Septiembre</x:v>
      </x:c>
      <x:c r="C666" s="2" t="str">
        <x:v>RE-003506-1</x:v>
      </x:c>
      <x:c r="D666" s="2" t="str">
        <x:v>P.E. PENA DA CRUZ</x:v>
      </x:c>
      <x:c r="E666" s="4" t="n">
        <x:v>1.9383333333333332</x:v>
      </x:c>
      <x:c r="F666" s="4" t="n">
        <x:f>J666*1.04</x:f>
        <x:v>1.9632888888888889</x:v>
      </x:c>
      <x:c r="G666" s="4" t="n">
        <x:v>12.75</x:v>
      </x:c>
      <x:c r="H666" s="4" t="n">
        <x:v>103.34</x:v>
      </x:c>
      <x:c r="I666" s="5" t="n">
        <x:f t="shared" si="10">F666*1000*H666</x:f>
        <x:v>202886.27377777777</x:v>
      </x:c>
      <x:c r="J666" t="n">
        <x:v>1.8877777777777778</x:v>
      </x:c>
    </x:row>
    <x:row r="667">
      <x:c r="A667" s="3" t="n">
        <x:v>2023</x:v>
      </x:c>
      <x:c r="B667" s="2" t="str">
        <x:v>Septiembre</x:v>
      </x:c>
      <x:c r="C667" s="2" t="str">
        <x:v>RE-003506-2</x:v>
      </x:c>
      <x:c r="D667" s="2" t="str">
        <x:v>P.E. PENA DA CRUZ</x:v>
      </x:c>
      <x:c r="E667" s="4" t="n">
        <x:v>1.5506666666666666</x:v>
      </x:c>
      <x:c r="F667" s="4" t="n">
        <x:f>J667*1.04</x:f>
        <x:v>1.5706311111111113</x:v>
      </x:c>
      <x:c r="G667" s="4" t="n">
        <x:v>10.2</x:v>
      </x:c>
      <x:c r="H667" s="4" t="n">
        <x:v>103.34</x:v>
      </x:c>
      <x:c r="I667" s="5" t="n">
        <x:f t="shared" si="10">F667*1000*H667</x:f>
        <x:v>162309.01902222226</x:v>
      </x:c>
      <x:c r="J667" t="n">
        <x:v>1.5102222222222224</x:v>
      </x:c>
    </x:row>
    <x:row r="668">
      <x:c r="A668" s="3" t="n">
        <x:v>2023</x:v>
      </x:c>
      <x:c r="B668" s="2" t="str">
        <x:v>Octubre</x:v>
      </x:c>
      <x:c r="C668" s="2" t="str">
        <x:v>RE-003506-1</x:v>
      </x:c>
      <x:c r="D668" s="2" t="str">
        <x:v>P.E. PENA DA CRUZ</x:v>
      </x:c>
      <x:c r="E668" s="4" t="n">
        <x:v>2.341666666666667</x:v>
      </x:c>
      <x:c r="F668" s="4" t="n">
        <x:f>J668*1</x:f>
        <x:v>2.3016666666666667</x:v>
      </x:c>
      <x:c r="G668" s="4" t="n">
        <x:v>12.75</x:v>
      </x:c>
      <x:c r="H668" s="4" t="n">
        <x:v>90.14</x:v>
      </x:c>
      <x:c r="I668" s="5" t="n">
        <x:f t="shared" si="10">F668*1000*H668</x:f>
        <x:v>207472.23333333337</x:v>
      </x:c>
      <x:c r="J668" t="n">
        <x:v>2.3016666666666667</x:v>
      </x:c>
    </x:row>
    <x:row r="669">
      <x:c r="A669" s="3" t="n">
        <x:v>2023</x:v>
      </x:c>
      <x:c r="B669" s="2" t="str">
        <x:v>Octubre</x:v>
      </x:c>
      <x:c r="C669" s="2" t="str">
        <x:v>RE-003506-2</x:v>
      </x:c>
      <x:c r="D669" s="2" t="str">
        <x:v>P.E. PENA DA CRUZ</x:v>
      </x:c>
      <x:c r="E669" s="4" t="n">
        <x:v>1.873333333333333</x:v>
      </x:c>
      <x:c r="F669" s="4" t="n">
        <x:f>J669*1</x:f>
        <x:v>1.841333333333333</x:v>
      </x:c>
      <x:c r="G669" s="4" t="n">
        <x:v>10.2</x:v>
      </x:c>
      <x:c r="H669" s="4" t="n">
        <x:v>90.14</x:v>
      </x:c>
      <x:c r="I669" s="5" t="n">
        <x:f t="shared" si="10">F669*1000*H669</x:f>
        <x:v>165977.78666666665</x:v>
      </x:c>
      <x:c r="J669" t="n">
        <x:v>1.841333333333333</x:v>
      </x:c>
    </x:row>
    <x:row r="670">
      <x:c r="A670" s="3" t="n">
        <x:v>2023</x:v>
      </x:c>
      <x:c r="B670" s="2" t="str">
        <x:v>Noviembre</x:v>
      </x:c>
      <x:c r="C670" s="2" t="str">
        <x:v>RE-003506-1</x:v>
      </x:c>
      <x:c r="D670" s="2" t="str">
        <x:v>P.E. PENA DA CRUZ</x:v>
      </x:c>
      <x:c r="E670" s="4" t="n">
        <x:v>2.6322222222222225</x:v>
      </x:c>
      <x:c r="F670" s="4" t="n">
        <x:f>J670*0.96</x:f>
        <x:v>2.4751999999999996</x:v>
      </x:c>
      <x:c r="G670" s="4" t="n">
        <x:v>12.75</x:v>
      </x:c>
      <x:c r="H670" s="4" t="n">
        <x:v>63.45</x:v>
      </x:c>
      <x:c r="I670" s="5" t="n">
        <x:f t="shared" si="10">F670*1000*H670</x:f>
        <x:v>157051.44</x:v>
      </x:c>
      <x:c r="J670" t="n">
        <x:v>2.578333333333333</x:v>
      </x:c>
    </x:row>
    <x:row r="671">
      <x:c r="A671" s="3" t="n">
        <x:v>2023</x:v>
      </x:c>
      <x:c r="B671" s="2" t="str">
        <x:v>Noviembre</x:v>
      </x:c>
      <x:c r="C671" s="2" t="str">
        <x:v>RE-003506-2</x:v>
      </x:c>
      <x:c r="D671" s="2" t="str">
        <x:v>P.E. PENA DA CRUZ</x:v>
      </x:c>
      <x:c r="E671" s="4" t="n">
        <x:v>2.105777777777778</x:v>
      </x:c>
      <x:c r="F671" s="4" t="n">
        <x:f>J671*0.96</x:f>
        <x:v>1.9801600000000001</x:v>
      </x:c>
      <x:c r="G671" s="4" t="n">
        <x:v>10.2</x:v>
      </x:c>
      <x:c r="H671" s="4" t="n">
        <x:v>63.45</x:v>
      </x:c>
      <x:c r="I671" s="5" t="n">
        <x:f t="shared" si="10">F671*1000*H671</x:f>
        <x:v>125641.15200000002</x:v>
      </x:c>
      <x:c r="J671" t="n">
        <x:v>2.062666666666667</x:v>
      </x:c>
    </x:row>
    <x:row r="672">
      <x:c r="A672" s="3" t="n">
        <x:v>2023</x:v>
      </x:c>
      <x:c r="B672" s="2" t="str">
        <x:v>Diciembre</x:v>
      </x:c>
      <x:c r="C672" s="2" t="str">
        <x:v>RE-003506-1</x:v>
      </x:c>
      <x:c r="D672" s="2" t="str">
        <x:v>P.E. PENA DA CRUZ</x:v>
      </x:c>
      <x:c r="E672" s="4" t="n">
        <x:v>3.726111111111111</x:v>
      </x:c>
      <x:c r="F672" s="4" t="n">
        <x:f>J672*1.03</x:f>
        <x:v>3.725166666666667</x:v>
      </x:c>
      <x:c r="G672" s="4" t="n">
        <x:v>12.75</x:v>
      </x:c>
      <x:c r="H672" s="4" t="n">
        <x:v>72.17</x:v>
      </x:c>
      <x:c r="I672" s="5" t="n">
        <x:f t="shared" si="10">F672*1000*H672</x:f>
        <x:v>268845.2783333334</x:v>
      </x:c>
      <x:c r="J672" t="n">
        <x:v>3.6166666666666667</x:v>
      </x:c>
    </x:row>
    <x:row r="673">
      <x:c r="A673" s="3" t="n">
        <x:v>2023</x:v>
      </x:c>
      <x:c r="B673" s="2" t="str">
        <x:v>Diciembre</x:v>
      </x:c>
      <x:c r="C673" s="2" t="str">
        <x:v>RE-003506-2</x:v>
      </x:c>
      <x:c r="D673" s="2" t="str">
        <x:v>P.E. PENA DA CRUZ</x:v>
      </x:c>
      <x:c r="E673" s="4" t="n">
        <x:v>2.980888888888889</x:v>
      </x:c>
      <x:c r="F673" s="4" t="n">
        <x:f>J673*1.03</x:f>
        <x:v>2.9801333333333333</x:v>
      </x:c>
      <x:c r="G673" s="4" t="n">
        <x:v>10.2</x:v>
      </x:c>
      <x:c r="H673" s="4" t="n">
        <x:v>72.17</x:v>
      </x:c>
      <x:c r="I673" s="5" t="n">
        <x:f t="shared" si="10">F673*1000*H673</x:f>
        <x:v>215076.22266666667</x:v>
      </x:c>
      <x:c r="J673" t="n">
        <x:v>2.893333333333333</x:v>
      </x:c>
    </x:row>
    <x:row r="674">
      <x:c r="A674" s="3" t="n">
        <x:v>2023</x:v>
      </x:c>
      <x:c r="B674" s="2" t="str">
        <x:v>Enero</x:v>
      </x:c>
      <x:c r="C674" s="2" t="str">
        <x:v>RE-003507-1</x:v>
      </x:c>
      <x:c r="D674" s="2" t="str">
        <x:v>P. E. DEVA (ampliación 11400 Kw, 2/6/03)</x:v>
      </x:c>
      <x:c r="E674" s="4" t="n">
        <x:v>10.028</x:v>
      </x:c>
      <x:c r="F674" s="4" t="n">
        <x:f>J674*0.99</x:f>
        <x:v>9.68715</x:v>
      </x:c>
      <x:c r="G674" s="4" t="n">
        <x:v>39.6</x:v>
      </x:c>
      <x:c r="H674" s="4" t="n">
        <x:v>69.55</x:v>
      </x:c>
      <x:c r="I674" s="5" t="n">
        <x:f t="shared" si="10">F674*1000*H674</x:f>
        <x:v>673741.2825000001</x:v>
      </x:c>
      <x:c r="J674" t="n">
        <x:v>9.785</x:v>
      </x:c>
    </x:row>
    <x:row r="675">
      <x:c r="A675" s="3" t="n">
        <x:v>2023</x:v>
      </x:c>
      <x:c r="B675" s="2" t="str">
        <x:v>Febrero</x:v>
      </x:c>
      <x:c r="C675" s="2" t="str">
        <x:v>RE-003507-1</x:v>
      </x:c>
      <x:c r="D675" s="2" t="str">
        <x:v>P. E. DEVA (ampliación 11400 Kw, 2/6/03)</x:v>
      </x:c>
      <x:c r="E675" s="4" t="n">
        <x:v>9.211</x:v>
      </x:c>
      <x:c r="F675" s="4" t="n">
        <x:f>J675*0.95</x:f>
        <x:v>8.56805</x:v>
      </x:c>
      <x:c r="G675" s="4" t="n">
        <x:v>39.6</x:v>
      </x:c>
      <x:c r="H675" s="4" t="n">
        <x:v>133.47</x:v>
      </x:c>
      <x:c r="I675" s="5" t="n">
        <x:f t="shared" si="10">F675*1000*H675</x:f>
        <x:v>1143577.6335</x:v>
      </x:c>
      <x:c r="J675" t="n">
        <x:v>9.019</x:v>
      </x:c>
    </x:row>
    <x:row r="676">
      <x:c r="A676" s="3" t="n">
        <x:v>2023</x:v>
      </x:c>
      <x:c r="B676" s="2" t="str">
        <x:v>Marzo</x:v>
      </x:c>
      <x:c r="C676" s="2" t="str">
        <x:v>RE-003507-1</x:v>
      </x:c>
      <x:c r="D676" s="2" t="str">
        <x:v>P. E. DEVA (ampliación 11400 Kw, 2/6/03)</x:v>
      </x:c>
      <x:c r="E676" s="4" t="n">
        <x:v>10.034</x:v>
      </x:c>
      <x:c r="F676" s="4" t="n">
        <x:f>J676*1.02</x:f>
        <x:v>10.00212</x:v>
      </x:c>
      <x:c r="G676" s="4" t="n">
        <x:v>39.6</x:v>
      </x:c>
      <x:c r="H676" s="4" t="n">
        <x:v>89.61</x:v>
      </x:c>
      <x:c r="I676" s="5" t="n">
        <x:f t="shared" si="10">F676*1000*H676</x:f>
        <x:v>896289.9731999999</x:v>
      </x:c>
      <x:c r="J676" t="n">
        <x:v>9.806</x:v>
      </x:c>
    </x:row>
    <x:row r="677">
      <x:c r="A677" s="3" t="n">
        <x:v>2023</x:v>
      </x:c>
      <x:c r="B677" s="2" t="str">
        <x:v>Abril</x:v>
      </x:c>
      <x:c r="C677" s="2" t="str">
        <x:v>RE-003507-1</x:v>
      </x:c>
      <x:c r="D677" s="2" t="str">
        <x:v>P. E. DEVA (ampliación 11400 Kw, 2/6/03)</x:v>
      </x:c>
      <x:c r="E677" s="4" t="n">
        <x:v>7.754</x:v>
      </x:c>
      <x:c r="F677" s="4" t="n">
        <x:f>J677*0.98</x:f>
        <x:v>7.45878</x:v>
      </x:c>
      <x:c r="G677" s="4" t="n">
        <x:v>39.6</x:v>
      </x:c>
      <x:c r="H677" s="4" t="n">
        <x:v>73.73</x:v>
      </x:c>
      <x:c r="I677" s="5" t="n">
        <x:f t="shared" si="10">F677*1000*H677</x:f>
        <x:v>549935.8494000001</x:v>
      </x:c>
      <x:c r="J677" t="n">
        <x:v>7.611</x:v>
      </x:c>
    </x:row>
    <x:row r="678">
      <x:c r="A678" s="3" t="n">
        <x:v>2023</x:v>
      </x:c>
      <x:c r="B678" s="2" t="str">
        <x:v>Mayo</x:v>
      </x:c>
      <x:c r="C678" s="2" t="str">
        <x:v>RE-003507-1</x:v>
      </x:c>
      <x:c r="D678" s="2" t="str">
        <x:v>P. E. DEVA (ampliación 11400 Kw, 2/6/03)</x:v>
      </x:c>
      <x:c r="E678" s="4" t="n">
        <x:v>6.768</x:v>
      </x:c>
      <x:c r="F678" s="4" t="n">
        <x:f>J678*0.94</x:f>
        <x:v>6.16828</x:v>
      </x:c>
      <x:c r="G678" s="4" t="n">
        <x:v>39.6</x:v>
      </x:c>
      <x:c r="H678" s="4" t="n">
        <x:v>74.21</x:v>
      </x:c>
      <x:c r="I678" s="5" t="n">
        <x:f t="shared" si="10">F678*1000*H678</x:f>
        <x:v>457748.0588</x:v>
      </x:c>
      <x:c r="J678" t="n">
        <x:v>6.562</x:v>
      </x:c>
    </x:row>
    <x:row r="679">
      <x:c r="A679" s="3" t="n">
        <x:v>2023</x:v>
      </x:c>
      <x:c r="B679" s="2" t="str">
        <x:v>Junio</x:v>
      </x:c>
      <x:c r="C679" s="2" t="str">
        <x:v>RE-003507-1</x:v>
      </x:c>
      <x:c r="D679" s="2" t="str">
        <x:v>P. E. DEVA (ampliación 11400 Kw, 2/6/03)</x:v>
      </x:c>
      <x:c r="E679" s="4" t="n">
        <x:v>6.852</x:v>
      </x:c>
      <x:c r="F679" s="4" t="n">
        <x:f>J679*1.01</x:f>
        <x:v>6.74175</x:v>
      </x:c>
      <x:c r="G679" s="4" t="n">
        <x:v>39.6</x:v>
      </x:c>
      <x:c r="H679" s="4" t="n">
        <x:v>93.02</x:v>
      </x:c>
      <x:c r="I679" s="5" t="n">
        <x:f t="shared" si="10">F679*1000*H679</x:f>
        <x:v>627117.585</x:v>
      </x:c>
      <x:c r="J679" t="n">
        <x:v>6.675</x:v>
      </x:c>
    </x:row>
    <x:row r="680">
      <x:c r="A680" s="3" t="n">
        <x:v>2023</x:v>
      </x:c>
      <x:c r="B680" s="2" t="str">
        <x:v>Julio</x:v>
      </x:c>
      <x:c r="C680" s="2" t="str">
        <x:v>RE-003507-1</x:v>
      </x:c>
      <x:c r="D680" s="2" t="str">
        <x:v>P. E. DEVA (ampliación 11400 Kw, 2/6/03)</x:v>
      </x:c>
      <x:c r="E680" s="4" t="n">
        <x:v>5.311</x:v>
      </x:c>
      <x:c r="F680" s="4" t="n">
        <x:f>J680*0.97</x:f>
        <x:v>5.06243</x:v>
      </x:c>
      <x:c r="G680" s="4" t="n">
        <x:v>39.6</x:v>
      </x:c>
      <x:c r="H680" s="4" t="n">
        <x:v>90.47</x:v>
      </x:c>
      <x:c r="I680" s="5" t="n">
        <x:f t="shared" si="10">F680*1000*H680</x:f>
        <x:v>457998.0421</x:v>
      </x:c>
      <x:c r="J680" t="n">
        <x:v>5.219</x:v>
      </x:c>
    </x:row>
    <x:row r="681">
      <x:c r="A681" s="3" t="n">
        <x:v>2023</x:v>
      </x:c>
      <x:c r="B681" s="2" t="str">
        <x:v>Agosto</x:v>
      </x:c>
      <x:c r="C681" s="2" t="str">
        <x:v>RE-003507-1</x:v>
      </x:c>
      <x:c r="D681" s="2" t="str">
        <x:v>P. E. DEVA (ampliación 11400 Kw, 2/6/03)</x:v>
      </x:c>
      <x:c r="E681" s="4" t="n">
        <x:v>5.407</x:v>
      </x:c>
      <x:c r="F681" s="4" t="n">
        <x:f>J681*1.04</x:f>
        <x:v>5.44336</x:v>
      </x:c>
      <x:c r="G681" s="4" t="n">
        <x:v>39.6</x:v>
      </x:c>
      <x:c r="H681" s="4" t="n">
        <x:v>96.05</x:v>
      </x:c>
      <x:c r="I681" s="5" t="n">
        <x:f t="shared" si="10">F681*1000*H681</x:f>
        <x:v>522834.72800000006</x:v>
      </x:c>
      <x:c r="J681" t="n">
        <x:v>5.234</x:v>
      </x:c>
    </x:row>
    <x:row r="682">
      <x:c r="A682" s="3" t="n">
        <x:v>2023</x:v>
      </x:c>
      <x:c r="B682" s="2" t="str">
        <x:v>Septiembre</x:v>
      </x:c>
      <x:c r="C682" s="2" t="str">
        <x:v>RE-003507-1</x:v>
      </x:c>
      <x:c r="D682" s="2" t="str">
        <x:v>P. E. DEVA (ampliación 11400 Kw, 2/6/03)</x:v>
      </x:c>
      <x:c r="E682" s="4" t="n">
        <x:v>6.628</x:v>
      </x:c>
      <x:c r="F682" s="4" t="n">
        <x:f>J682*1</x:f>
        <x:v>6.422</x:v>
      </x:c>
      <x:c r="G682" s="4" t="n">
        <x:v>39.6</x:v>
      </x:c>
      <x:c r="H682" s="4" t="n">
        <x:v>103.34</x:v>
      </x:c>
      <x:c r="I682" s="5" t="n">
        <x:f t="shared" si="10">F682*1000*H682</x:f>
        <x:v>663649.48</x:v>
      </x:c>
      <x:c r="J682" t="n">
        <x:v>6.422</x:v>
      </x:c>
    </x:row>
    <x:row r="683">
      <x:c r="A683" s="3" t="n">
        <x:v>2023</x:v>
      </x:c>
      <x:c r="B683" s="2" t="str">
        <x:v>Octubre</x:v>
      </x:c>
      <x:c r="C683" s="2" t="str">
        <x:v>RE-003507-1</x:v>
      </x:c>
      <x:c r="D683" s="2" t="str">
        <x:v>P. E. DEVA (ampliación 11400 Kw, 2/6/03)</x:v>
      </x:c>
      <x:c r="E683" s="4" t="n">
        <x:v>8.156</x:v>
      </x:c>
      <x:c r="F683" s="4" t="n">
        <x:f>J683*0.96</x:f>
        <x:v>7.62336</x:v>
      </x:c>
      <x:c r="G683" s="4" t="n">
        <x:v>39.6</x:v>
      </x:c>
      <x:c r="H683" s="4" t="n">
        <x:v>90.14</x:v>
      </x:c>
      <x:c r="I683" s="5" t="n">
        <x:f t="shared" si="10">F683*1000*H683</x:f>
        <x:v>687169.6704</x:v>
      </x:c>
      <x:c r="J683" t="n">
        <x:v>7.941</x:v>
      </x:c>
    </x:row>
    <x:row r="684">
      <x:c r="A684" s="3" t="n">
        <x:v>2023</x:v>
      </x:c>
      <x:c r="B684" s="2" t="str">
        <x:v>Noviembre</x:v>
      </x:c>
      <x:c r="C684" s="2" t="str">
        <x:v>RE-003507-1</x:v>
      </x:c>
      <x:c r="D684" s="2" t="str">
        <x:v>P. E. DEVA (ampliación 11400 Kw, 2/6/03)</x:v>
      </x:c>
      <x:c r="E684" s="4" t="n">
        <x:v>9.203</x:v>
      </x:c>
      <x:c r="F684" s="4" t="n">
        <x:f>J684*1.03</x:f>
        <x:v>9.22056</x:v>
      </x:c>
      <x:c r="G684" s="4" t="n">
        <x:v>39.6</x:v>
      </x:c>
      <x:c r="H684" s="4" t="n">
        <x:v>63.45</x:v>
      </x:c>
      <x:c r="I684" s="5" t="n">
        <x:f t="shared" si="10">F684*1000*H684</x:f>
        <x:v>585044.5320000001</x:v>
      </x:c>
      <x:c r="J684" t="n">
        <x:v>8.952</x:v>
      </x:c>
    </x:row>
    <x:row r="685">
      <x:c r="A685" s="3" t="n">
        <x:v>2023</x:v>
      </x:c>
      <x:c r="B685" s="2" t="str">
        <x:v>Diciembre</x:v>
      </x:c>
      <x:c r="C685" s="2" t="str">
        <x:v>RE-003507-1</x:v>
      </x:c>
      <x:c r="D685" s="2" t="str">
        <x:v>P. E. DEVA (ampliación 11400 Kw, 2/6/03)</x:v>
      </x:c>
      <x:c r="E685" s="4" t="n">
        <x:v>11.727</x:v>
      </x:c>
      <x:c r="F685" s="4" t="n">
        <x:f>J685*0.99</x:f>
        <x:v>11.25333</x:v>
      </x:c>
      <x:c r="G685" s="4" t="n">
        <x:v>39.6</x:v>
      </x:c>
      <x:c r="H685" s="4" t="n">
        <x:v>72.17</x:v>
      </x:c>
      <x:c r="I685" s="5" t="n">
        <x:f t="shared" si="10">F685*1000*H685</x:f>
        <x:v>812152.8261000001</x:v>
      </x:c>
      <x:c r="J685" t="n">
        <x:v>11.367</x:v>
      </x:c>
    </x:row>
    <x:row r="686">
      <x:c r="A686" s="3" t="n">
        <x:v>2023</x:v>
      </x:c>
      <x:c r="B686" s="2" t="str">
        <x:v>Enero</x:v>
      </x:c>
      <x:c r="C686" s="2" t="str">
        <x:v>RE-003766-1</x:v>
      </x:c>
      <x:c r="D686" s="2" t="str">
        <x:v>P.E. PEDREGAL TREMUZO</x:v>
      </x:c>
      <x:c r="E686" s="4" t="n">
        <x:v>13.034</x:v>
      </x:c>
      <x:c r="F686" s="4" t="n">
        <x:f>J686*0.95</x:f>
        <x:v>12.13435</x:v>
      </x:c>
      <x:c r="G686" s="4" t="n">
        <x:v>44.6</x:v>
      </x:c>
      <x:c r="H686" s="4" t="n">
        <x:v>69.55</x:v>
      </x:c>
      <x:c r="I686" s="5" t="n">
        <x:f t="shared" si="10">F686*1000*H686</x:f>
        <x:v>843944.0425</x:v>
      </x:c>
      <x:c r="J686" t="n">
        <x:v>12.773</x:v>
      </x:c>
    </x:row>
    <x:row r="687">
      <x:c r="A687" s="3" t="n">
        <x:v>2023</x:v>
      </x:c>
      <x:c r="B687" s="2" t="str">
        <x:v>Enero</x:v>
      </x:c>
      <x:c r="C687" s="2" t="str">
        <x:v>RE-003766-2</x:v>
      </x:c>
      <x:c r="D687" s="2" t="str">
        <x:v>P.E. PEDREGAL TREMUZO</x:v>
      </x:c>
      <x:c r="E687" s="4" t="n">
        <x:v>0</x:v>
      </x:c>
      <x:c r="F687" s="4" t="n">
        <x:f>J687*0.95</x:f>
        <x:v>0</x:v>
      </x:c>
      <x:c r="G687" s="4" t="n">
        <x:v>0</x:v>
      </x:c>
      <x:c r="H687" s="4" t="n">
        <x:v>69.55</x:v>
      </x:c>
      <x:c r="I687" s="5" t="n">
        <x:f t="shared" si="10">F687*1000*H687</x:f>
        <x:v>0</x:v>
      </x:c>
      <x:c r="J687" t="n">
        <x:v>0</x:v>
      </x:c>
    </x:row>
    <x:row r="688">
      <x:c r="A688" s="3" t="n">
        <x:v>2023</x:v>
      </x:c>
      <x:c r="B688" s="2" t="str">
        <x:v>Febrero</x:v>
      </x:c>
      <x:c r="C688" s="2" t="str">
        <x:v>RE-003766-1</x:v>
      </x:c>
      <x:c r="D688" s="2" t="str">
        <x:v>P.E. PEDREGAL TREMUZO</x:v>
      </x:c>
      <x:c r="E688" s="4" t="n">
        <x:v>10.545</x:v>
      </x:c>
      <x:c r="F688" s="4" t="n">
        <x:f>J688*1.02</x:f>
        <x:v>10.55088</x:v>
      </x:c>
      <x:c r="G688" s="4" t="n">
        <x:v>44.6</x:v>
      </x:c>
      <x:c r="H688" s="4" t="n">
        <x:v>133.47</x:v>
      </x:c>
      <x:c r="I688" s="5" t="n">
        <x:f t="shared" si="10">F688*1000*H688</x:f>
        <x:v>1408225.9536</x:v>
      </x:c>
      <x:c r="J688" t="n">
        <x:v>10.344</x:v>
      </x:c>
    </x:row>
    <x:row r="689">
      <x:c r="A689" s="3" t="n">
        <x:v>2023</x:v>
      </x:c>
      <x:c r="B689" s="2" t="str">
        <x:v>Febrero</x:v>
      </x:c>
      <x:c r="C689" s="2" t="str">
        <x:v>RE-003766-2</x:v>
      </x:c>
      <x:c r="D689" s="2" t="str">
        <x:v>P.E. PEDREGAL TREMUZO</x:v>
      </x:c>
      <x:c r="E689" s="4" t="n">
        <x:v>0</x:v>
      </x:c>
      <x:c r="F689" s="4" t="n">
        <x:f>J689*1.02</x:f>
        <x:v>0</x:v>
      </x:c>
      <x:c r="G689" s="4" t="n">
        <x:v>0</x:v>
      </x:c>
      <x:c r="H689" s="4" t="n">
        <x:v>133.47</x:v>
      </x:c>
      <x:c r="I689" s="5" t="n">
        <x:f t="shared" si="10">F689*1000*H689</x:f>
        <x:v>0</x:v>
      </x:c>
      <x:c r="J689" t="n">
        <x:v>0</x:v>
      </x:c>
    </x:row>
    <x:row r="690">
      <x:c r="A690" s="3" t="n">
        <x:v>2023</x:v>
      </x:c>
      <x:c r="B690" s="2" t="str">
        <x:v>Marzo</x:v>
      </x:c>
      <x:c r="C690" s="2" t="str">
        <x:v>RE-003766-1</x:v>
      </x:c>
      <x:c r="D690" s="2" t="str">
        <x:v>P.E. PEDREGAL TREMUZO</x:v>
      </x:c>
      <x:c r="E690" s="4" t="n">
        <x:v>13.304</x:v>
      </x:c>
      <x:c r="F690" s="4" t="n">
        <x:f>J690*0.98</x:f>
        <x:v>12.79586</x:v>
      </x:c>
      <x:c r="G690" s="4" t="n">
        <x:v>44.6</x:v>
      </x:c>
      <x:c r="H690" s="4" t="n">
        <x:v>89.61</x:v>
      </x:c>
      <x:c r="I690" s="5" t="n">
        <x:f t="shared" si="10">F690*1000*H690</x:f>
        <x:v>1146637.0145999999</x:v>
      </x:c>
      <x:c r="J690" t="n">
        <x:v>13.057</x:v>
      </x:c>
    </x:row>
    <x:row r="691">
      <x:c r="A691" s="3" t="n">
        <x:v>2023</x:v>
      </x:c>
      <x:c r="B691" s="2" t="str">
        <x:v>Marzo</x:v>
      </x:c>
      <x:c r="C691" s="2" t="str">
        <x:v>RE-003766-2</x:v>
      </x:c>
      <x:c r="D691" s="2" t="str">
        <x:v>P.E. PEDREGAL TREMUZO</x:v>
      </x:c>
      <x:c r="E691" s="4" t="n">
        <x:v>0</x:v>
      </x:c>
      <x:c r="F691" s="4" t="n">
        <x:f>J691*0.98</x:f>
        <x:v>0</x:v>
      </x:c>
      <x:c r="G691" s="4" t="n">
        <x:v>0</x:v>
      </x:c>
      <x:c r="H691" s="4" t="n">
        <x:v>89.61</x:v>
      </x:c>
      <x:c r="I691" s="5" t="n">
        <x:f t="shared" si="10">F691*1000*H691</x:f>
        <x:v>0</x:v>
      </x:c>
      <x:c r="J691" t="n">
        <x:v>0</x:v>
      </x:c>
    </x:row>
    <x:row r="692">
      <x:c r="A692" s="3" t="n">
        <x:v>2023</x:v>
      </x:c>
      <x:c r="B692" s="2" t="str">
        <x:v>Abril</x:v>
      </x:c>
      <x:c r="C692" s="2" t="str">
        <x:v>RE-003766-1</x:v>
      </x:c>
      <x:c r="D692" s="2" t="str">
        <x:v>P.E. PEDREGAL TREMUZO</x:v>
      </x:c>
      <x:c r="E692" s="4" t="n">
        <x:v>10.228</x:v>
      </x:c>
      <x:c r="F692" s="4" t="n">
        <x:f>J692*0.94</x:f>
        <x:v>9.362400000000001</x:v>
      </x:c>
      <x:c r="G692" s="4" t="n">
        <x:v>44.6</x:v>
      </x:c>
      <x:c r="H692" s="4" t="n">
        <x:v>73.73</x:v>
      </x:c>
      <x:c r="I692" s="5" t="n">
        <x:f t="shared" si="10">F692*1000*H692</x:f>
        <x:v>690289.7520000001</x:v>
      </x:c>
      <x:c r="J692" t="n">
        <x:v>9.96</x:v>
      </x:c>
    </x:row>
    <x:row r="693">
      <x:c r="A693" s="3" t="n">
        <x:v>2023</x:v>
      </x:c>
      <x:c r="B693" s="2" t="str">
        <x:v>Abril</x:v>
      </x:c>
      <x:c r="C693" s="2" t="str">
        <x:v>RE-003766-2</x:v>
      </x:c>
      <x:c r="D693" s="2" t="str">
        <x:v>P.E. PEDREGAL TREMUZO</x:v>
      </x:c>
      <x:c r="E693" s="4" t="n">
        <x:v>0</x:v>
      </x:c>
      <x:c r="F693" s="4" t="n">
        <x:f>J693*0.94</x:f>
        <x:v>0</x:v>
      </x:c>
      <x:c r="G693" s="4" t="n">
        <x:v>0</x:v>
      </x:c>
      <x:c r="H693" s="4" t="n">
        <x:v>73.73</x:v>
      </x:c>
      <x:c r="I693" s="5" t="n">
        <x:f t="shared" si="10">F693*1000*H693</x:f>
        <x:v>0</x:v>
      </x:c>
      <x:c r="J693" t="n">
        <x:v>0</x:v>
      </x:c>
    </x:row>
    <x:row r="694">
      <x:c r="A694" s="3" t="n">
        <x:v>2023</x:v>
      </x:c>
      <x:c r="B694" s="2" t="str">
        <x:v>Mayo</x:v>
      </x:c>
      <x:c r="C694" s="2" t="str">
        <x:v>RE-003766-1</x:v>
      </x:c>
      <x:c r="D694" s="2" t="str">
        <x:v>P.E. PEDREGAL TREMUZO</x:v>
      </x:c>
      <x:c r="E694" s="4" t="n">
        <x:v>9.594</x:v>
      </x:c>
      <x:c r="F694" s="4" t="n">
        <x:f>J694*1.01</x:f>
        <x:v>9.380880000000001</x:v>
      </x:c>
      <x:c r="G694" s="4" t="n">
        <x:v>44.6</x:v>
      </x:c>
      <x:c r="H694" s="4" t="n">
        <x:v>74.21</x:v>
      </x:c>
      <x:c r="I694" s="5" t="n">
        <x:f t="shared" si="10">F694*1000*H694</x:f>
        <x:v>696155.1048</x:v>
      </x:c>
      <x:c r="J694" t="n">
        <x:v>9.288</x:v>
      </x:c>
    </x:row>
    <x:row r="695">
      <x:c r="A695" s="3" t="n">
        <x:v>2023</x:v>
      </x:c>
      <x:c r="B695" s="2" t="str">
        <x:v>Mayo</x:v>
      </x:c>
      <x:c r="C695" s="2" t="str">
        <x:v>RE-003766-2</x:v>
      </x:c>
      <x:c r="D695" s="2" t="str">
        <x:v>P.E. PEDREGAL TREMUZO</x:v>
      </x:c>
      <x:c r="E695" s="4" t="n">
        <x:v>0</x:v>
      </x:c>
      <x:c r="F695" s="4" t="n">
        <x:f>J695*1.01</x:f>
        <x:v>0</x:v>
      </x:c>
      <x:c r="G695" s="4" t="n">
        <x:v>0</x:v>
      </x:c>
      <x:c r="H695" s="4" t="n">
        <x:v>74.21</x:v>
      </x:c>
      <x:c r="I695" s="5" t="n">
        <x:f t="shared" si="10">F695*1000*H695</x:f>
        <x:v>0</x:v>
      </x:c>
      <x:c r="J695" t="n">
        <x:v>0</x:v>
      </x:c>
    </x:row>
    <x:row r="696">
      <x:c r="A696" s="3" t="n">
        <x:v>2023</x:v>
      </x:c>
      <x:c r="B696" s="2" t="str">
        <x:v>Junio</x:v>
      </x:c>
      <x:c r="C696" s="2" t="str">
        <x:v>RE-003766-1</x:v>
      </x:c>
      <x:c r="D696" s="2" t="str">
        <x:v>P.E. PEDREGAL TREMUZO</x:v>
      </x:c>
      <x:c r="E696" s="4" t="n">
        <x:v>8.151</x:v>
      </x:c>
      <x:c r="F696" s="4" t="n">
        <x:f>J696*0.97</x:f>
        <x:v>7.759029999999999</x:v>
      </x:c>
      <x:c r="G696" s="4" t="n">
        <x:v>44.6</x:v>
      </x:c>
      <x:c r="H696" s="4" t="n">
        <x:v>93.02</x:v>
      </x:c>
      <x:c r="I696" s="5" t="n">
        <x:f t="shared" si="10">F696*1000*H696</x:f>
        <x:v>721744.9705999999</x:v>
      </x:c>
      <x:c r="J696" t="n">
        <x:v>7.999</x:v>
      </x:c>
    </x:row>
    <x:row r="697">
      <x:c r="A697" s="3" t="n">
        <x:v>2023</x:v>
      </x:c>
      <x:c r="B697" s="2" t="str">
        <x:v>Junio</x:v>
      </x:c>
      <x:c r="C697" s="2" t="str">
        <x:v>RE-003766-2</x:v>
      </x:c>
      <x:c r="D697" s="2" t="str">
        <x:v>P.E. PEDREGAL TREMUZO</x:v>
      </x:c>
      <x:c r="E697" s="4" t="n">
        <x:v>0</x:v>
      </x:c>
      <x:c r="F697" s="4" t="n">
        <x:f>J697*0.97</x:f>
        <x:v>0</x:v>
      </x:c>
      <x:c r="G697" s="4" t="n">
        <x:v>0</x:v>
      </x:c>
      <x:c r="H697" s="4" t="n">
        <x:v>93.02</x:v>
      </x:c>
      <x:c r="I697" s="5" t="n">
        <x:f t="shared" si="10">F697*1000*H697</x:f>
        <x:v>0</x:v>
      </x:c>
      <x:c r="J697" t="n">
        <x:v>0</x:v>
      </x:c>
    </x:row>
    <x:row r="698">
      <x:c r="A698" s="3" t="n">
        <x:v>2023</x:v>
      </x:c>
      <x:c r="B698" s="2" t="str">
        <x:v>Julio</x:v>
      </x:c>
      <x:c r="C698" s="2" t="str">
        <x:v>RE-003766-1</x:v>
      </x:c>
      <x:c r="D698" s="2" t="str">
        <x:v>P.E. PEDREGAL TREMUZO</x:v>
      </x:c>
      <x:c r="E698" s="4" t="n">
        <x:v>7.291</x:v>
      </x:c>
      <x:c r="F698" s="4" t="n">
        <x:f>J698*1.04</x:f>
        <x:v>7.429760000000001</x:v>
      </x:c>
      <x:c r="G698" s="4" t="n">
        <x:v>44.6</x:v>
      </x:c>
      <x:c r="H698" s="4" t="n">
        <x:v>90.47</x:v>
      </x:c>
      <x:c r="I698" s="5" t="n">
        <x:f t="shared" si="10">F698*1000*H698</x:f>
        <x:v>672170.3872000001</x:v>
      </x:c>
      <x:c r="J698" t="n">
        <x:v>7.144</x:v>
      </x:c>
    </x:row>
    <x:row r="699">
      <x:c r="A699" s="3" t="n">
        <x:v>2023</x:v>
      </x:c>
      <x:c r="B699" s="2" t="str">
        <x:v>Julio</x:v>
      </x:c>
      <x:c r="C699" s="2" t="str">
        <x:v>RE-003766-2</x:v>
      </x:c>
      <x:c r="D699" s="2" t="str">
        <x:v>P.E. PEDREGAL TREMUZO</x:v>
      </x:c>
      <x:c r="E699" s="4" t="n">
        <x:v>0</x:v>
      </x:c>
      <x:c r="F699" s="4" t="n">
        <x:f>J699*1.04</x:f>
        <x:v>0</x:v>
      </x:c>
      <x:c r="G699" s="4" t="n">
        <x:v>0</x:v>
      </x:c>
      <x:c r="H699" s="4" t="n">
        <x:v>90.47</x:v>
      </x:c>
      <x:c r="I699" s="5" t="n">
        <x:f t="shared" si="10">F699*1000*H699</x:f>
        <x:v>0</x:v>
      </x:c>
      <x:c r="J699" t="n">
        <x:v>0</x:v>
      </x:c>
    </x:row>
    <x:row r="700">
      <x:c r="A700" s="3" t="n">
        <x:v>2023</x:v>
      </x:c>
      <x:c r="B700" s="2" t="str">
        <x:v>Agosto</x:v>
      </x:c>
      <x:c r="C700" s="2" t="str">
        <x:v>RE-003766-1</x:v>
      </x:c>
      <x:c r="D700" s="2" t="str">
        <x:v>P.E. PEDREGAL TREMUZO</x:v>
      </x:c>
      <x:c r="E700" s="4" t="n">
        <x:v>7.762</x:v>
      </x:c>
      <x:c r="F700" s="4" t="n">
        <x:f>J700*1</x:f>
        <x:v>7.556</x:v>
      </x:c>
      <x:c r="G700" s="4" t="n">
        <x:v>44.6</x:v>
      </x:c>
      <x:c r="H700" s="4" t="n">
        <x:v>96.05</x:v>
      </x:c>
      <x:c r="I700" s="5" t="n">
        <x:f t="shared" si="10">F700*1000*H700</x:f>
        <x:v>725753.7999999999</x:v>
      </x:c>
      <x:c r="J700" t="n">
        <x:v>7.556</x:v>
      </x:c>
    </x:row>
    <x:row r="701">
      <x:c r="A701" s="3" t="n">
        <x:v>2023</x:v>
      </x:c>
      <x:c r="B701" s="2" t="str">
        <x:v>Agosto</x:v>
      </x:c>
      <x:c r="C701" s="2" t="str">
        <x:v>RE-003766-2</x:v>
      </x:c>
      <x:c r="D701" s="2" t="str">
        <x:v>P.E. PEDREGAL TREMUZO</x:v>
      </x:c>
      <x:c r="E701" s="4" t="n">
        <x:v>0</x:v>
      </x:c>
      <x:c r="F701" s="4" t="n">
        <x:f>J701*1</x:f>
        <x:v>0</x:v>
      </x:c>
      <x:c r="G701" s="4" t="n">
        <x:v>0</x:v>
      </x:c>
      <x:c r="H701" s="4" t="n">
        <x:v>96.05</x:v>
      </x:c>
      <x:c r="I701" s="5" t="n">
        <x:f t="shared" si="10">F701*1000*H701</x:f>
        <x:v>0</x:v>
      </x:c>
      <x:c r="J701" t="n">
        <x:v>0</x:v>
      </x:c>
    </x:row>
    <x:row r="702">
      <x:c r="A702" s="3" t="n">
        <x:v>2023</x:v>
      </x:c>
      <x:c r="B702" s="2" t="str">
        <x:v>Septiembre</x:v>
      </x:c>
      <x:c r="C702" s="2" t="str">
        <x:v>RE-003766-1</x:v>
      </x:c>
      <x:c r="D702" s="2" t="str">
        <x:v>P.E. PEDREGAL TREMUZO</x:v>
      </x:c>
      <x:c r="E702" s="4" t="n">
        <x:v>9.331</x:v>
      </x:c>
      <x:c r="F702" s="4" t="n">
        <x:f>J702*0.96</x:f>
        <x:v>8.7456</x:v>
      </x:c>
      <x:c r="G702" s="4" t="n">
        <x:v>44.6</x:v>
      </x:c>
      <x:c r="H702" s="4" t="n">
        <x:v>103.34</x:v>
      </x:c>
      <x:c r="I702" s="5" t="n">
        <x:f t="shared" si="10">F702*1000*H702</x:f>
        <x:v>903770.3040000001</x:v>
      </x:c>
      <x:c r="J702" t="n">
        <x:v>9.11</x:v>
      </x:c>
    </x:row>
    <x:row r="703">
      <x:c r="A703" s="3" t="n">
        <x:v>2023</x:v>
      </x:c>
      <x:c r="B703" s="2" t="str">
        <x:v>Septiembre</x:v>
      </x:c>
      <x:c r="C703" s="2" t="str">
        <x:v>RE-003766-2</x:v>
      </x:c>
      <x:c r="D703" s="2" t="str">
        <x:v>P.E. PEDREGAL TREMUZO</x:v>
      </x:c>
      <x:c r="E703" s="4" t="n">
        <x:v>0</x:v>
      </x:c>
      <x:c r="F703" s="4" t="n">
        <x:f>J703*0.96</x:f>
        <x:v>0</x:v>
      </x:c>
      <x:c r="G703" s="4" t="n">
        <x:v>0</x:v>
      </x:c>
      <x:c r="H703" s="4" t="n">
        <x:v>103.34</x:v>
      </x:c>
      <x:c r="I703" s="5" t="n">
        <x:f t="shared" si="10">F703*1000*H703</x:f>
        <x:v>0</x:v>
      </x:c>
      <x:c r="J703" t="n">
        <x:v>0</x:v>
      </x:c>
    </x:row>
    <x:row r="704">
      <x:c r="A704" s="3" t="n">
        <x:v>2023</x:v>
      </x:c>
      <x:c r="B704" s="2" t="str">
        <x:v>Octubre</x:v>
      </x:c>
      <x:c r="C704" s="2" t="str">
        <x:v>RE-003766-1</x:v>
      </x:c>
      <x:c r="D704" s="2" t="str">
        <x:v>P.E. PEDREGAL TREMUZO</x:v>
      </x:c>
      <x:c r="E704" s="4" t="n">
        <x:v>10.415</x:v>
      </x:c>
      <x:c r="F704" s="4" t="n">
        <x:f>J704*1.03</x:f>
        <x:v>10.50085</x:v>
      </x:c>
      <x:c r="G704" s="4" t="n">
        <x:v>44.6</x:v>
      </x:c>
      <x:c r="H704" s="4" t="n">
        <x:v>90.14</x:v>
      </x:c>
      <x:c r="I704" s="5" t="n">
        <x:f t="shared" si="10">F704*1000*H704</x:f>
        <x:v>946546.6190000001</x:v>
      </x:c>
      <x:c r="J704" t="n">
        <x:v>10.195</x:v>
      </x:c>
    </x:row>
    <x:row r="705">
      <x:c r="A705" s="3" t="n">
        <x:v>2023</x:v>
      </x:c>
      <x:c r="B705" s="2" t="str">
        <x:v>Octubre</x:v>
      </x:c>
      <x:c r="C705" s="2" t="str">
        <x:v>RE-003766-2</x:v>
      </x:c>
      <x:c r="D705" s="2" t="str">
        <x:v>P.E. PEDREGAL TREMUZO</x:v>
      </x:c>
      <x:c r="E705" s="4" t="n">
        <x:v>0</x:v>
      </x:c>
      <x:c r="F705" s="4" t="n">
        <x:f>J705*1.03</x:f>
        <x:v>0</x:v>
      </x:c>
      <x:c r="G705" s="4" t="n">
        <x:v>0</x:v>
      </x:c>
      <x:c r="H705" s="4" t="n">
        <x:v>90.14</x:v>
      </x:c>
      <x:c r="I705" s="5" t="n">
        <x:f t="shared" si="10">F705*1000*H705</x:f>
        <x:v>0</x:v>
      </x:c>
      <x:c r="J705" t="n">
        <x:v>0</x:v>
      </x:c>
    </x:row>
    <x:row r="706">
      <x:c r="A706" s="3" t="n">
        <x:v>2023</x:v>
      </x:c>
      <x:c r="B706" s="2" t="str">
        <x:v>Noviembre</x:v>
      </x:c>
      <x:c r="C706" s="2" t="str">
        <x:v>RE-003766-1</x:v>
      </x:c>
      <x:c r="D706" s="2" t="str">
        <x:v>P.E. PEDREGAL TREMUZO</x:v>
      </x:c>
      <x:c r="E706" s="4" t="n">
        <x:v>10.429</x:v>
      </x:c>
      <x:c r="F706" s="4" t="n">
        <x:f>J706*0.99</x:f>
        <x:v>10.14057</x:v>
      </x:c>
      <x:c r="G706" s="4" t="n">
        <x:v>44.6</x:v>
      </x:c>
      <x:c r="H706" s="4" t="n">
        <x:v>63.45</x:v>
      </x:c>
      <x:c r="I706" s="5" t="n">
        <x:f t="shared" ref="I706:I769" si="11">F706*1000*H706</x:f>
        <x:v>643419.1665</x:v>
      </x:c>
      <x:c r="J706" t="n">
        <x:v>10.243</x:v>
      </x:c>
    </x:row>
    <x:row r="707">
      <x:c r="A707" s="3" t="n">
        <x:v>2023</x:v>
      </x:c>
      <x:c r="B707" s="2" t="str">
        <x:v>Noviembre</x:v>
      </x:c>
      <x:c r="C707" s="2" t="str">
        <x:v>RE-003766-2</x:v>
      </x:c>
      <x:c r="D707" s="2" t="str">
        <x:v>P.E. PEDREGAL TREMUZO</x:v>
      </x:c>
      <x:c r="E707" s="4" t="n">
        <x:v>0</x:v>
      </x:c>
      <x:c r="F707" s="4" t="n">
        <x:f>J707*0.99</x:f>
        <x:v>0</x:v>
      </x:c>
      <x:c r="G707" s="4" t="n">
        <x:v>0</x:v>
      </x:c>
      <x:c r="H707" s="4" t="n">
        <x:v>63.45</x:v>
      </x:c>
      <x:c r="I707" s="5" t="n">
        <x:f t="shared" si="11">F707*1000*H707</x:f>
        <x:v>0</x:v>
      </x:c>
      <x:c r="J707" t="n">
        <x:v>0</x:v>
      </x:c>
    </x:row>
    <x:row r="708">
      <x:c r="A708" s="3" t="n">
        <x:v>2023</x:v>
      </x:c>
      <x:c r="B708" s="2" t="str">
        <x:v>Diciembre</x:v>
      </x:c>
      <x:c r="C708" s="2" t="str">
        <x:v>RE-003766-1</x:v>
      </x:c>
      <x:c r="D708" s="2" t="str">
        <x:v>P.E. PEDREGAL TREMUZO</x:v>
      </x:c>
      <x:c r="E708" s="4" t="n">
        <x:v>12.624</x:v>
      </x:c>
      <x:c r="F708" s="4" t="n">
        <x:f>J708*0.95</x:f>
        <x:v>11.6717</x:v>
      </x:c>
      <x:c r="G708" s="4" t="n">
        <x:v>44.6</x:v>
      </x:c>
      <x:c r="H708" s="4" t="n">
        <x:v>72.17</x:v>
      </x:c>
      <x:c r="I708" s="5" t="n">
        <x:f t="shared" si="11">F708*1000*H708</x:f>
        <x:v>842346.5889999999</x:v>
      </x:c>
      <x:c r="J708" t="n">
        <x:v>12.286</x:v>
      </x:c>
    </x:row>
    <x:row r="709">
      <x:c r="A709" s="3" t="n">
        <x:v>2023</x:v>
      </x:c>
      <x:c r="B709" s="2" t="str">
        <x:v>Diciembre</x:v>
      </x:c>
      <x:c r="C709" s="2" t="str">
        <x:v>RE-003766-2</x:v>
      </x:c>
      <x:c r="D709" s="2" t="str">
        <x:v>P.E. PEDREGAL TREMUZO</x:v>
      </x:c>
      <x:c r="E709" s="4" t="n">
        <x:v>0</x:v>
      </x:c>
      <x:c r="F709" s="4" t="n">
        <x:f>J709*0.95</x:f>
        <x:v>0</x:v>
      </x:c>
      <x:c r="G709" s="4" t="n">
        <x:v>0</x:v>
      </x:c>
      <x:c r="H709" s="4" t="n">
        <x:v>72.17</x:v>
      </x:c>
      <x:c r="I709" s="5" t="n">
        <x:f t="shared" si="11">F709*1000*H709</x:f>
        <x:v>0</x:v>
      </x:c>
      <x:c r="J709" t="n">
        <x:v>0</x:v>
      </x:c>
    </x:row>
    <x:row r="710">
      <x:c r="A710" s="3" t="n">
        <x:v>2023</x:v>
      </x:c>
      <x:c r="B710" s="2" t="str">
        <x:v>Enero</x:v>
      </x:c>
      <x:c r="C710" s="2" t="str">
        <x:v>RE-003767-1</x:v>
      </x:c>
      <x:c r="D710" s="2" t="str">
        <x:v>P.E. MONTE CARRIO (antes MONTE CASTELO)</x:v>
      </x:c>
      <x:c r="E710" s="4" t="n">
        <x:v>8.751</x:v>
      </x:c>
      <x:c r="F710" s="4" t="n">
        <x:f>J710*1.02</x:f>
        <x:v>8.65878</x:v>
      </x:c>
      <x:c r="G710" s="4" t="n">
        <x:v>31.45</x:v>
      </x:c>
      <x:c r="H710" s="4" t="n">
        <x:v>69.55</x:v>
      </x:c>
      <x:c r="I710" s="5" t="n">
        <x:f t="shared" si="11">F710*1000*H710</x:f>
        <x:v>602218.149</x:v>
      </x:c>
      <x:c r="J710" t="n">
        <x:v>8.489</x:v>
      </x:c>
    </x:row>
    <x:row r="711">
      <x:c r="A711" s="3" t="n">
        <x:v>2023</x:v>
      </x:c>
      <x:c r="B711" s="2" t="str">
        <x:v>Febrero</x:v>
      </x:c>
      <x:c r="C711" s="2" t="str">
        <x:v>RE-003767-1</x:v>
      </x:c>
      <x:c r="D711" s="2" t="str">
        <x:v>P.E. MONTE CARRIO (antes MONTE CASTELO)</x:v>
      </x:c>
      <x:c r="E711" s="4" t="n">
        <x:v>6.566</x:v>
      </x:c>
      <x:c r="F711" s="4" t="n">
        <x:f>J711*0.98</x:f>
        <x:v>6.27592</x:v>
      </x:c>
      <x:c r="G711" s="4" t="n">
        <x:v>31.45</x:v>
      </x:c>
      <x:c r="H711" s="4" t="n">
        <x:v>133.47</x:v>
      </x:c>
      <x:c r="I711" s="5" t="n">
        <x:f t="shared" si="11">F711*1000*H711</x:f>
        <x:v>837647.0424</x:v>
      </x:c>
      <x:c r="J711" t="n">
        <x:v>6.404</x:v>
      </x:c>
    </x:row>
    <x:row r="712">
      <x:c r="A712" s="3" t="n">
        <x:v>2023</x:v>
      </x:c>
      <x:c r="B712" s="2" t="str">
        <x:v>Marzo</x:v>
      </x:c>
      <x:c r="C712" s="2" t="str">
        <x:v>RE-003767-1</x:v>
      </x:c>
      <x:c r="D712" s="2" t="str">
        <x:v>P.E. MONTE CARRIO (antes MONTE CASTELO)</x:v>
      </x:c>
      <x:c r="E712" s="4" t="n">
        <x:v>7.531</x:v>
      </x:c>
      <x:c r="F712" s="4" t="n">
        <x:f>J712*0.94</x:f>
        <x:v>6.91182</x:v>
      </x:c>
      <x:c r="G712" s="4" t="n">
        <x:v>31.45</x:v>
      </x:c>
      <x:c r="H712" s="4" t="n">
        <x:v>89.61</x:v>
      </x:c>
      <x:c r="I712" s="5" t="n">
        <x:f t="shared" si="11">F712*1000*H712</x:f>
        <x:v>619368.1902</x:v>
      </x:c>
      <x:c r="J712" t="n">
        <x:v>7.353</x:v>
      </x:c>
    </x:row>
    <x:row r="713">
      <x:c r="A713" s="3" t="n">
        <x:v>2023</x:v>
      </x:c>
      <x:c r="B713" s="2" t="str">
        <x:v>Abril</x:v>
      </x:c>
      <x:c r="C713" s="2" t="str">
        <x:v>RE-003767-1</x:v>
      </x:c>
      <x:c r="D713" s="2" t="str">
        <x:v>P.E. MONTE CARRIO (antes MONTE CASTELO)</x:v>
      </x:c>
      <x:c r="E713" s="4" t="n">
        <x:v>5.248</x:v>
      </x:c>
      <x:c r="F713" s="4" t="n">
        <x:f>J713*1.01</x:f>
        <x:v>5.15807</x:v>
      </x:c>
      <x:c r="G713" s="4" t="n">
        <x:v>31.45</x:v>
      </x:c>
      <x:c r="H713" s="4" t="n">
        <x:v>73.73</x:v>
      </x:c>
      <x:c r="I713" s="5" t="n">
        <x:f t="shared" si="11">F713*1000*H713</x:f>
        <x:v>380304.50110000005</x:v>
      </x:c>
      <x:c r="J713" t="n">
        <x:v>5.107</x:v>
      </x:c>
    </x:row>
    <x:row r="714">
      <x:c r="A714" s="3" t="n">
        <x:v>2023</x:v>
      </x:c>
      <x:c r="B714" s="2" t="str">
        <x:v>Mayo</x:v>
      </x:c>
      <x:c r="C714" s="2" t="str">
        <x:v>RE-003767-1</x:v>
      </x:c>
      <x:c r="D714" s="2" t="str">
        <x:v>P.E. MONTE CARRIO (antes MONTE CASTELO)</x:v>
      </x:c>
      <x:c r="E714" s="4" t="n">
        <x:v>5.891</x:v>
      </x:c>
      <x:c r="F714" s="4" t="n">
        <x:f>J714*0.97</x:f>
        <x:v>5.5416099999999995</x:v>
      </x:c>
      <x:c r="G714" s="4" t="n">
        <x:v>31.45</x:v>
      </x:c>
      <x:c r="H714" s="4" t="n">
        <x:v>74.21</x:v>
      </x:c>
      <x:c r="I714" s="5" t="n">
        <x:f t="shared" si="11">F714*1000*H714</x:f>
        <x:v>411242.8780999999</x:v>
      </x:c>
      <x:c r="J714" t="n">
        <x:v>5.713</x:v>
      </x:c>
    </x:row>
    <x:row r="715">
      <x:c r="A715" s="3" t="n">
        <x:v>2023</x:v>
      </x:c>
      <x:c r="B715" s="2" t="str">
        <x:v>Junio</x:v>
      </x:c>
      <x:c r="C715" s="2" t="str">
        <x:v>RE-003767-1</x:v>
      </x:c>
      <x:c r="D715" s="2" t="str">
        <x:v>P.E. MONTE CARRIO (antes MONTE CASTELO)</x:v>
      </x:c>
      <x:c r="E715" s="4" t="n">
        <x:v>4.549</x:v>
      </x:c>
      <x:c r="F715" s="4" t="n">
        <x:f>J715*1.04</x:f>
        <x:v>4.602</x:v>
      </x:c>
      <x:c r="G715" s="4" t="n">
        <x:v>31.45</x:v>
      </x:c>
      <x:c r="H715" s="4" t="n">
        <x:v>93.02</x:v>
      </x:c>
      <x:c r="I715" s="5" t="n">
        <x:f t="shared" si="11">F715*1000*H715</x:f>
        <x:v>428078.04</x:v>
      </x:c>
      <x:c r="J715" t="n">
        <x:v>4.425</x:v>
      </x:c>
    </x:row>
    <x:row r="716">
      <x:c r="A716" s="3" t="n">
        <x:v>2023</x:v>
      </x:c>
      <x:c r="B716" s="2" t="str">
        <x:v>Julio</x:v>
      </x:c>
      <x:c r="C716" s="2" t="str">
        <x:v>RE-003767-1</x:v>
      </x:c>
      <x:c r="D716" s="2" t="str">
        <x:v>P.E. MONTE CARRIO (antes MONTE CASTELO)</x:v>
      </x:c>
      <x:c r="E716" s="4" t="n">
        <x:v>3.661</x:v>
      </x:c>
      <x:c r="F716" s="4" t="n">
        <x:f>J716*1</x:f>
        <x:v>3.568</x:v>
      </x:c>
      <x:c r="G716" s="4" t="n">
        <x:v>31.45</x:v>
      </x:c>
      <x:c r="H716" s="4" t="n">
        <x:v>90.47</x:v>
      </x:c>
      <x:c r="I716" s="5" t="n">
        <x:f t="shared" si="11">F716*1000*H716</x:f>
        <x:v>322796.96</x:v>
      </x:c>
      <x:c r="J716" t="n">
        <x:v>3.568</x:v>
      </x:c>
    </x:row>
    <x:row r="717">
      <x:c r="A717" s="3" t="n">
        <x:v>2023</x:v>
      </x:c>
      <x:c r="B717" s="2" t="str">
        <x:v>Agosto</x:v>
      </x:c>
      <x:c r="C717" s="2" t="str">
        <x:v>RE-003767-1</x:v>
      </x:c>
      <x:c r="D717" s="2" t="str">
        <x:v>P.E. MONTE CARRIO (antes MONTE CASTELO)</x:v>
      </x:c>
      <x:c r="E717" s="4" t="n">
        <x:v>4.619</x:v>
      </x:c>
      <x:c r="F717" s="4" t="n">
        <x:f>J717*0.96</x:f>
        <x:v>4.29312</x:v>
      </x:c>
      <x:c r="G717" s="4" t="n">
        <x:v>31.45</x:v>
      </x:c>
      <x:c r="H717" s="4" t="n">
        <x:v>96.05</x:v>
      </x:c>
      <x:c r="I717" s="5" t="n">
        <x:f t="shared" si="11">F717*1000*H717</x:f>
        <x:v>412354.176</x:v>
      </x:c>
      <x:c r="J717" t="n">
        <x:v>4.472</x:v>
      </x:c>
    </x:row>
    <x:row r="718">
      <x:c r="A718" s="3" t="n">
        <x:v>2023</x:v>
      </x:c>
      <x:c r="B718" s="2" t="str">
        <x:v>Septiembre</x:v>
      </x:c>
      <x:c r="C718" s="2" t="str">
        <x:v>RE-003767-1</x:v>
      </x:c>
      <x:c r="D718" s="2" t="str">
        <x:v>P.E. MONTE CARRIO (antes MONTE CASTELO)</x:v>
      </x:c>
      <x:c r="E718" s="4" t="n">
        <x:v>4.39</x:v>
      </x:c>
      <x:c r="F718" s="4" t="n">
        <x:f>J718*1.03</x:f>
        <x:v>4.41355</x:v>
      </x:c>
      <x:c r="G718" s="4" t="n">
        <x:v>31.45</x:v>
      </x:c>
      <x:c r="H718" s="4" t="n">
        <x:v>103.34</x:v>
      </x:c>
      <x:c r="I718" s="5" t="n">
        <x:f t="shared" si="11">F718*1000*H718</x:f>
        <x:v>456096.25700000004</x:v>
      </x:c>
      <x:c r="J718" t="n">
        <x:v>4.285</x:v>
      </x:c>
    </x:row>
    <x:row r="719">
      <x:c r="A719" s="3" t="n">
        <x:v>2023</x:v>
      </x:c>
      <x:c r="B719" s="2" t="str">
        <x:v>Octubre</x:v>
      </x:c>
      <x:c r="C719" s="2" t="str">
        <x:v>RE-003767-1</x:v>
      </x:c>
      <x:c r="D719" s="2" t="str">
        <x:v>P.E. MONTE CARRIO (antes MONTE CASTELO)</x:v>
      </x:c>
      <x:c r="E719" s="4" t="n">
        <x:v>6.503</x:v>
      </x:c>
      <x:c r="F719" s="4" t="n">
        <x:f>J719*0.99</x:f>
        <x:v>6.28749</x:v>
      </x:c>
      <x:c r="G719" s="4" t="n">
        <x:v>31.45</x:v>
      </x:c>
      <x:c r="H719" s="4" t="n">
        <x:v>90.14</x:v>
      </x:c>
      <x:c r="I719" s="5" t="n">
        <x:f t="shared" si="11">F719*1000*H719</x:f>
        <x:v>566754.3486</x:v>
      </x:c>
      <x:c r="J719" t="n">
        <x:v>6.351</x:v>
      </x:c>
    </x:row>
    <x:row r="720">
      <x:c r="A720" s="3" t="n">
        <x:v>2023</x:v>
      </x:c>
      <x:c r="B720" s="2" t="str">
        <x:v>Noviembre</x:v>
      </x:c>
      <x:c r="C720" s="2" t="str">
        <x:v>RE-003767-1</x:v>
      </x:c>
      <x:c r="D720" s="2" t="str">
        <x:v>P.E. MONTE CARRIO (antes MONTE CASTELO)</x:v>
      </x:c>
      <x:c r="E720" s="4" t="n">
        <x:v>6.937</x:v>
      </x:c>
      <x:c r="F720" s="4" t="n">
        <x:f>J720*0.95</x:f>
        <x:v>6.4087000000000005</x:v>
      </x:c>
      <x:c r="G720" s="4" t="n">
        <x:v>31.45</x:v>
      </x:c>
      <x:c r="H720" s="4" t="n">
        <x:v>63.45</x:v>
      </x:c>
      <x:c r="I720" s="5" t="n">
        <x:f t="shared" si="11">F720*1000*H720</x:f>
        <x:v>406632.0150000001</x:v>
      </x:c>
      <x:c r="J720" t="n">
        <x:v>6.746</x:v>
      </x:c>
    </x:row>
    <x:row r="721">
      <x:c r="A721" s="3" t="n">
        <x:v>2023</x:v>
      </x:c>
      <x:c r="B721" s="2" t="str">
        <x:v>Diciembre</x:v>
      </x:c>
      <x:c r="C721" s="2" t="str">
        <x:v>RE-003767-1</x:v>
      </x:c>
      <x:c r="D721" s="2" t="str">
        <x:v>P.E. MONTE CARRIO (antes MONTE CASTELO)</x:v>
      </x:c>
      <x:c r="E721" s="4" t="n">
        <x:v>8.316</x:v>
      </x:c>
      <x:c r="F721" s="4" t="n">
        <x:f>J721*1.02</x:f>
        <x:v>8.28444</x:v>
      </x:c>
      <x:c r="G721" s="4" t="n">
        <x:v>31.45</x:v>
      </x:c>
      <x:c r="H721" s="4" t="n">
        <x:v>72.17</x:v>
      </x:c>
      <x:c r="I721" s="5" t="n">
        <x:f t="shared" si="11">F721*1000*H721</x:f>
        <x:v>597888.0348</x:v>
      </x:c>
      <x:c r="J721" t="n">
        <x:v>8.122</x:v>
      </x:c>
    </x:row>
    <x:row r="722">
      <x:c r="A722" s="3" t="n">
        <x:v>2023</x:v>
      </x:c>
      <x:c r="B722" s="2" t="str">
        <x:v>Enero</x:v>
      </x:c>
      <x:c r="C722" s="2" t="str">
        <x:v>RE-003770-1</x:v>
      </x:c>
      <x:c r="D722" s="2" t="str">
        <x:v>P.E. VIVEIRO (ampliación 15300 Kw, 20-5-03)</x:v>
      </x:c>
      <x:c r="E722" s="4" t="n">
        <x:v>10.343</x:v>
      </x:c>
      <x:c r="F722" s="4" t="n">
        <x:f>J722*0.98</x:f>
        <x:v>9.946019999999999</x:v>
      </x:c>
      <x:c r="G722" s="4" t="n">
        <x:v>36.55</x:v>
      </x:c>
      <x:c r="H722" s="4" t="n">
        <x:v>69.55</x:v>
      </x:c>
      <x:c r="I722" s="5" t="n">
        <x:f t="shared" si="11">F722*1000*H722</x:f>
        <x:v>691745.6909999999</x:v>
      </x:c>
      <x:c r="J722" t="n">
        <x:v>10.149</x:v>
      </x:c>
    </x:row>
    <x:row r="723">
      <x:c r="A723" s="3" t="n">
        <x:v>2023</x:v>
      </x:c>
      <x:c r="B723" s="2" t="str">
        <x:v>Febrero</x:v>
      </x:c>
      <x:c r="C723" s="2" t="str">
        <x:v>RE-003770-1</x:v>
      </x:c>
      <x:c r="D723" s="2" t="str">
        <x:v>P.E. VIVEIRO (ampliación 15300 Kw, 20-5-03)</x:v>
      </x:c>
      <x:c r="E723" s="4" t="n">
        <x:v>9.083</x:v>
      </x:c>
      <x:c r="F723" s="4" t="n">
        <x:f>J723*0.94</x:f>
        <x:v>8.28328</x:v>
      </x:c>
      <x:c r="G723" s="4" t="n">
        <x:v>36.55</x:v>
      </x:c>
      <x:c r="H723" s="4" t="n">
        <x:v>133.47</x:v>
      </x:c>
      <x:c r="I723" s="5" t="n">
        <x:f t="shared" si="11">F723*1000*H723</x:f>
        <x:v>1105569.3815999997</x:v>
      </x:c>
      <x:c r="J723" t="n">
        <x:v>8.812</x:v>
      </x:c>
    </x:row>
    <x:row r="724">
      <x:c r="A724" s="3" t="n">
        <x:v>2023</x:v>
      </x:c>
      <x:c r="B724" s="2" t="str">
        <x:v>Marzo</x:v>
      </x:c>
      <x:c r="C724" s="2" t="str">
        <x:v>RE-003770-1</x:v>
      </x:c>
      <x:c r="D724" s="2" t="str">
        <x:v>P.E. VIVEIRO (ampliación 15300 Kw, 20-5-03)</x:v>
      </x:c>
      <x:c r="E724" s="4" t="n">
        <x:v>9.131</x:v>
      </x:c>
      <x:c r="F724" s="4" t="n">
        <x:f>J724*1.01</x:f>
        <x:v>9.03748</x:v>
      </x:c>
      <x:c r="G724" s="4" t="n">
        <x:v>36.55</x:v>
      </x:c>
      <x:c r="H724" s="4" t="n">
        <x:v>89.61</x:v>
      </x:c>
      <x:c r="I724" s="5" t="n">
        <x:f t="shared" si="11">F724*1000*H724</x:f>
        <x:v>809848.5828</x:v>
      </x:c>
      <x:c r="J724" t="n">
        <x:v>8.948</x:v>
      </x:c>
    </x:row>
    <x:row r="725">
      <x:c r="A725" s="3" t="n">
        <x:v>2023</x:v>
      </x:c>
      <x:c r="B725" s="2" t="str">
        <x:v>Abril</x:v>
      </x:c>
      <x:c r="C725" s="2" t="str">
        <x:v>RE-003770-1</x:v>
      </x:c>
      <x:c r="D725" s="2" t="str">
        <x:v>P.E. VIVEIRO (ampliación 15300 Kw, 20-5-03)</x:v>
      </x:c>
      <x:c r="E725" s="4" t="n">
        <x:v>7.09</x:v>
      </x:c>
      <x:c r="F725" s="4" t="n">
        <x:f>J725*0.97</x:f>
        <x:v>6.7298599999999995</x:v>
      </x:c>
      <x:c r="G725" s="4" t="n">
        <x:v>36.55</x:v>
      </x:c>
      <x:c r="H725" s="4" t="n">
        <x:v>73.73</x:v>
      </x:c>
      <x:c r="I725" s="5" t="n">
        <x:f t="shared" si="11">F725*1000*H725</x:f>
        <x:v>496192.5778</x:v>
      </x:c>
      <x:c r="J725" t="n">
        <x:v>6.938</x:v>
      </x:c>
    </x:row>
    <x:row r="726">
      <x:c r="A726" s="3" t="n">
        <x:v>2023</x:v>
      </x:c>
      <x:c r="B726" s="2" t="str">
        <x:v>Mayo</x:v>
      </x:c>
      <x:c r="C726" s="2" t="str">
        <x:v>RE-003770-1</x:v>
      </x:c>
      <x:c r="D726" s="2" t="str">
        <x:v>P.E. VIVEIRO (ampliación 15300 Kw, 20-5-03)</x:v>
      </x:c>
      <x:c r="E726" s="4" t="n">
        <x:v>6.432</x:v>
      </x:c>
      <x:c r="F726" s="4" t="n">
        <x:f>J726*1.04</x:f>
        <x:v>6.487520000000001</x:v>
      </x:c>
      <x:c r="G726" s="4" t="n">
        <x:v>36.55</x:v>
      </x:c>
      <x:c r="H726" s="4" t="n">
        <x:v>74.21</x:v>
      </x:c>
      <x:c r="I726" s="5" t="n">
        <x:f t="shared" si="11">F726*1000*H726</x:f>
        <x:v>481438.8592</x:v>
      </x:c>
      <x:c r="J726" t="n">
        <x:v>6.238</x:v>
      </x:c>
    </x:row>
    <x:row r="727">
      <x:c r="A727" s="3" t="n">
        <x:v>2023</x:v>
      </x:c>
      <x:c r="B727" s="2" t="str">
        <x:v>Junio</x:v>
      </x:c>
      <x:c r="C727" s="2" t="str">
        <x:v>RE-003770-1</x:v>
      </x:c>
      <x:c r="D727" s="2" t="str">
        <x:v>P.E. VIVEIRO (ampliación 15300 Kw, 20-5-03)</x:v>
      </x:c>
      <x:c r="E727" s="4" t="n">
        <x:v>5.577</x:v>
      </x:c>
      <x:c r="F727" s="4" t="n">
        <x:f>J727*1</x:f>
        <x:v>5.469</x:v>
      </x:c>
      <x:c r="G727" s="4" t="n">
        <x:v>36.55</x:v>
      </x:c>
      <x:c r="H727" s="4" t="n">
        <x:v>93.02</x:v>
      </x:c>
      <x:c r="I727" s="5" t="n">
        <x:f t="shared" si="11">F727*1000*H727</x:f>
        <x:v>508726.38</x:v>
      </x:c>
      <x:c r="J727" t="n">
        <x:v>5.469</x:v>
      </x:c>
    </x:row>
    <x:row r="728">
      <x:c r="A728" s="3" t="n">
        <x:v>2023</x:v>
      </x:c>
      <x:c r="B728" s="2" t="str">
        <x:v>Julio</x:v>
      </x:c>
      <x:c r="C728" s="2" t="str">
        <x:v>RE-003770-1</x:v>
      </x:c>
      <x:c r="D728" s="2" t="str">
        <x:v>P.E. VIVEIRO (ampliación 15300 Kw, 20-5-03)</x:v>
      </x:c>
      <x:c r="E728" s="4" t="n">
        <x:v>5.566</x:v>
      </x:c>
      <x:c r="F728" s="4" t="n">
        <x:f>J728*0.96</x:f>
        <x:v>5.18592</x:v>
      </x:c>
      <x:c r="G728" s="4" t="n">
        <x:v>36.55</x:v>
      </x:c>
      <x:c r="H728" s="4" t="n">
        <x:v>90.47</x:v>
      </x:c>
      <x:c r="I728" s="5" t="n">
        <x:f t="shared" si="11">F728*1000*H728</x:f>
        <x:v>469170.1824</x:v>
      </x:c>
      <x:c r="J728" t="n">
        <x:v>5.402</x:v>
      </x:c>
    </x:row>
    <x:row r="729">
      <x:c r="A729" s="3" t="n">
        <x:v>2023</x:v>
      </x:c>
      <x:c r="B729" s="2" t="str">
        <x:v>Agosto</x:v>
      </x:c>
      <x:c r="C729" s="2" t="str">
        <x:v>RE-003770-1</x:v>
      </x:c>
      <x:c r="D729" s="2" t="str">
        <x:v>P.E. VIVEIRO (ampliación 15300 Kw, 20-5-03)</x:v>
      </x:c>
      <x:c r="E729" s="4" t="n">
        <x:v>5.598</x:v>
      </x:c>
      <x:c r="F729" s="4" t="n">
        <x:f>J729*1.03</x:f>
        <x:v>5.60217</x:v>
      </x:c>
      <x:c r="G729" s="4" t="n">
        <x:v>36.55</x:v>
      </x:c>
      <x:c r="H729" s="4" t="n">
        <x:v>96.05</x:v>
      </x:c>
      <x:c r="I729" s="5" t="n">
        <x:f t="shared" si="11">F729*1000*H729</x:f>
        <x:v>538088.4285</x:v>
      </x:c>
      <x:c r="J729" t="n">
        <x:v>5.439</x:v>
      </x:c>
    </x:row>
    <x:row r="730">
      <x:c r="A730" s="3" t="n">
        <x:v>2023</x:v>
      </x:c>
      <x:c r="B730" s="2" t="str">
        <x:v>Septiembre</x:v>
      </x:c>
      <x:c r="C730" s="2" t="str">
        <x:v>RE-003770-1</x:v>
      </x:c>
      <x:c r="D730" s="2" t="str">
        <x:v>P.E. VIVEIRO (ampliación 15300 Kw, 20-5-03)</x:v>
      </x:c>
      <x:c r="E730" s="4" t="n">
        <x:v>7.23</x:v>
      </x:c>
      <x:c r="F730" s="4" t="n">
        <x:f>J730*0.99</x:f>
        <x:v>6.93297</x:v>
      </x:c>
      <x:c r="G730" s="4" t="n">
        <x:v>36.55</x:v>
      </x:c>
      <x:c r="H730" s="4" t="n">
        <x:v>103.34</x:v>
      </x:c>
      <x:c r="I730" s="5" t="n">
        <x:f t="shared" si="11">F730*1000*H730</x:f>
        <x:v>716453.1198000001</x:v>
      </x:c>
      <x:c r="J730" t="n">
        <x:v>7.003</x:v>
      </x:c>
    </x:row>
    <x:row r="731">
      <x:c r="A731" s="3" t="n">
        <x:v>2023</x:v>
      </x:c>
      <x:c r="B731" s="2" t="str">
        <x:v>Octubre</x:v>
      </x:c>
      <x:c r="C731" s="2" t="str">
        <x:v>RE-003770-1</x:v>
      </x:c>
      <x:c r="D731" s="2" t="str">
        <x:v>P.E. VIVEIRO (ampliación 15300 Kw, 20-5-03)</x:v>
      </x:c>
      <x:c r="E731" s="4" t="n">
        <x:v>9.45</x:v>
      </x:c>
      <x:c r="F731" s="4" t="n">
        <x:f>J731*0.95</x:f>
        <x:v>8.800799999999999</x:v>
      </x:c>
      <x:c r="G731" s="4" t="n">
        <x:v>36.55</x:v>
      </x:c>
      <x:c r="H731" s="4" t="n">
        <x:v>90.14</x:v>
      </x:c>
      <x:c r="I731" s="5" t="n">
        <x:f t="shared" si="11">F731*1000*H731</x:f>
        <x:v>793304.112</x:v>
      </x:c>
      <x:c r="J731" t="n">
        <x:v>9.264</x:v>
      </x:c>
    </x:row>
    <x:row r="732">
      <x:c r="A732" s="3" t="n">
        <x:v>2023</x:v>
      </x:c>
      <x:c r="B732" s="2" t="str">
        <x:v>Noviembre</x:v>
      </x:c>
      <x:c r="C732" s="2" t="str">
        <x:v>RE-003770-1</x:v>
      </x:c>
      <x:c r="D732" s="2" t="str">
        <x:v>P.E. VIVEIRO (ampliación 15300 Kw, 20-5-03)</x:v>
      </x:c>
      <x:c r="E732" s="4" t="n">
        <x:v>9.497</x:v>
      </x:c>
      <x:c r="F732" s="4" t="n">
        <x:f>J732*1.02</x:f>
        <x:v>9.41664</x:v>
      </x:c>
      <x:c r="G732" s="4" t="n">
        <x:v>36.55</x:v>
      </x:c>
      <x:c r="H732" s="4" t="n">
        <x:v>63.45</x:v>
      </x:c>
      <x:c r="I732" s="5" t="n">
        <x:f t="shared" si="11">F732*1000*H732</x:f>
        <x:v>597485.808</x:v>
      </x:c>
      <x:c r="J732" t="n">
        <x:v>9.232</x:v>
      </x:c>
    </x:row>
    <x:row r="733">
      <x:c r="A733" s="3" t="n">
        <x:v>2023</x:v>
      </x:c>
      <x:c r="B733" s="2" t="str">
        <x:v>Diciembre</x:v>
      </x:c>
      <x:c r="C733" s="2" t="str">
        <x:v>RE-003770-1</x:v>
      </x:c>
      <x:c r="D733" s="2" t="str">
        <x:v>P.E. VIVEIRO (ampliación 15300 Kw, 20-5-03)</x:v>
      </x:c>
      <x:c r="E733" s="4" t="n">
        <x:v>11.72</x:v>
      </x:c>
      <x:c r="F733" s="4" t="n">
        <x:f>J733*0.98</x:f>
        <x:v>11.25334</x:v>
      </x:c>
      <x:c r="G733" s="4" t="n">
        <x:v>36.55</x:v>
      </x:c>
      <x:c r="H733" s="4" t="n">
        <x:v>72.17</x:v>
      </x:c>
      <x:c r="I733" s="5" t="n">
        <x:f t="shared" si="11">F733*1000*H733</x:f>
        <x:v>812153.5478000001</x:v>
      </x:c>
      <x:c r="J733" t="n">
        <x:v>11.483</x:v>
      </x:c>
    </x:row>
    <x:row r="734">
      <x:c r="A734" s="3" t="n">
        <x:v>2023</x:v>
      </x:c>
      <x:c r="B734" s="2" t="str">
        <x:v>Enero</x:v>
      </x:c>
      <x:c r="C734" s="2" t="str">
        <x:v>RE-003788-1</x:v>
      </x:c>
      <x:c r="D734" s="2" t="str">
        <x:v>Parque Eólico Larouco</x:v>
      </x:c>
      <x:c r="E734" s="4" t="n">
        <x:v>6.387591836734694</x:v>
      </x:c>
      <x:c r="F734" s="4" t="n">
        <x:f>J734*0.94</x:f>
        <x:v>5.855777959183673</x:v>
      </x:c>
      <x:c r="G734" s="4" t="n">
        <x:v>27.2</x:v>
      </x:c>
      <x:c r="H734" s="4" t="n">
        <x:v>69.55</x:v>
      </x:c>
      <x:c r="I734" s="5" t="n">
        <x:f t="shared" si="11">F734*1000*H734</x:f>
        <x:v>407269.3570612244</x:v>
      </x:c>
      <x:c r="J734" t="n">
        <x:v>6.229551020408163</x:v>
      </x:c>
    </x:row>
    <x:row r="735">
      <x:c r="A735" s="3" t="n">
        <x:v>2023</x:v>
      </x:c>
      <x:c r="B735" s="2" t="str">
        <x:v>Enero</x:v>
      </x:c>
      <x:c r="C735" s="2" t="str">
        <x:v>RE-003788-2</x:v>
      </x:c>
      <x:c r="D735" s="2" t="str">
        <x:v>Parque Eólico Larouco</x:v>
      </x:c>
      <x:c r="E735" s="4" t="n">
        <x:v>3.393408163265306</x:v>
      </x:c>
      <x:c r="F735" s="4" t="n">
        <x:f>J735*0.94</x:f>
        <x:v>3.1108820408163265</x:v>
      </x:c>
      <x:c r="G735" s="4" t="n">
        <x:v>14.45</x:v>
      </x:c>
      <x:c r="H735" s="4" t="n">
        <x:v>69.55</x:v>
      </x:c>
      <x:c r="I735" s="5" t="n">
        <x:f t="shared" si="11">F735*1000*H735</x:f>
        <x:v>216361.84593877548</x:v>
      </x:c>
      <x:c r="J735" t="n">
        <x:v>3.3094489795918367</x:v>
      </x:c>
    </x:row>
    <x:row r="736">
      <x:c r="A736" s="3" t="n">
        <x:v>2023</x:v>
      </x:c>
      <x:c r="B736" s="2" t="str">
        <x:v>Febrero</x:v>
      </x:c>
      <x:c r="C736" s="2" t="str">
        <x:v>RE-003788-1</x:v>
      </x:c>
      <x:c r="D736" s="2" t="str">
        <x:v>Parque Eólico Larouco</x:v>
      </x:c>
      <x:c r="E736" s="4" t="n">
        <x:v>5.722775510204082</x:v>
      </x:c>
      <x:c r="F736" s="4" t="n">
        <x:f>J736*1.01</x:f>
        <x:v>5.657978775510204</x:v>
      </x:c>
      <x:c r="G736" s="4" t="n">
        <x:v>27.2</x:v>
      </x:c>
      <x:c r="H736" s="4" t="n">
        <x:v>133.47</x:v>
      </x:c>
      <x:c r="I736" s="5" t="n">
        <x:f t="shared" si="11">F736*1000*H736</x:f>
        <x:v>755170.4271673468</x:v>
      </x:c>
      <x:c r="J736" t="n">
        <x:v>5.601959183673469</x:v>
      </x:c>
    </x:row>
    <x:row r="737">
      <x:c r="A737" s="3" t="n">
        <x:v>2023</x:v>
      </x:c>
      <x:c r="B737" s="2" t="str">
        <x:v>Febrero</x:v>
      </x:c>
      <x:c r="C737" s="2" t="str">
        <x:v>RE-003788-2</x:v>
      </x:c>
      <x:c r="D737" s="2" t="str">
        <x:v>Parque Eólico Larouco</x:v>
      </x:c>
      <x:c r="E737" s="4" t="n">
        <x:v>3.040224489795918</x:v>
      </x:c>
      <x:c r="F737" s="4" t="n">
        <x:f>J737*1.01</x:f>
        <x:v>3.0058012244897956</x:v>
      </x:c>
      <x:c r="G737" s="4" t="n">
        <x:v>14.45</x:v>
      </x:c>
      <x:c r="H737" s="4" t="n">
        <x:v>133.47</x:v>
      </x:c>
      <x:c r="I737" s="5" t="n">
        <x:f t="shared" si="11">F737*1000*H737</x:f>
        <x:v>401184.289432653</x:v>
      </x:c>
      <x:c r="J737" t="n">
        <x:v>2.97604081632653</x:v>
      </x:c>
    </x:row>
    <x:row r="738">
      <x:c r="A738" s="3" t="n">
        <x:v>2023</x:v>
      </x:c>
      <x:c r="B738" s="2" t="str">
        <x:v>Marzo</x:v>
      </x:c>
      <x:c r="C738" s="2" t="str">
        <x:v>RE-003788-1</x:v>
      </x:c>
      <x:c r="D738" s="2" t="str">
        <x:v>Parque Eólico Larouco</x:v>
      </x:c>
      <x:c r="E738" s="4" t="n">
        <x:v>6.976000000000001</x:v>
      </x:c>
      <x:c r="F738" s="4" t="n">
        <x:f>J738*0.97</x:f>
        <x:v>6.562742857142857</x:v>
      </x:c>
      <x:c r="G738" s="4" t="n">
        <x:v>27.2</x:v>
      </x:c>
      <x:c r="H738" s="4" t="n">
        <x:v>89.61</x:v>
      </x:c>
      <x:c r="I738" s="5" t="n">
        <x:f t="shared" si="11">F738*1000*H738</x:f>
        <x:v>588087.3874285715</x:v>
      </x:c>
      <x:c r="J738" t="n">
        <x:v>6.765714285714286</x:v>
      </x:c>
    </x:row>
    <x:row r="739">
      <x:c r="A739" s="3" t="n">
        <x:v>2023</x:v>
      </x:c>
      <x:c r="B739" s="2" t="str">
        <x:v>Marzo</x:v>
      </x:c>
      <x:c r="C739" s="2" t="str">
        <x:v>RE-003788-2</x:v>
      </x:c>
      <x:c r="D739" s="2" t="str">
        <x:v>Parque Eólico Larouco</x:v>
      </x:c>
      <x:c r="E739" s="4" t="n">
        <x:v>3.7059999999999995</x:v>
      </x:c>
      <x:c r="F739" s="4" t="n">
        <x:f>J739*0.97</x:f>
        <x:v>3.486457142857142</x:v>
      </x:c>
      <x:c r="G739" s="4" t="n">
        <x:v>14.45</x:v>
      </x:c>
      <x:c r="H739" s="4" t="n">
        <x:v>89.61</x:v>
      </x:c>
      <x:c r="I739" s="5" t="n">
        <x:f t="shared" si="11">F739*1000*H739</x:f>
        <x:v>312421.42457142845</x:v>
      </x:c>
      <x:c r="J739" t="n">
        <x:v>3.5942857142857134</x:v>
      </x:c>
    </x:row>
    <x:row r="740">
      <x:c r="A740" s="3" t="n">
        <x:v>2023</x:v>
      </x:c>
      <x:c r="B740" s="2" t="str">
        <x:v>Abril</x:v>
      </x:c>
      <x:c r="C740" s="2" t="str">
        <x:v>RE-003788-1</x:v>
      </x:c>
      <x:c r="D740" s="2" t="str">
        <x:v>Parque Eólico Larouco</x:v>
      </x:c>
      <x:c r="E740" s="4" t="n">
        <x:v>5.5993469387755095</x:v>
      </x:c>
      <x:c r="F740" s="4" t="n">
        <x:f>J740*1.04</x:f>
        <x:v>5.682729795918368</x:v>
      </x:c>
      <x:c r="G740" s="4" t="n">
        <x:v>27.2</x:v>
      </x:c>
      <x:c r="H740" s="4" t="n">
        <x:v>73.73</x:v>
      </x:c>
      <x:c r="I740" s="5" t="n">
        <x:f t="shared" si="11">F740*1000*H740</x:f>
        <x:v>418987.6678530613</x:v>
      </x:c>
      <x:c r="J740" t="n">
        <x:v>5.464163265306123</x:v>
      </x:c>
    </x:row>
    <x:row r="741">
      <x:c r="A741" s="3" t="n">
        <x:v>2023</x:v>
      </x:c>
      <x:c r="B741" s="2" t="str">
        <x:v>Abril</x:v>
      </x:c>
      <x:c r="C741" s="2" t="str">
        <x:v>RE-003788-2</x:v>
      </x:c>
      <x:c r="D741" s="2" t="str">
        <x:v>Parque Eólico Larouco</x:v>
      </x:c>
      <x:c r="E741" s="4" t="n">
        <x:v>2.9746530612244904</x:v>
      </x:c>
      <x:c r="F741" s="4" t="n">
        <x:f>J741*1.04</x:f>
        <x:v>3.018950204081633</x:v>
      </x:c>
      <x:c r="G741" s="4" t="n">
        <x:v>14.45</x:v>
      </x:c>
      <x:c r="H741" s="4" t="n">
        <x:v>73.73</x:v>
      </x:c>
      <x:c r="I741" s="5" t="n">
        <x:f t="shared" si="11">F741*1000*H741</x:f>
        <x:v>222587.19854693883</x:v>
      </x:c>
      <x:c r="J741" t="n">
        <x:v>2.902836734693878</x:v>
      </x:c>
    </x:row>
    <x:row r="742">
      <x:c r="A742" s="3" t="n">
        <x:v>2023</x:v>
      </x:c>
      <x:c r="B742" s="2" t="str">
        <x:v>Mayo</x:v>
      </x:c>
      <x:c r="C742" s="2" t="str">
        <x:v>RE-003788-1</x:v>
      </x:c>
      <x:c r="D742" s="2" t="str">
        <x:v>Parque Eólico Larouco</x:v>
      </x:c>
      <x:c r="E742" s="4" t="n">
        <x:v>5.163102040816326</x:v>
      </x:c>
      <x:c r="F742" s="4" t="n">
        <x:f>J742*1</x:f>
        <x:v>5.013551020408163</x:v>
      </x:c>
      <x:c r="G742" s="4" t="n">
        <x:v>27.2</x:v>
      </x:c>
      <x:c r="H742" s="4" t="n">
        <x:v>74.21</x:v>
      </x:c>
      <x:c r="I742" s="5" t="n">
        <x:f t="shared" si="11">F742*1000*H742</x:f>
        <x:v>372055.62122448976</x:v>
      </x:c>
      <x:c r="J742" t="n">
        <x:v>5.013551020408163</x:v>
      </x:c>
    </x:row>
    <x:row r="743">
      <x:c r="A743" s="3" t="n">
        <x:v>2023</x:v>
      </x:c>
      <x:c r="B743" s="2" t="str">
        <x:v>Mayo</x:v>
      </x:c>
      <x:c r="C743" s="2" t="str">
        <x:v>RE-003788-2</x:v>
      </x:c>
      <x:c r="D743" s="2" t="str">
        <x:v>Parque Eólico Larouco</x:v>
      </x:c>
      <x:c r="E743" s="4" t="n">
        <x:v>2.742897959183674</x:v>
      </x:c>
      <x:c r="F743" s="4" t="n">
        <x:f>J743*1</x:f>
        <x:v>2.663448979591837</x:v>
      </x:c>
      <x:c r="G743" s="4" t="n">
        <x:v>14.45</x:v>
      </x:c>
      <x:c r="H743" s="4" t="n">
        <x:v>74.21</x:v>
      </x:c>
      <x:c r="I743" s="5" t="n">
        <x:f t="shared" si="11">F743*1000*H743</x:f>
        <x:v>197654.5487755102</x:v>
      </x:c>
      <x:c r="J743" t="n">
        <x:v>2.663448979591837</x:v>
      </x:c>
    </x:row>
    <x:row r="744">
      <x:c r="A744" s="3" t="n">
        <x:v>2023</x:v>
      </x:c>
      <x:c r="B744" s="2" t="str">
        <x:v>Junio</x:v>
      </x:c>
      <x:c r="C744" s="2" t="str">
        <x:v>RE-003788-1</x:v>
      </x:c>
      <x:c r="D744" s="2" t="str">
        <x:v>Parque Eólico Larouco</x:v>
      </x:c>
      <x:c r="E744" s="4" t="n">
        <x:v>3.9562448979591838</x:v>
      </x:c>
      <x:c r="F744" s="4" t="n">
        <x:f>J744*0.96</x:f>
        <x:v>3.7033273469387753</x:v>
      </x:c>
      <x:c r="G744" s="4" t="n">
        <x:v>27.2</x:v>
      </x:c>
      <x:c r="H744" s="4" t="n">
        <x:v>93.02</x:v>
      </x:c>
      <x:c r="I744" s="5" t="n">
        <x:f t="shared" si="11">F744*1000*H744</x:f>
        <x:v>344483.50981224485</x:v>
      </x:c>
      <x:c r="J744" t="n">
        <x:v>3.8576326530612244</x:v>
      </x:c>
    </x:row>
    <x:row r="745">
      <x:c r="A745" s="3" t="n">
        <x:v>2023</x:v>
      </x:c>
      <x:c r="B745" s="2" t="str">
        <x:v>Junio</x:v>
      </x:c>
      <x:c r="C745" s="2" t="str">
        <x:v>RE-003788-2</x:v>
      </x:c>
      <x:c r="D745" s="2" t="str">
        <x:v>Parque Eólico Larouco</x:v>
      </x:c>
      <x:c r="E745" s="4" t="n">
        <x:v>2.101755102040816</x:v>
      </x:c>
      <x:c r="F745" s="4" t="n">
        <x:f>J745*0.96</x:f>
        <x:v>1.9673926530612245</x:v>
      </x:c>
      <x:c r="G745" s="4" t="n">
        <x:v>14.45</x:v>
      </x:c>
      <x:c r="H745" s="4" t="n">
        <x:v>93.02</x:v>
      </x:c>
      <x:c r="I745" s="5" t="n">
        <x:f t="shared" si="11">F745*1000*H745</x:f>
        <x:v>183006.8645877551</x:v>
      </x:c>
      <x:c r="J745" t="n">
        <x:v>2.0493673469387756</x:v>
      </x:c>
    </x:row>
    <x:row r="746">
      <x:c r="A746" s="3" t="n">
        <x:v>2023</x:v>
      </x:c>
      <x:c r="B746" s="2" t="str">
        <x:v>Julio</x:v>
      </x:c>
      <x:c r="C746" s="2" t="str">
        <x:v>RE-003788-1</x:v>
      </x:c>
      <x:c r="D746" s="2" t="str">
        <x:v>Parque Eólico Larouco</x:v>
      </x:c>
      <x:c r="E746" s="4" t="n">
        <x:v>3.2052244897959183</x:v>
      </x:c>
      <x:c r="F746" s="4" t="n">
        <x:f>J746*1.03</x:f>
        <x:v>3.203846530612245</x:v>
      </x:c>
      <x:c r="G746" s="4" t="n">
        <x:v>27.2</x:v>
      </x:c>
      <x:c r="H746" s="4" t="n">
        <x:v>90.47</x:v>
      </x:c>
      <x:c r="I746" s="5" t="n">
        <x:f t="shared" si="11">F746*1000*H746</x:f>
        <x:v>289851.9956244898</x:v>
      </x:c>
      <x:c r="J746" t="n">
        <x:v>3.1105306122448977</x:v>
      </x:c>
    </x:row>
    <x:row r="747">
      <x:c r="A747" s="3" t="n">
        <x:v>2023</x:v>
      </x:c>
      <x:c r="B747" s="2" t="str">
        <x:v>Julio</x:v>
      </x:c>
      <x:c r="C747" s="2" t="str">
        <x:v>RE-003788-2</x:v>
      </x:c>
      <x:c r="D747" s="2" t="str">
        <x:v>Parque Eólico Larouco</x:v>
      </x:c>
      <x:c r="E747" s="4" t="n">
        <x:v>1.702775510204082</x:v>
      </x:c>
      <x:c r="F747" s="4" t="n">
        <x:f>J747*1.03</x:f>
        <x:v>1.7020434693877553</x:v>
      </x:c>
      <x:c r="G747" s="4" t="n">
        <x:v>14.45</x:v>
      </x:c>
      <x:c r="H747" s="4" t="n">
        <x:v>90.47</x:v>
      </x:c>
      <x:c r="I747" s="5" t="n">
        <x:f t="shared" si="11">F747*1000*H747</x:f>
        <x:v>153983.8726755102</x:v>
      </x:c>
      <x:c r="J747" t="n">
        <x:v>1.6524693877551022</x:v>
      </x:c>
    </x:row>
    <x:row r="748">
      <x:c r="A748" s="3" t="n">
        <x:v>2023</x:v>
      </x:c>
      <x:c r="B748" s="2" t="str">
        <x:v>Agosto</x:v>
      </x:c>
      <x:c r="C748" s="2" t="str">
        <x:v>RE-003788-1</x:v>
      </x:c>
      <x:c r="D748" s="2" t="str">
        <x:v>Parque Eólico Larouco</x:v>
      </x:c>
      <x:c r="E748" s="4" t="n">
        <x:v>3.5350204081632652</x:v>
      </x:c>
      <x:c r="F748" s="4" t="n">
        <x:f>J748*0.99</x:f>
        <x:v>3.4059232653061224</x:v>
      </x:c>
      <x:c r="G748" s="4" t="n">
        <x:v>27.2</x:v>
      </x:c>
      <x:c r="H748" s="4" t="n">
        <x:v>96.05</x:v>
      </x:c>
      <x:c r="I748" s="5" t="n">
        <x:f t="shared" si="11">F748*1000*H748</x:f>
        <x:v>327138.9296326531</x:v>
      </x:c>
      <x:c r="J748" t="n">
        <x:v>3.440326530612245</x:v>
      </x:c>
    </x:row>
    <x:row r="749">
      <x:c r="A749" s="3" t="n">
        <x:v>2023</x:v>
      </x:c>
      <x:c r="B749" s="2" t="str">
        <x:v>Agosto</x:v>
      </x:c>
      <x:c r="C749" s="2" t="str">
        <x:v>RE-003788-2</x:v>
      </x:c>
      <x:c r="D749" s="2" t="str">
        <x:v>Parque Eólico Larouco</x:v>
      </x:c>
      <x:c r="E749" s="4" t="n">
        <x:v>1.877979591836735</x:v>
      </x:c>
      <x:c r="F749" s="4" t="n">
        <x:f>J749*0.99</x:f>
        <x:v>1.8093967346938773</x:v>
      </x:c>
      <x:c r="G749" s="4" t="n">
        <x:v>14.45</x:v>
      </x:c>
      <x:c r="H749" s="4" t="n">
        <x:v>96.05</x:v>
      </x:c>
      <x:c r="I749" s="5" t="n">
        <x:f t="shared" si="11">F749*1000*H749</x:f>
        <x:v>173792.5563673469</x:v>
      </x:c>
      <x:c r="J749" t="n">
        <x:v>1.8276734693877548</x:v>
      </x:c>
    </x:row>
    <x:row r="750">
      <x:c r="A750" s="3" t="n">
        <x:v>2023</x:v>
      </x:c>
      <x:c r="B750" s="2" t="str">
        <x:v>Septiembre</x:v>
      </x:c>
      <x:c r="C750" s="2" t="str">
        <x:v>RE-003788-1</x:v>
      </x:c>
      <x:c r="D750" s="2" t="str">
        <x:v>Parque Eólico Larouco</x:v>
      </x:c>
      <x:c r="E750" s="4" t="n">
        <x:v>4.2377142857142855</x:v>
      </x:c>
      <x:c r="F750" s="4" t="n">
        <x:f>J750*0.95</x:f>
        <x:v>3.9029877551020404</x:v>
      </x:c>
      <x:c r="G750" s="4" t="n">
        <x:v>27.2</x:v>
      </x:c>
      <x:c r="H750" s="4" t="n">
        <x:v>103.34</x:v>
      </x:c>
      <x:c r="I750" s="5" t="n">
        <x:f t="shared" si="11">F750*1000*H750</x:f>
        <x:v>403334.75461224484</x:v>
      </x:c>
      <x:c r="J750" t="n">
        <x:v>4.108408163265306</x:v>
      </x:c>
    </x:row>
    <x:row r="751">
      <x:c r="A751" s="3" t="n">
        <x:v>2023</x:v>
      </x:c>
      <x:c r="B751" s="2" t="str">
        <x:v>Septiembre</x:v>
      </x:c>
      <x:c r="C751" s="2" t="str">
        <x:v>RE-003788-2</x:v>
      </x:c>
      <x:c r="D751" s="2" t="str">
        <x:v>Parque Eólico Larouco</x:v>
      </x:c>
      <x:c r="E751" s="4" t="n">
        <x:v>2.2512857142857143</x:v>
      </x:c>
      <x:c r="F751" s="4" t="n">
        <x:f>J751*0.95</x:f>
        <x:v>2.0734622448979594</x:v>
      </x:c>
      <x:c r="G751" s="4" t="n">
        <x:v>14.45</x:v>
      </x:c>
      <x:c r="H751" s="4" t="n">
        <x:v>103.34</x:v>
      </x:c>
      <x:c r="I751" s="5" t="n">
        <x:f t="shared" si="11">F751*1000*H751</x:f>
        <x:v>214271.58838775512</x:v>
      </x:c>
      <x:c r="J751" t="n">
        <x:v>2.1825918367346944</x:v>
      </x:c>
    </x:row>
    <x:row r="752">
      <x:c r="A752" s="3" t="n">
        <x:v>2023</x:v>
      </x:c>
      <x:c r="B752" s="2" t="str">
        <x:v>Octubre</x:v>
      </x:c>
      <x:c r="C752" s="2" t="str">
        <x:v>RE-003788-1</x:v>
      </x:c>
      <x:c r="D752" s="2" t="str">
        <x:v>Parque Eólico Larouco</x:v>
      </x:c>
      <x:c r="E752" s="4" t="n">
        <x:v>6.034285714285715</x:v>
      </x:c>
      <x:c r="F752" s="4" t="n">
        <x:f>J752*1.02</x:f>
        <x:v>6.050390204081633</x:v>
      </x:c>
      <x:c r="G752" s="4" t="n">
        <x:v>27.2</x:v>
      </x:c>
      <x:c r="H752" s="4" t="n">
        <x:v>90.14</x:v>
      </x:c>
      <x:c r="I752" s="5" t="n">
        <x:f t="shared" si="11">F752*1000*H752</x:f>
        <x:v>545382.1729959184</x:v>
      </x:c>
      <x:c r="J752" t="n">
        <x:v>5.931755102040817</x:v>
      </x:c>
    </x:row>
    <x:row r="753">
      <x:c r="A753" s="3" t="n">
        <x:v>2023</x:v>
      </x:c>
      <x:c r="B753" s="2" t="str">
        <x:v>Octubre</x:v>
      </x:c>
      <x:c r="C753" s="2" t="str">
        <x:v>RE-003788-2</x:v>
      </x:c>
      <x:c r="D753" s="2" t="str">
        <x:v>Parque Eólico Larouco</x:v>
      </x:c>
      <x:c r="E753" s="4" t="n">
        <x:v>3.2057142857142855</x:v>
      </x:c>
      <x:c r="F753" s="4" t="n">
        <x:f>J753*1.02</x:f>
        <x:v>3.2142697959183675</x:v>
      </x:c>
      <x:c r="G753" s="4" t="n">
        <x:v>14.45</x:v>
      </x:c>
      <x:c r="H753" s="4" t="n">
        <x:v>90.14</x:v>
      </x:c>
      <x:c r="I753" s="5" t="n">
        <x:f t="shared" si="11">F753*1000*H753</x:f>
        <x:v>289734.27940408164</x:v>
      </x:c>
      <x:c r="J753" t="n">
        <x:v>3.1512448979591836</x:v>
      </x:c>
    </x:row>
    <x:row r="754">
      <x:c r="A754" s="3" t="n">
        <x:v>2023</x:v>
      </x:c>
      <x:c r="B754" s="2" t="str">
        <x:v>Noviembre</x:v>
      </x:c>
      <x:c r="C754" s="2" t="str">
        <x:v>RE-003788-1</x:v>
      </x:c>
      <x:c r="D754" s="2" t="str">
        <x:v>Parque Eólico Larouco</x:v>
      </x:c>
      <x:c r="E754" s="4" t="n">
        <x:v>6.073469387755103</x:v>
      </x:c>
      <x:c r="F754" s="4" t="n">
        <x:f>J754*0.98</x:f>
        <x:v>5.787519999999999</x:v>
      </x:c>
      <x:c r="G754" s="4" t="n">
        <x:v>27.2</x:v>
      </x:c>
      <x:c r="H754" s="4" t="n">
        <x:v>63.45</x:v>
      </x:c>
      <x:c r="I754" s="5" t="n">
        <x:f t="shared" si="11">F754*1000*H754</x:f>
        <x:v>367218.1439999999</x:v>
      </x:c>
      <x:c r="J754" t="n">
        <x:v>5.9056326530612235</x:v>
      </x:c>
    </x:row>
    <x:row r="755">
      <x:c r="A755" s="3" t="n">
        <x:v>2023</x:v>
      </x:c>
      <x:c r="B755" s="2" t="str">
        <x:v>Noviembre</x:v>
      </x:c>
      <x:c r="C755" s="2" t="str">
        <x:v>RE-003788-2</x:v>
      </x:c>
      <x:c r="D755" s="2" t="str">
        <x:v>Parque Eólico Larouco</x:v>
      </x:c>
      <x:c r="E755" s="4" t="n">
        <x:v>3.226530612244898</x:v>
      </x:c>
      <x:c r="F755" s="4" t="n">
        <x:f>J755*0.98</x:f>
        <x:v>3.0746200000000004</x:v>
      </x:c>
      <x:c r="G755" s="4" t="n">
        <x:v>14.45</x:v>
      </x:c>
      <x:c r="H755" s="4" t="n">
        <x:v>63.45</x:v>
      </x:c>
      <x:c r="I755" s="5" t="n">
        <x:f t="shared" si="11">F755*1000*H755</x:f>
        <x:v>195084.63900000002</x:v>
      </x:c>
      <x:c r="J755" t="n">
        <x:v>3.1373673469387757</x:v>
      </x:c>
    </x:row>
    <x:row r="756">
      <x:c r="A756" s="3" t="n">
        <x:v>2023</x:v>
      </x:c>
      <x:c r="B756" s="2" t="str">
        <x:v>Diciembre</x:v>
      </x:c>
      <x:c r="C756" s="2" t="str">
        <x:v>RE-003788-1</x:v>
      </x:c>
      <x:c r="D756" s="2" t="str">
        <x:v>Parque Eólico Larouco</x:v>
      </x:c>
      <x:c r="E756" s="4" t="n">
        <x:v>8.114938775510204</x:v>
      </x:c>
      <x:c r="F756" s="4" t="n">
        <x:f>J756*0.94</x:f>
        <x:v>7.450017959183672</x:v>
      </x:c>
      <x:c r="G756" s="4" t="n">
        <x:v>27.2</x:v>
      </x:c>
      <x:c r="H756" s="4" t="n">
        <x:v>72.17</x:v>
      </x:c>
      <x:c r="I756" s="5" t="n">
        <x:f t="shared" si="11">F756*1000*H756</x:f>
        <x:v>537667.7961142856</x:v>
      </x:c>
      <x:c r="J756" t="n">
        <x:v>7.925551020408162</x:v>
      </x:c>
    </x:row>
    <x:row r="757">
      <x:c r="A757" s="3" t="n">
        <x:v>2023</x:v>
      </x:c>
      <x:c r="B757" s="2" t="str">
        <x:v>Diciembre</x:v>
      </x:c>
      <x:c r="C757" s="2" t="str">
        <x:v>RE-003788-2</x:v>
      </x:c>
      <x:c r="D757" s="2" t="str">
        <x:v>Parque Eólico Larouco</x:v>
      </x:c>
      <x:c r="E757" s="4" t="n">
        <x:v>4.311061224489796</x:v>
      </x:c>
      <x:c r="F757" s="4" t="n">
        <x:f>J757*0.94</x:f>
        <x:v>3.957822040816327</x:v>
      </x:c>
      <x:c r="G757" s="4" t="n">
        <x:v>14.45</x:v>
      </x:c>
      <x:c r="H757" s="4" t="n">
        <x:v>72.17</x:v>
      </x:c>
      <x:c r="I757" s="5" t="n">
        <x:f t="shared" si="11">F757*1000*H757</x:f>
        <x:v>285636.0166857143</x:v>
      </x:c>
      <x:c r="J757" t="n">
        <x:v>4.210448979591837</x:v>
      </x:c>
    </x:row>
    <x:row r="758">
      <x:c r="A758" s="3" t="n">
        <x:v>2023</x:v>
      </x:c>
      <x:c r="B758" s="2" t="str">
        <x:v>Enero</x:v>
      </x:c>
      <x:c r="C758" s="2" t="str">
        <x:v>RE-003880-1</x:v>
      </x:c>
      <x:c r="D758" s="2" t="str">
        <x:v>P.E. PEÑA FORCADA</x:v>
      </x:c>
      <x:c r="E758" s="4" t="n">
        <x:v>8.537</x:v>
      </x:c>
      <x:c r="F758" s="4" t="n">
        <x:f>J758*1.01</x:f>
        <x:v>8.365829999999999</x:v>
      </x:c>
      <x:c r="G758" s="4" t="n">
        <x:v>33.8</x:v>
      </x:c>
      <x:c r="H758" s="4" t="n">
        <x:v>69.55</x:v>
      </x:c>
      <x:c r="I758" s="5" t="n">
        <x:f t="shared" si="11">F758*1000*H758</x:f>
        <x:v>581843.4764999999</x:v>
      </x:c>
      <x:c r="J758" t="n">
        <x:v>8.283</x:v>
      </x:c>
    </x:row>
    <x:row r="759">
      <x:c r="A759" s="3" t="n">
        <x:v>2023</x:v>
      </x:c>
      <x:c r="B759" s="2" t="str">
        <x:v>Febrero</x:v>
      </x:c>
      <x:c r="C759" s="2" t="str">
        <x:v>RE-003880-1</x:v>
      </x:c>
      <x:c r="D759" s="2" t="str">
        <x:v>P.E. PEÑA FORCADA</x:v>
      </x:c>
      <x:c r="E759" s="4" t="n">
        <x:v>7.37</x:v>
      </x:c>
      <x:c r="F759" s="4" t="n">
        <x:f>J759*0.97</x:f>
        <x:v>7.02571</x:v>
      </x:c>
      <x:c r="G759" s="4" t="n">
        <x:v>33.8</x:v>
      </x:c>
      <x:c r="H759" s="4" t="n">
        <x:v>133.47</x:v>
      </x:c>
      <x:c r="I759" s="5" t="n">
        <x:f t="shared" si="11">F759*1000*H759</x:f>
        <x:v>937721.5137</x:v>
      </x:c>
      <x:c r="J759" t="n">
        <x:v>7.243</x:v>
      </x:c>
    </x:row>
    <x:row r="760">
      <x:c r="A760" s="3" t="n">
        <x:v>2023</x:v>
      </x:c>
      <x:c r="B760" s="2" t="str">
        <x:v>Marzo</x:v>
      </x:c>
      <x:c r="C760" s="2" t="str">
        <x:v>RE-003880-1</x:v>
      </x:c>
      <x:c r="D760" s="2" t="str">
        <x:v>P.E. PEÑA FORCADA</x:v>
      </x:c>
      <x:c r="E760" s="4" t="n">
        <x:v>8.746</x:v>
      </x:c>
      <x:c r="F760" s="4" t="n">
        <x:f>J760*1.04</x:f>
        <x:v>8.90968</x:v>
      </x:c>
      <x:c r="G760" s="4" t="n">
        <x:v>33.8</x:v>
      </x:c>
      <x:c r="H760" s="4" t="n">
        <x:v>89.61</x:v>
      </x:c>
      <x:c r="I760" s="5" t="n">
        <x:f t="shared" si="11">F760*1000*H760</x:f>
        <x:v>798396.4248</x:v>
      </x:c>
      <x:c r="J760" t="n">
        <x:v>8.567</x:v>
      </x:c>
    </x:row>
    <x:row r="761">
      <x:c r="A761" s="3" t="n">
        <x:v>2023</x:v>
      </x:c>
      <x:c r="B761" s="2" t="str">
        <x:v>Abril</x:v>
      </x:c>
      <x:c r="C761" s="2" t="str">
        <x:v>RE-003880-1</x:v>
      </x:c>
      <x:c r="D761" s="2" t="str">
        <x:v>P.E. PEÑA FORCADA</x:v>
      </x:c>
      <x:c r="E761" s="4" t="n">
        <x:v>5.789</x:v>
      </x:c>
      <x:c r="F761" s="4" t="n">
        <x:f>J761*1</x:f>
        <x:v>5.655</x:v>
      </x:c>
      <x:c r="G761" s="4" t="n">
        <x:v>33.8</x:v>
      </x:c>
      <x:c r="H761" s="4" t="n">
        <x:v>73.73</x:v>
      </x:c>
      <x:c r="I761" s="5" t="n">
        <x:f t="shared" si="11">F761*1000*H761</x:f>
        <x:v>416943.15</x:v>
      </x:c>
      <x:c r="J761" t="n">
        <x:v>5.655</x:v>
      </x:c>
    </x:row>
    <x:row r="762">
      <x:c r="A762" s="3" t="n">
        <x:v>2023</x:v>
      </x:c>
      <x:c r="B762" s="2" t="str">
        <x:v>Mayo</x:v>
      </x:c>
      <x:c r="C762" s="2" t="str">
        <x:v>RE-003880-1</x:v>
      </x:c>
      <x:c r="D762" s="2" t="str">
        <x:v>P.E. PEÑA FORCADA</x:v>
      </x:c>
      <x:c r="E762" s="4" t="n">
        <x:v>5.22</x:v>
      </x:c>
      <x:c r="F762" s="4" t="n">
        <x:f>J762*0.96</x:f>
        <x:v>4.86144</x:v>
      </x:c>
      <x:c r="G762" s="4" t="n">
        <x:v>33.8</x:v>
      </x:c>
      <x:c r="H762" s="4" t="n">
        <x:v>74.21</x:v>
      </x:c>
      <x:c r="I762" s="5" t="n">
        <x:f t="shared" si="11">F762*1000*H762</x:f>
        <x:v>360767.46239999996</x:v>
      </x:c>
      <x:c r="J762" t="n">
        <x:v>5.064</x:v>
      </x:c>
    </x:row>
    <x:row r="763">
      <x:c r="A763" s="3" t="n">
        <x:v>2023</x:v>
      </x:c>
      <x:c r="B763" s="2" t="str">
        <x:v>Junio</x:v>
      </x:c>
      <x:c r="C763" s="2" t="str">
        <x:v>RE-003880-1</x:v>
      </x:c>
      <x:c r="D763" s="2" t="str">
        <x:v>P.E. PEÑA FORCADA</x:v>
      </x:c>
      <x:c r="E763" s="4" t="n">
        <x:v>5.033</x:v>
      </x:c>
      <x:c r="F763" s="4" t="n">
        <x:f>J763*1.03</x:f>
        <x:v>5.04803</x:v>
      </x:c>
      <x:c r="G763" s="4" t="n">
        <x:v>33.8</x:v>
      </x:c>
      <x:c r="H763" s="4" t="n">
        <x:v>93.02</x:v>
      </x:c>
      <x:c r="I763" s="5" t="n">
        <x:f t="shared" si="11">F763*1000*H763</x:f>
        <x:v>469567.75059999997</x:v>
      </x:c>
      <x:c r="J763" t="n">
        <x:v>4.901</x:v>
      </x:c>
    </x:row>
    <x:row r="764">
      <x:c r="A764" s="3" t="n">
        <x:v>2023</x:v>
      </x:c>
      <x:c r="B764" s="2" t="str">
        <x:v>Julio</x:v>
      </x:c>
      <x:c r="C764" s="2" t="str">
        <x:v>RE-003880-1</x:v>
      </x:c>
      <x:c r="D764" s="2" t="str">
        <x:v>P.E. PEÑA FORCADA</x:v>
      </x:c>
      <x:c r="E764" s="4" t="n">
        <x:v>4.649</x:v>
      </x:c>
      <x:c r="F764" s="4" t="n">
        <x:f>J764*0.99</x:f>
        <x:v>4.49163</x:v>
      </x:c>
      <x:c r="G764" s="4" t="n">
        <x:v>33.8</x:v>
      </x:c>
      <x:c r="H764" s="4" t="n">
        <x:v>90.47</x:v>
      </x:c>
      <x:c r="I764" s="5" t="n">
        <x:f t="shared" si="11">F764*1000*H764</x:f>
        <x:v>406357.7661</x:v>
      </x:c>
      <x:c r="J764" t="n">
        <x:v>4.537</x:v>
      </x:c>
    </x:row>
    <x:row r="765">
      <x:c r="A765" s="3" t="n">
        <x:v>2023</x:v>
      </x:c>
      <x:c r="B765" s="2" t="str">
        <x:v>Agosto</x:v>
      </x:c>
      <x:c r="C765" s="2" t="str">
        <x:v>RE-003880-1</x:v>
      </x:c>
      <x:c r="D765" s="2" t="str">
        <x:v>P.E. PEÑA FORCADA</x:v>
      </x:c>
      <x:c r="E765" s="4" t="n">
        <x:v>4.692</x:v>
      </x:c>
      <x:c r="F765" s="4" t="n">
        <x:f>J765*0.95</x:f>
        <x:v>4.377599999999999</x:v>
      </x:c>
      <x:c r="G765" s="4" t="n">
        <x:v>33.8</x:v>
      </x:c>
      <x:c r="H765" s="4" t="n">
        <x:v>96.05</x:v>
      </x:c>
      <x:c r="I765" s="5" t="n">
        <x:f t="shared" si="11">F765*1000*H765</x:f>
        <x:v>420468.4799999999</x:v>
      </x:c>
      <x:c r="J765" t="n">
        <x:v>4.608</x:v>
      </x:c>
    </x:row>
    <x:row r="766">
      <x:c r="A766" s="3" t="n">
        <x:v>2023</x:v>
      </x:c>
      <x:c r="B766" s="2" t="str">
        <x:v>Septiembre</x:v>
      </x:c>
      <x:c r="C766" s="2" t="str">
        <x:v>RE-003880-1</x:v>
      </x:c>
      <x:c r="D766" s="2" t="str">
        <x:v>P.E. PEÑA FORCADA</x:v>
      </x:c>
      <x:c r="E766" s="4" t="n">
        <x:v>5.579</x:v>
      </x:c>
      <x:c r="F766" s="4" t="n">
        <x:f>J766*1.02</x:f>
        <x:v>5.59368</x:v>
      </x:c>
      <x:c r="G766" s="4" t="n">
        <x:v>33.8</x:v>
      </x:c>
      <x:c r="H766" s="4" t="n">
        <x:v>103.34</x:v>
      </x:c>
      <x:c r="I766" s="5" t="n">
        <x:f t="shared" si="11">F766*1000*H766</x:f>
        <x:v>578050.8912000001</x:v>
      </x:c>
      <x:c r="J766" t="n">
        <x:v>5.484</x:v>
      </x:c>
    </x:row>
    <x:row r="767">
      <x:c r="A767" s="3" t="n">
        <x:v>2023</x:v>
      </x:c>
      <x:c r="B767" s="2" t="str">
        <x:v>Octubre</x:v>
      </x:c>
      <x:c r="C767" s="2" t="str">
        <x:v>RE-003880-1</x:v>
      </x:c>
      <x:c r="D767" s="2" t="str">
        <x:v>P.E. PEÑA FORCADA</x:v>
      </x:c>
      <x:c r="E767" s="4" t="n">
        <x:v>6.512</x:v>
      </x:c>
      <x:c r="F767" s="4" t="n">
        <x:f>J767*0.98</x:f>
        <x:v>6.2769</x:v>
      </x:c>
      <x:c r="G767" s="4" t="n">
        <x:v>33.8</x:v>
      </x:c>
      <x:c r="H767" s="4" t="n">
        <x:v>90.14</x:v>
      </x:c>
      <x:c r="I767" s="5" t="n">
        <x:f t="shared" si="11">F767*1000*H767</x:f>
        <x:v>565799.7660000001</x:v>
      </x:c>
      <x:c r="J767" t="n">
        <x:v>6.405</x:v>
      </x:c>
    </x:row>
    <x:row r="768">
      <x:c r="A768" s="3" t="n">
        <x:v>2023</x:v>
      </x:c>
      <x:c r="B768" s="2" t="str">
        <x:v>Noviembre</x:v>
      </x:c>
      <x:c r="C768" s="2" t="str">
        <x:v>RE-003880-1</x:v>
      </x:c>
      <x:c r="D768" s="2" t="str">
        <x:v>P.E. PEÑA FORCADA</x:v>
      </x:c>
      <x:c r="E768" s="4" t="n">
        <x:v>8.835</x:v>
      </x:c>
      <x:c r="F768" s="4" t="n">
        <x:f>J768*0.94</x:f>
        <x:v>8.05204</x:v>
      </x:c>
      <x:c r="G768" s="4" t="n">
        <x:v>33.8</x:v>
      </x:c>
      <x:c r="H768" s="4" t="n">
        <x:v>63.45</x:v>
      </x:c>
      <x:c r="I768" s="5" t="n">
        <x:f t="shared" si="11">F768*1000*H768</x:f>
        <x:v>510901.938</x:v>
      </x:c>
      <x:c r="J768" t="n">
        <x:v>8.566</x:v>
      </x:c>
    </x:row>
    <x:row r="769">
      <x:c r="A769" s="3" t="n">
        <x:v>2023</x:v>
      </x:c>
      <x:c r="B769" s="2" t="str">
        <x:v>Diciembre</x:v>
      </x:c>
      <x:c r="C769" s="2" t="str">
        <x:v>RE-003880-1</x:v>
      </x:c>
      <x:c r="D769" s="2" t="str">
        <x:v>P.E. PEÑA FORCADA</x:v>
      </x:c>
      <x:c r="E769" s="4" t="n">
        <x:v>8.418</x:v>
      </x:c>
      <x:c r="F769" s="4" t="n">
        <x:f>J769*1.01</x:f>
        <x:v>8.27897</x:v>
      </x:c>
      <x:c r="G769" s="4" t="n">
        <x:v>33.8</x:v>
      </x:c>
      <x:c r="H769" s="4" t="n">
        <x:v>72.17</x:v>
      </x:c>
      <x:c r="I769" s="5" t="n">
        <x:f t="shared" si="11">F769*1000*H769</x:f>
        <x:v>597493.2649</x:v>
      </x:c>
      <x:c r="J769" t="n">
        <x:v>8.197</x:v>
      </x:c>
    </x:row>
    <x:row r="770">
      <x:c r="A770" s="3" t="n">
        <x:v>2023</x:v>
      </x:c>
      <x:c r="B770" s="2" t="str">
        <x:v>Enero</x:v>
      </x:c>
      <x:c r="C770" s="2" t="str">
        <x:v>RE-003883-1</x:v>
      </x:c>
      <x:c r="D770" s="2" t="str">
        <x:v>P.E. TEA</x:v>
      </x:c>
      <x:c r="E770" s="4" t="n">
        <x:v>14.933</x:v>
      </x:c>
      <x:c r="F770" s="4" t="n">
        <x:f>J770*0.97</x:f>
        <x:v>14.240569999999998</x:v>
      </x:c>
      <x:c r="G770" s="4" t="n">
        <x:v>48.1</x:v>
      </x:c>
      <x:c r="H770" s="4" t="n">
        <x:v>69.55</x:v>
      </x:c>
      <x:c r="I770" s="5" t="n">
        <x:f t="shared" ref="I770:I833" si="12">F770*1000*H770</x:f>
        <x:v>990431.6434999998</x:v>
      </x:c>
      <x:c r="J770" t="n">
        <x:v>14.681</x:v>
      </x:c>
    </x:row>
    <x:row r="771">
      <x:c r="A771" s="3" t="n">
        <x:v>2023</x:v>
      </x:c>
      <x:c r="B771" s="2" t="str">
        <x:v>Febrero</x:v>
      </x:c>
      <x:c r="C771" s="2" t="str">
        <x:v>RE-003883-1</x:v>
      </x:c>
      <x:c r="D771" s="2" t="str">
        <x:v>P.E. TEA</x:v>
      </x:c>
      <x:c r="E771" s="4" t="n">
        <x:v>12.972</x:v>
      </x:c>
      <x:c r="F771" s="4" t="n">
        <x:f>J771*1.04</x:f>
        <x:v>13.21424</x:v>
      </x:c>
      <x:c r="G771" s="4" t="n">
        <x:v>48.1</x:v>
      </x:c>
      <x:c r="H771" s="4" t="n">
        <x:v>133.47</x:v>
      </x:c>
      <x:c r="I771" s="5" t="n">
        <x:f t="shared" si="12">F771*1000*H771</x:f>
        <x:v>1763704.6128</x:v>
      </x:c>
      <x:c r="J771" t="n">
        <x:v>12.706</x:v>
      </x:c>
    </x:row>
    <x:row r="772">
      <x:c r="A772" s="3" t="n">
        <x:v>2023</x:v>
      </x:c>
      <x:c r="B772" s="2" t="str">
        <x:v>Marzo</x:v>
      </x:c>
      <x:c r="C772" s="2" t="str">
        <x:v>RE-003883-1</x:v>
      </x:c>
      <x:c r="D772" s="2" t="str">
        <x:v>P.E. TEA</x:v>
      </x:c>
      <x:c r="E772" s="4" t="n">
        <x:v>12.411</x:v>
      </x:c>
      <x:c r="F772" s="4" t="n">
        <x:f>J772*1</x:f>
        <x:v>12.018</x:v>
      </x:c>
      <x:c r="G772" s="4" t="n">
        <x:v>48.1</x:v>
      </x:c>
      <x:c r="H772" s="4" t="n">
        <x:v>89.61</x:v>
      </x:c>
      <x:c r="I772" s="5" t="n">
        <x:f t="shared" si="12">F772*1000*H772</x:f>
        <x:v>1076932.98</x:v>
      </x:c>
      <x:c r="J772" t="n">
        <x:v>12.018</x:v>
      </x:c>
    </x:row>
    <x:row r="773">
      <x:c r="A773" s="3" t="n">
        <x:v>2023</x:v>
      </x:c>
      <x:c r="B773" s="2" t="str">
        <x:v>Abril</x:v>
      </x:c>
      <x:c r="C773" s="2" t="str">
        <x:v>RE-003883-1</x:v>
      </x:c>
      <x:c r="D773" s="2" t="str">
        <x:v>P.E. TEA</x:v>
      </x:c>
      <x:c r="E773" s="4" t="n">
        <x:v>11.272</x:v>
      </x:c>
      <x:c r="F773" s="4" t="n">
        <x:f>J773*0.96</x:f>
        <x:v>10.5504</x:v>
      </x:c>
      <x:c r="G773" s="4" t="n">
        <x:v>48.1</x:v>
      </x:c>
      <x:c r="H773" s="4" t="n">
        <x:v>73.73</x:v>
      </x:c>
      <x:c r="I773" s="5" t="n">
        <x:f t="shared" si="12">F773*1000*H773</x:f>
        <x:v>777880.992</x:v>
      </x:c>
      <x:c r="J773" t="n">
        <x:v>10.99</x:v>
      </x:c>
    </x:row>
    <x:row r="774">
      <x:c r="A774" s="3" t="n">
        <x:v>2023</x:v>
      </x:c>
      <x:c r="B774" s="2" t="str">
        <x:v>Mayo</x:v>
      </x:c>
      <x:c r="C774" s="2" t="str">
        <x:v>RE-003883-1</x:v>
      </x:c>
      <x:c r="D774" s="2" t="str">
        <x:v>P.E. TEA</x:v>
      </x:c>
      <x:c r="E774" s="4" t="n">
        <x:v>8.27</x:v>
      </x:c>
      <x:c r="F774" s="4" t="n">
        <x:f>J774*1.03</x:f>
        <x:v>8.249270000000001</x:v>
      </x:c>
      <x:c r="G774" s="4" t="n">
        <x:v>48.1</x:v>
      </x:c>
      <x:c r="H774" s="4" t="n">
        <x:v>74.21</x:v>
      </x:c>
      <x:c r="I774" s="5" t="n">
        <x:f t="shared" si="12">F774*1000*H774</x:f>
        <x:v>612178.3267</x:v>
      </x:c>
      <x:c r="J774" t="n">
        <x:v>8.009</x:v>
      </x:c>
    </x:row>
    <x:row r="775">
      <x:c r="A775" s="3" t="n">
        <x:v>2023</x:v>
      </x:c>
      <x:c r="B775" s="2" t="str">
        <x:v>Junio</x:v>
      </x:c>
      <x:c r="C775" s="2" t="str">
        <x:v>RE-003883-1</x:v>
      </x:c>
      <x:c r="D775" s="2" t="str">
        <x:v>P.E. TEA</x:v>
      </x:c>
      <x:c r="E775" s="4" t="n">
        <x:v>8.102</x:v>
      </x:c>
      <x:c r="F775" s="4" t="n">
        <x:f>J775*0.99</x:f>
        <x:v>7.86654</x:v>
      </x:c>
      <x:c r="G775" s="4" t="n">
        <x:v>48.1</x:v>
      </x:c>
      <x:c r="H775" s="4" t="n">
        <x:v>93.02</x:v>
      </x:c>
      <x:c r="I775" s="5" t="n">
        <x:f t="shared" si="12">F775*1000*H775</x:f>
        <x:v>731745.5508</x:v>
      </x:c>
      <x:c r="J775" t="n">
        <x:v>7.946</x:v>
      </x:c>
    </x:row>
    <x:row r="776">
      <x:c r="A776" s="3" t="n">
        <x:v>2023</x:v>
      </x:c>
      <x:c r="B776" s="2" t="str">
        <x:v>Julio</x:v>
      </x:c>
      <x:c r="C776" s="2" t="str">
        <x:v>RE-003883-1</x:v>
      </x:c>
      <x:c r="D776" s="2" t="str">
        <x:v>P.E. TEA</x:v>
      </x:c>
      <x:c r="E776" s="4" t="n">
        <x:v>7.8</x:v>
      </x:c>
      <x:c r="F776" s="4" t="n">
        <x:f>J776*0.95</x:f>
        <x:v>7.2333</x:v>
      </x:c>
      <x:c r="G776" s="4" t="n">
        <x:v>48.1</x:v>
      </x:c>
      <x:c r="H776" s="4" t="n">
        <x:v>90.47</x:v>
      </x:c>
      <x:c r="I776" s="5" t="n">
        <x:f t="shared" si="12">F776*1000*H776</x:f>
        <x:v>654396.651</x:v>
      </x:c>
      <x:c r="J776" t="n">
        <x:v>7.614</x:v>
      </x:c>
    </x:row>
    <x:row r="777">
      <x:c r="A777" s="3" t="n">
        <x:v>2023</x:v>
      </x:c>
      <x:c r="B777" s="2" t="str">
        <x:v>Agosto</x:v>
      </x:c>
      <x:c r="C777" s="2" t="str">
        <x:v>RE-003883-1</x:v>
      </x:c>
      <x:c r="D777" s="2" t="str">
        <x:v>P.E. TEA</x:v>
      </x:c>
      <x:c r="E777" s="4" t="n">
        <x:v>6.754</x:v>
      </x:c>
      <x:c r="F777" s="4" t="n">
        <x:f>J777*1.02</x:f>
        <x:v>6.73914</x:v>
      </x:c>
      <x:c r="G777" s="4" t="n">
        <x:v>48.1</x:v>
      </x:c>
      <x:c r="H777" s="4" t="n">
        <x:v>96.05</x:v>
      </x:c>
      <x:c r="I777" s="5" t="n">
        <x:f t="shared" si="12">F777*1000*H777</x:f>
        <x:v>647294.397</x:v>
      </x:c>
      <x:c r="J777" t="n">
        <x:v>6.607</x:v>
      </x:c>
    </x:row>
    <x:row r="778">
      <x:c r="A778" s="3" t="n">
        <x:v>2023</x:v>
      </x:c>
      <x:c r="B778" s="2" t="str">
        <x:v>Septiembre</x:v>
      </x:c>
      <x:c r="C778" s="2" t="str">
        <x:v>RE-003883-1</x:v>
      </x:c>
      <x:c r="D778" s="2" t="str">
        <x:v>P.E. TEA</x:v>
      </x:c>
      <x:c r="E778" s="4" t="n">
        <x:v>9.652</x:v>
      </x:c>
      <x:c r="F778" s="4" t="n">
        <x:f>J778*0.98</x:f>
        <x:v>9.25904</x:v>
      </x:c>
      <x:c r="G778" s="4" t="n">
        <x:v>48.1</x:v>
      </x:c>
      <x:c r="H778" s="4" t="n">
        <x:v>103.34</x:v>
      </x:c>
      <x:c r="I778" s="5" t="n">
        <x:f t="shared" si="12">F778*1000*H778</x:f>
        <x:v>956829.1936000001</x:v>
      </x:c>
      <x:c r="J778" t="n">
        <x:v>9.448</x:v>
      </x:c>
    </x:row>
    <x:row r="779">
      <x:c r="A779" s="3" t="n">
        <x:v>2023</x:v>
      </x:c>
      <x:c r="B779" s="2" t="str">
        <x:v>Octubre</x:v>
      </x:c>
      <x:c r="C779" s="2" t="str">
        <x:v>RE-003883-1</x:v>
      </x:c>
      <x:c r="D779" s="2" t="str">
        <x:v>P.E. TEA</x:v>
      </x:c>
      <x:c r="E779" s="4" t="n">
        <x:v>11.866</x:v>
      </x:c>
      <x:c r="F779" s="4" t="n">
        <x:f>J779*0.94</x:f>
        <x:v>10.82504</x:v>
      </x:c>
      <x:c r="G779" s="4" t="n">
        <x:v>48.1</x:v>
      </x:c>
      <x:c r="H779" s="4" t="n">
        <x:v>90.14</x:v>
      </x:c>
      <x:c r="I779" s="5" t="n">
        <x:f t="shared" si="12">F779*1000*H779</x:f>
        <x:v>975769.1055999999</x:v>
      </x:c>
      <x:c r="J779" t="n">
        <x:v>11.516</x:v>
      </x:c>
    </x:row>
    <x:row r="780">
      <x:c r="A780" s="3" t="n">
        <x:v>2023</x:v>
      </x:c>
      <x:c r="B780" s="2" t="str">
        <x:v>Noviembre</x:v>
      </x:c>
      <x:c r="C780" s="2" t="str">
        <x:v>RE-003883-1</x:v>
      </x:c>
      <x:c r="D780" s="2" t="str">
        <x:v>P.E. TEA</x:v>
      </x:c>
      <x:c r="E780" s="4" t="n">
        <x:v>12.651</x:v>
      </x:c>
      <x:c r="F780" s="4" t="n">
        <x:f>J780*1.01</x:f>
        <x:v>12.475520000000001</x:v>
      </x:c>
      <x:c r="G780" s="4" t="n">
        <x:v>48.1</x:v>
      </x:c>
      <x:c r="H780" s="4" t="n">
        <x:v>63.45</x:v>
      </x:c>
      <x:c r="I780" s="5" t="n">
        <x:f t="shared" si="12">F780*1000*H780</x:f>
        <x:v>791571.7440000001</x:v>
      </x:c>
      <x:c r="J780" t="n">
        <x:v>12.352</x:v>
      </x:c>
    </x:row>
    <x:row r="781">
      <x:c r="A781" s="3" t="n">
        <x:v>2023</x:v>
      </x:c>
      <x:c r="B781" s="2" t="str">
        <x:v>Diciembre</x:v>
      </x:c>
      <x:c r="C781" s="2" t="str">
        <x:v>RE-003883-1</x:v>
      </x:c>
      <x:c r="D781" s="2" t="str">
        <x:v>P.E. TEA</x:v>
      </x:c>
      <x:c r="E781" s="4" t="n">
        <x:v>13.426</x:v>
      </x:c>
      <x:c r="F781" s="4" t="n">
        <x:f>J781*0.97</x:f>
        <x:v>12.73125</x:v>
      </x:c>
      <x:c r="G781" s="4" t="n">
        <x:v>48.1</x:v>
      </x:c>
      <x:c r="H781" s="4" t="n">
        <x:v>72.17</x:v>
      </x:c>
      <x:c r="I781" s="5" t="n">
        <x:f t="shared" si="12">F781*1000*H781</x:f>
        <x:v>918814.3125</x:v>
      </x:c>
      <x:c r="J781" t="n">
        <x:v>13.125</x:v>
      </x:c>
    </x:row>
    <x:row r="782">
      <x:c r="A782" s="3" t="n">
        <x:v>2023</x:v>
      </x:c>
      <x:c r="B782" s="2" t="str">
        <x:v>Enero</x:v>
      </x:c>
      <x:c r="C782" s="2" t="str">
        <x:v>RE-003885-1</x:v>
      </x:c>
      <x:c r="D782" s="2" t="str">
        <x:v>P.E. PEÑA ARMADA</x:v>
      </x:c>
      <x:c r="E782" s="4" t="n">
        <x:v>6.045</x:v>
      </x:c>
      <x:c r="F782" s="4" t="n">
        <x:f>J782*1.04</x:f>
        <x:v>6.17136</x:v>
      </x:c>
      <x:c r="G782" s="4" t="n">
        <x:v>20.7</x:v>
      </x:c>
      <x:c r="H782" s="4" t="n">
        <x:v>69.55</x:v>
      </x:c>
      <x:c r="I782" s="5" t="n">
        <x:f t="shared" si="12">F782*1000*H782</x:f>
        <x:v>429218.08799999993</x:v>
      </x:c>
      <x:c r="J782" t="n">
        <x:v>5.934</x:v>
      </x:c>
    </x:row>
    <x:row r="783">
      <x:c r="A783" s="3" t="n">
        <x:v>2023</x:v>
      </x:c>
      <x:c r="B783" s="2" t="str">
        <x:v>Febrero</x:v>
      </x:c>
      <x:c r="C783" s="2" t="str">
        <x:v>RE-003885-1</x:v>
      </x:c>
      <x:c r="D783" s="2" t="str">
        <x:v>P.E. PEÑA ARMADA</x:v>
      </x:c>
      <x:c r="E783" s="4" t="n">
        <x:v>4.524</x:v>
      </x:c>
      <x:c r="F783" s="4" t="n">
        <x:f>J783*1</x:f>
        <x:v>4.418</x:v>
      </x:c>
      <x:c r="G783" s="4" t="n">
        <x:v>20.7</x:v>
      </x:c>
      <x:c r="H783" s="4" t="n">
        <x:v>133.47</x:v>
      </x:c>
      <x:c r="I783" s="5" t="n">
        <x:f t="shared" si="12">F783*1000*H783</x:f>
        <x:v>589670.46</x:v>
      </x:c>
      <x:c r="J783" t="n">
        <x:v>4.418</x:v>
      </x:c>
    </x:row>
    <x:row r="784">
      <x:c r="A784" s="3" t="n">
        <x:v>2023</x:v>
      </x:c>
      <x:c r="B784" s="2" t="str">
        <x:v>Marzo</x:v>
      </x:c>
      <x:c r="C784" s="2" t="str">
        <x:v>RE-003885-1</x:v>
      </x:c>
      <x:c r="D784" s="2" t="str">
        <x:v>P.E. PEÑA ARMADA</x:v>
      </x:c>
      <x:c r="E784" s="4" t="n">
        <x:v>4.16</x:v>
      </x:c>
      <x:c r="F784" s="4" t="n">
        <x:f>J784*0.96</x:f>
        <x:v>3.9100800000000002</x:v>
      </x:c>
      <x:c r="G784" s="4" t="n">
        <x:v>20.7</x:v>
      </x:c>
      <x:c r="H784" s="4" t="n">
        <x:v>89.61</x:v>
      </x:c>
      <x:c r="I784" s="5" t="n">
        <x:f t="shared" si="12">F784*1000*H784</x:f>
        <x:v>350382.2688</x:v>
      </x:c>
      <x:c r="J784" t="n">
        <x:v>4.073</x:v>
      </x:c>
    </x:row>
    <x:row r="785">
      <x:c r="A785" s="3" t="n">
        <x:v>2023</x:v>
      </x:c>
      <x:c r="B785" s="2" t="str">
        <x:v>Abril</x:v>
      </x:c>
      <x:c r="C785" s="2" t="str">
        <x:v>RE-003885-1</x:v>
      </x:c>
      <x:c r="D785" s="2" t="str">
        <x:v>P.E. PEÑA ARMADA</x:v>
      </x:c>
      <x:c r="E785" s="4" t="n">
        <x:v>3.975</x:v>
      </x:c>
      <x:c r="F785" s="4" t="n">
        <x:f>J785*1.03</x:f>
        <x:v>3.9964</x:v>
      </x:c>
      <x:c r="G785" s="4" t="n">
        <x:v>20.7</x:v>
      </x:c>
      <x:c r="H785" s="4" t="n">
        <x:v>73.73</x:v>
      </x:c>
      <x:c r="I785" s="5" t="n">
        <x:f t="shared" si="12">F785*1000*H785</x:f>
        <x:v>294654.57200000004</x:v>
      </x:c>
      <x:c r="J785" t="n">
        <x:v>3.88</x:v>
      </x:c>
    </x:row>
    <x:row r="786">
      <x:c r="A786" s="3" t="n">
        <x:v>2023</x:v>
      </x:c>
      <x:c r="B786" s="2" t="str">
        <x:v>Mayo</x:v>
      </x:c>
      <x:c r="C786" s="2" t="str">
        <x:v>RE-003885-1</x:v>
      </x:c>
      <x:c r="D786" s="2" t="str">
        <x:v>P.E. PEÑA ARMADA</x:v>
      </x:c>
      <x:c r="E786" s="4" t="n">
        <x:v>3.882</x:v>
      </x:c>
      <x:c r="F786" s="4" t="n">
        <x:f>J786*0.99</x:f>
        <x:v>3.73626</x:v>
      </x:c>
      <x:c r="G786" s="4" t="n">
        <x:v>20.7</x:v>
      </x:c>
      <x:c r="H786" s="4" t="n">
        <x:v>74.21</x:v>
      </x:c>
      <x:c r="I786" s="5" t="n">
        <x:f t="shared" si="12">F786*1000*H786</x:f>
        <x:v>277267.8546</x:v>
      </x:c>
      <x:c r="J786" t="n">
        <x:v>3.774</x:v>
      </x:c>
    </x:row>
    <x:row r="787">
      <x:c r="A787" s="3" t="n">
        <x:v>2023</x:v>
      </x:c>
      <x:c r="B787" s="2" t="str">
        <x:v>Junio</x:v>
      </x:c>
      <x:c r="C787" s="2" t="str">
        <x:v>RE-003885-1</x:v>
      </x:c>
      <x:c r="D787" s="2" t="str">
        <x:v>P.E. PEÑA ARMADA</x:v>
      </x:c>
      <x:c r="E787" s="4" t="n">
        <x:v>3.048</x:v>
      </x:c>
      <x:c r="F787" s="4" t="n">
        <x:f>J787*0.95</x:f>
        <x:v>2.8034499999999998</x:v>
      </x:c>
      <x:c r="G787" s="4" t="n">
        <x:v>20.7</x:v>
      </x:c>
      <x:c r="H787" s="4" t="n">
        <x:v>93.02</x:v>
      </x:c>
      <x:c r="I787" s="5" t="n">
        <x:f t="shared" si="12">F787*1000*H787</x:f>
        <x:v>260776.91899999997</x:v>
      </x:c>
      <x:c r="J787" t="n">
        <x:v>2.951</x:v>
      </x:c>
    </x:row>
    <x:row r="788">
      <x:c r="A788" s="3" t="n">
        <x:v>2023</x:v>
      </x:c>
      <x:c r="B788" s="2" t="str">
        <x:v>Julio</x:v>
      </x:c>
      <x:c r="C788" s="2" t="str">
        <x:v>RE-003885-1</x:v>
      </x:c>
      <x:c r="D788" s="2" t="str">
        <x:v>P.E. PEÑA ARMADA</x:v>
      </x:c>
      <x:c r="E788" s="4" t="n">
        <x:v>2.972</x:v>
      </x:c>
      <x:c r="F788" s="4" t="n">
        <x:f>J788*1.02</x:f>
        <x:v>2.9375999999999998</x:v>
      </x:c>
      <x:c r="G788" s="4" t="n">
        <x:v>20.7</x:v>
      </x:c>
      <x:c r="H788" s="4" t="n">
        <x:v>90.47</x:v>
      </x:c>
      <x:c r="I788" s="5" t="n">
        <x:f t="shared" si="12">F788*1000*H788</x:f>
        <x:v>265764.67199999996</x:v>
      </x:c>
      <x:c r="J788" t="n">
        <x:v>2.88</x:v>
      </x:c>
    </x:row>
    <x:row r="789">
      <x:c r="A789" s="3" t="n">
        <x:v>2023</x:v>
      </x:c>
      <x:c r="B789" s="2" t="str">
        <x:v>Agosto</x:v>
      </x:c>
      <x:c r="C789" s="2" t="str">
        <x:v>RE-003885-1</x:v>
      </x:c>
      <x:c r="D789" s="2" t="str">
        <x:v>P.E. PEÑA ARMADA</x:v>
      </x:c>
      <x:c r="E789" s="4" t="n">
        <x:v>2.904</x:v>
      </x:c>
      <x:c r="F789" s="4" t="n">
        <x:f>J789*0.98</x:f>
        <x:v>2.78516</x:v>
      </x:c>
      <x:c r="G789" s="4" t="n">
        <x:v>20.7</x:v>
      </x:c>
      <x:c r="H789" s="4" t="n">
        <x:v>96.05</x:v>
      </x:c>
      <x:c r="I789" s="5" t="n">
        <x:f t="shared" si="12">F789*1000*H789</x:f>
        <x:v>267514.61799999996</x:v>
      </x:c>
      <x:c r="J789" t="n">
        <x:v>2.842</x:v>
      </x:c>
    </x:row>
    <x:row r="790">
      <x:c r="A790" s="3" t="n">
        <x:v>2023</x:v>
      </x:c>
      <x:c r="B790" s="2" t="str">
        <x:v>Septiembre</x:v>
      </x:c>
      <x:c r="C790" s="2" t="str">
        <x:v>RE-003885-1</x:v>
      </x:c>
      <x:c r="D790" s="2" t="str">
        <x:v>P.E. PEÑA ARMADA</x:v>
      </x:c>
      <x:c r="E790" s="4" t="n">
        <x:v>3.376</x:v>
      </x:c>
      <x:c r="F790" s="4" t="n">
        <x:f>J790*0.94</x:f>
        <x:v>3.0972999999999997</x:v>
      </x:c>
      <x:c r="G790" s="4" t="n">
        <x:v>20.7</x:v>
      </x:c>
      <x:c r="H790" s="4" t="n">
        <x:v>103.34</x:v>
      </x:c>
      <x:c r="I790" s="5" t="n">
        <x:f t="shared" si="12">F790*1000*H790</x:f>
        <x:v>320074.98199999996</x:v>
      </x:c>
      <x:c r="J790" t="n">
        <x:v>3.295</x:v>
      </x:c>
    </x:row>
    <x:row r="791">
      <x:c r="A791" s="3" t="n">
        <x:v>2023</x:v>
      </x:c>
      <x:c r="B791" s="2" t="str">
        <x:v>Octubre</x:v>
      </x:c>
      <x:c r="C791" s="2" t="str">
        <x:v>RE-003885-1</x:v>
      </x:c>
      <x:c r="D791" s="2" t="str">
        <x:v>P.E. PEÑA ARMADA</x:v>
      </x:c>
      <x:c r="E791" s="4" t="n">
        <x:v>3.938</x:v>
      </x:c>
      <x:c r="F791" s="4" t="n">
        <x:f>J791*1.01</x:f>
        <x:v>3.87032</x:v>
      </x:c>
      <x:c r="G791" s="4" t="n">
        <x:v>20.7</x:v>
      </x:c>
      <x:c r="H791" s="4" t="n">
        <x:v>90.14</x:v>
      </x:c>
      <x:c r="I791" s="5" t="n">
        <x:f t="shared" si="12">F791*1000*H791</x:f>
        <x:v>348870.6448</x:v>
      </x:c>
      <x:c r="J791" t="n">
        <x:v>3.832</x:v>
      </x:c>
    </x:row>
    <x:row r="792">
      <x:c r="A792" s="3" t="n">
        <x:v>2023</x:v>
      </x:c>
      <x:c r="B792" s="2" t="str">
        <x:v>Noviembre</x:v>
      </x:c>
      <x:c r="C792" s="2" t="str">
        <x:v>RE-003885-1</x:v>
      </x:c>
      <x:c r="D792" s="2" t="str">
        <x:v>P.E. PEÑA ARMADA</x:v>
      </x:c>
      <x:c r="E792" s="4" t="n">
        <x:v>4.248</x:v>
      </x:c>
      <x:c r="F792" s="4" t="n">
        <x:f>J792*0.97</x:f>
        <x:v>4.04005</x:v>
      </x:c>
      <x:c r="G792" s="4" t="n">
        <x:v>20.7</x:v>
      </x:c>
      <x:c r="H792" s="4" t="n">
        <x:v>63.45</x:v>
      </x:c>
      <x:c r="I792" s="5" t="n">
        <x:f t="shared" si="12">F792*1000*H792</x:f>
        <x:v>256341.1725</x:v>
      </x:c>
      <x:c r="J792" t="n">
        <x:v>4.165</x:v>
      </x:c>
    </x:row>
    <x:row r="793">
      <x:c r="A793" s="3" t="n">
        <x:v>2023</x:v>
      </x:c>
      <x:c r="B793" s="2" t="str">
        <x:v>Diciembre</x:v>
      </x:c>
      <x:c r="C793" s="2" t="str">
        <x:v>RE-003885-1</x:v>
      </x:c>
      <x:c r="D793" s="2" t="str">
        <x:v>P.E. PEÑA ARMADA</x:v>
      </x:c>
      <x:c r="E793" s="4" t="n">
        <x:v>5.118</x:v>
      </x:c>
      <x:c r="F793" s="4" t="n">
        <x:f>J793*1.04</x:f>
        <x:v>5.17504</x:v>
      </x:c>
      <x:c r="G793" s="4" t="n">
        <x:v>20.7</x:v>
      </x:c>
      <x:c r="H793" s="4" t="n">
        <x:v>72.17</x:v>
      </x:c>
      <x:c r="I793" s="5" t="n">
        <x:f t="shared" si="12">F793*1000*H793</x:f>
        <x:v>373482.6368</x:v>
      </x:c>
      <x:c r="J793" t="n">
        <x:v>4.976</x:v>
      </x:c>
    </x:row>
    <x:row r="794">
      <x:c r="A794" s="3" t="n">
        <x:v>2023</x:v>
      </x:c>
      <x:c r="B794" s="2" t="str">
        <x:v>Enero</x:v>
      </x:c>
      <x:c r="C794" s="2" t="str">
        <x:v>RE-003934-1</x:v>
      </x:c>
      <x:c r="D794" s="2" t="str">
        <x:v>P.E. PENA GRANDE</x:v>
      </x:c>
      <x:c r="E794" s="4" t="n">
        <x:v>4.704</x:v>
      </x:c>
      <x:c r="F794" s="4" t="n">
        <x:f>J794*1</x:f>
        <x:v>4.565</x:v>
      </x:c>
      <x:c r="G794" s="4" t="n">
        <x:v>17.16</x:v>
      </x:c>
      <x:c r="H794" s="4" t="n">
        <x:v>69.55</x:v>
      </x:c>
      <x:c r="I794" s="5" t="n">
        <x:f t="shared" si="12">F794*1000*H794</x:f>
        <x:v>317495.75</x:v>
      </x:c>
      <x:c r="J794" t="n">
        <x:v>4.565</x:v>
      </x:c>
    </x:row>
    <x:row r="795">
      <x:c r="A795" s="3" t="n">
        <x:v>2023</x:v>
      </x:c>
      <x:c r="B795" s="2" t="str">
        <x:v>Febrero</x:v>
      </x:c>
      <x:c r="C795" s="2" t="str">
        <x:v>RE-003934-1</x:v>
      </x:c>
      <x:c r="D795" s="2" t="str">
        <x:v>P.E. PENA GRANDE</x:v>
      </x:c>
      <x:c r="E795" s="4" t="n">
        <x:v>4.592</x:v>
      </x:c>
      <x:c r="F795" s="4" t="n">
        <x:f>J795*0.96</x:f>
        <x:v>4.339199999999999</x:v>
      </x:c>
      <x:c r="G795" s="4" t="n">
        <x:v>17.16</x:v>
      </x:c>
      <x:c r="H795" s="4" t="n">
        <x:v>133.47</x:v>
      </x:c>
      <x:c r="I795" s="5" t="n">
        <x:f t="shared" si="12">F795*1000*H795</x:f>
        <x:v>579153.0239999999</x:v>
      </x:c>
      <x:c r="J795" t="n">
        <x:v>4.52</x:v>
      </x:c>
    </x:row>
    <x:row r="796">
      <x:c r="A796" s="3" t="n">
        <x:v>2023</x:v>
      </x:c>
      <x:c r="B796" s="2" t="str">
        <x:v>Marzo</x:v>
      </x:c>
      <x:c r="C796" s="2" t="str">
        <x:v>RE-003934-1</x:v>
      </x:c>
      <x:c r="D796" s="2" t="str">
        <x:v>P.E. PENA GRANDE</x:v>
      </x:c>
      <x:c r="E796" s="4" t="n">
        <x:v>4.63</x:v>
      </x:c>
      <x:c r="F796" s="4" t="n">
        <x:f>J796*1.03</x:f>
        <x:v>4.6638399999999995</x:v>
      </x:c>
      <x:c r="G796" s="4" t="n">
        <x:v>17.16</x:v>
      </x:c>
      <x:c r="H796" s="4" t="n">
        <x:v>89.61</x:v>
      </x:c>
      <x:c r="I796" s="5" t="n">
        <x:f t="shared" si="12">F796*1000*H796</x:f>
        <x:v>417926.70239999995</x:v>
      </x:c>
      <x:c r="J796" t="n">
        <x:v>4.528</x:v>
      </x:c>
    </x:row>
    <x:row r="797">
      <x:c r="A797" s="3" t="n">
        <x:v>2023</x:v>
      </x:c>
      <x:c r="B797" s="2" t="str">
        <x:v>Abril</x:v>
      </x:c>
      <x:c r="C797" s="2" t="str">
        <x:v>RE-003934-1</x:v>
      </x:c>
      <x:c r="D797" s="2" t="str">
        <x:v>P.E. PENA GRANDE</x:v>
      </x:c>
      <x:c r="E797" s="4" t="n">
        <x:v>4.085</x:v>
      </x:c>
      <x:c r="F797" s="4" t="n">
        <x:f>J797*0.99</x:f>
        <x:v>3.91545</x:v>
      </x:c>
      <x:c r="G797" s="4" t="n">
        <x:v>17.16</x:v>
      </x:c>
      <x:c r="H797" s="4" t="n">
        <x:v>73.73</x:v>
      </x:c>
      <x:c r="I797" s="5" t="n">
        <x:f t="shared" si="12">F797*1000*H797</x:f>
        <x:v>288686.1285</x:v>
      </x:c>
      <x:c r="J797" t="n">
        <x:v>3.955</x:v>
      </x:c>
    </x:row>
    <x:row r="798">
      <x:c r="A798" s="3" t="n">
        <x:v>2023</x:v>
      </x:c>
      <x:c r="B798" s="2" t="str">
        <x:v>Mayo</x:v>
      </x:c>
      <x:c r="C798" s="2" t="str">
        <x:v>RE-003934-1</x:v>
      </x:c>
      <x:c r="D798" s="2" t="str">
        <x:v>P.E. PENA GRANDE</x:v>
      </x:c>
      <x:c r="E798" s="4" t="n">
        <x:v>3.064</x:v>
      </x:c>
      <x:c r="F798" s="4" t="n">
        <x:f>J798*0.95</x:f>
        <x:v>2.8575999999999997</x:v>
      </x:c>
      <x:c r="G798" s="4" t="n">
        <x:v>17.16</x:v>
      </x:c>
      <x:c r="H798" s="4" t="n">
        <x:v>74.21</x:v>
      </x:c>
      <x:c r="I798" s="5" t="n">
        <x:f t="shared" si="12">F798*1000*H798</x:f>
        <x:v>212062.49599999998</x:v>
      </x:c>
      <x:c r="J798" t="n">
        <x:v>3.008</x:v>
      </x:c>
    </x:row>
    <x:row r="799">
      <x:c r="A799" s="3" t="n">
        <x:v>2023</x:v>
      </x:c>
      <x:c r="B799" s="2" t="str">
        <x:v>Junio</x:v>
      </x:c>
      <x:c r="C799" s="2" t="str">
        <x:v>RE-003934-1</x:v>
      </x:c>
      <x:c r="D799" s="2" t="str">
        <x:v>P.E. PENA GRANDE</x:v>
      </x:c>
      <x:c r="E799" s="4" t="n">
        <x:v>3.12</x:v>
      </x:c>
      <x:c r="F799" s="4" t="n">
        <x:f>J799*1.02</x:f>
        <x:v>3.1008</x:v>
      </x:c>
      <x:c r="G799" s="4" t="n">
        <x:v>17.16</x:v>
      </x:c>
      <x:c r="H799" s="4" t="n">
        <x:v>93.02</x:v>
      </x:c>
      <x:c r="I799" s="5" t="n">
        <x:f t="shared" si="12">F799*1000*H799</x:f>
        <x:v>288436.416</x:v>
      </x:c>
      <x:c r="J799" t="n">
        <x:v>3.04</x:v>
      </x:c>
    </x:row>
    <x:row r="800">
      <x:c r="A800" s="3" t="n">
        <x:v>2023</x:v>
      </x:c>
      <x:c r="B800" s="2" t="str">
        <x:v>Julio</x:v>
      </x:c>
      <x:c r="C800" s="2" t="str">
        <x:v>RE-003934-1</x:v>
      </x:c>
      <x:c r="D800" s="2" t="str">
        <x:v>P.E. PENA GRANDE</x:v>
      </x:c>
      <x:c r="E800" s="4" t="n">
        <x:v>2.397</x:v>
      </x:c>
      <x:c r="F800" s="4" t="n">
        <x:f>J800*0.98</x:f>
        <x:v>2.31378</x:v>
      </x:c>
      <x:c r="G800" s="4" t="n">
        <x:v>17.16</x:v>
      </x:c>
      <x:c r="H800" s="4" t="n">
        <x:v>90.47</x:v>
      </x:c>
      <x:c r="I800" s="5" t="n">
        <x:f t="shared" si="12">F800*1000*H800</x:f>
        <x:v>209327.67659999998</x:v>
      </x:c>
      <x:c r="J800" t="n">
        <x:v>2.361</x:v>
      </x:c>
    </x:row>
    <x:row r="801">
      <x:c r="A801" s="3" t="n">
        <x:v>2023</x:v>
      </x:c>
      <x:c r="B801" s="2" t="str">
        <x:v>Agosto</x:v>
      </x:c>
      <x:c r="C801" s="2" t="str">
        <x:v>RE-003934-1</x:v>
      </x:c>
      <x:c r="D801" s="2" t="str">
        <x:v>P.E. PENA GRANDE</x:v>
      </x:c>
      <x:c r="E801" s="4" t="n">
        <x:v>2.639</x:v>
      </x:c>
      <x:c r="F801" s="4" t="n">
        <x:f>J801*0.94</x:f>
        <x:v>2.44306</x:v>
      </x:c>
      <x:c r="G801" s="4" t="n">
        <x:v>17.16</x:v>
      </x:c>
      <x:c r="H801" s="4" t="n">
        <x:v>96.05</x:v>
      </x:c>
      <x:c r="I801" s="5" t="n">
        <x:f t="shared" si="12">F801*1000*H801</x:f>
        <x:v>234655.913</x:v>
      </x:c>
      <x:c r="J801" t="n">
        <x:v>2.599</x:v>
      </x:c>
    </x:row>
    <x:row r="802">
      <x:c r="A802" s="3" t="n">
        <x:v>2023</x:v>
      </x:c>
      <x:c r="B802" s="2" t="str">
        <x:v>Septiembre</x:v>
      </x:c>
      <x:c r="C802" s="2" t="str">
        <x:v>RE-003934-1</x:v>
      </x:c>
      <x:c r="D802" s="2" t="str">
        <x:v>P.E. PENA GRANDE</x:v>
      </x:c>
      <x:c r="E802" s="4" t="n">
        <x:v>2.892</x:v>
      </x:c>
      <x:c r="F802" s="4" t="n">
        <x:f>J802*1.01</x:f>
        <x:v>2.8694100000000002</x:v>
      </x:c>
      <x:c r="G802" s="4" t="n">
        <x:v>17.16</x:v>
      </x:c>
      <x:c r="H802" s="4" t="n">
        <x:v>103.34</x:v>
      </x:c>
      <x:c r="I802" s="5" t="n">
        <x:f t="shared" si="12">F802*1000*H802</x:f>
        <x:v>296524.82940000005</x:v>
      </x:c>
      <x:c r="J802" t="n">
        <x:v>2.841</x:v>
      </x:c>
    </x:row>
    <x:row r="803">
      <x:c r="A803" s="3" t="n">
        <x:v>2023</x:v>
      </x:c>
      <x:c r="B803" s="2" t="str">
        <x:v>Octubre</x:v>
      </x:c>
      <x:c r="C803" s="2" t="str">
        <x:v>RE-003934-1</x:v>
      </x:c>
      <x:c r="D803" s="2" t="str">
        <x:v>P.E. PENA GRANDE</x:v>
      </x:c>
      <x:c r="E803" s="4" t="n">
        <x:v>4.694</x:v>
      </x:c>
      <x:c r="F803" s="4" t="n">
        <x:f>J803*0.97</x:f>
        <x:v>4.43096</x:v>
      </x:c>
      <x:c r="G803" s="4" t="n">
        <x:v>17.16</x:v>
      </x:c>
      <x:c r="H803" s="4" t="n">
        <x:v>90.14</x:v>
      </x:c>
      <x:c r="I803" s="5" t="n">
        <x:f t="shared" si="12">F803*1000*H803</x:f>
        <x:v>399406.7344</x:v>
      </x:c>
      <x:c r="J803" t="n">
        <x:v>4.568</x:v>
      </x:c>
    </x:row>
    <x:row r="804">
      <x:c r="A804" s="3" t="n">
        <x:v>2023</x:v>
      </x:c>
      <x:c r="B804" s="2" t="str">
        <x:v>Noviembre</x:v>
      </x:c>
      <x:c r="C804" s="2" t="str">
        <x:v>RE-003934-1</x:v>
      </x:c>
      <x:c r="D804" s="2" t="str">
        <x:v>P.E. PENA GRANDE</x:v>
      </x:c>
      <x:c r="E804" s="4" t="n">
        <x:v>5.089</x:v>
      </x:c>
      <x:c r="F804" s="4" t="n">
        <x:f>J804*1.04</x:f>
        <x:v>5.149039999999999</x:v>
      </x:c>
      <x:c r="G804" s="4" t="n">
        <x:v>17.16</x:v>
      </x:c>
      <x:c r="H804" s="4" t="n">
        <x:v>63.45</x:v>
      </x:c>
      <x:c r="I804" s="5" t="n">
        <x:f t="shared" si="12">F804*1000*H804</x:f>
        <x:v>326706.58799999993</x:v>
      </x:c>
      <x:c r="J804" t="n">
        <x:v>4.951</x:v>
      </x:c>
    </x:row>
    <x:row r="805">
      <x:c r="A805" s="3" t="n">
        <x:v>2023</x:v>
      </x:c>
      <x:c r="B805" s="2" t="str">
        <x:v>Diciembre</x:v>
      </x:c>
      <x:c r="C805" s="2" t="str">
        <x:v>RE-003934-1</x:v>
      </x:c>
      <x:c r="D805" s="2" t="str">
        <x:v>P.E. PENA GRANDE</x:v>
      </x:c>
      <x:c r="E805" s="4" t="n">
        <x:v>5.321</x:v>
      </x:c>
      <x:c r="F805" s="4" t="n">
        <x:f>J805*1</x:f>
        <x:v>5.228</x:v>
      </x:c>
      <x:c r="G805" s="4" t="n">
        <x:v>17.16</x:v>
      </x:c>
      <x:c r="H805" s="4" t="n">
        <x:v>72.17</x:v>
      </x:c>
      <x:c r="I805" s="5" t="n">
        <x:f t="shared" si="12">F805*1000*H805</x:f>
        <x:v>377304.76</x:v>
      </x:c>
      <x:c r="J805" t="n">
        <x:v>5.228</x:v>
      </x:c>
    </x:row>
    <x:row r="806">
      <x:c r="A806" s="3" t="n">
        <x:v>2023</x:v>
      </x:c>
      <x:c r="B806" s="2" t="str">
        <x:v>Enero</x:v>
      </x:c>
      <x:c r="C806" s="2" t="str">
        <x:v>RE-003945-1</x:v>
      </x:c>
      <x:c r="D806" s="2" t="str">
        <x:v>P.E. DO VILAN</x:v>
      </x:c>
      <x:c r="E806" s="4" t="n">
        <x:v>4.092</x:v>
      </x:c>
      <x:c r="F806" s="4" t="n">
        <x:f>J806*0.96</x:f>
        <x:v>3.80544</x:v>
      </x:c>
      <x:c r="G806" s="4" t="n">
        <x:v>16.9</x:v>
      </x:c>
      <x:c r="H806" s="4" t="n">
        <x:v>69.55</x:v>
      </x:c>
      <x:c r="I806" s="5" t="n">
        <x:f t="shared" si="12">F806*1000*H806</x:f>
        <x:v>264668.352</x:v>
      </x:c>
      <x:c r="J806" t="n">
        <x:v>3.964</x:v>
      </x:c>
    </x:row>
    <x:row r="807">
      <x:c r="A807" s="3" t="n">
        <x:v>2023</x:v>
      </x:c>
      <x:c r="B807" s="2" t="str">
        <x:v>Febrero</x:v>
      </x:c>
      <x:c r="C807" s="2" t="str">
        <x:v>RE-003945-1</x:v>
      </x:c>
      <x:c r="D807" s="2" t="str">
        <x:v>P.E. DO VILAN</x:v>
      </x:c>
      <x:c r="E807" s="4" t="n">
        <x:v>3.807</x:v>
      </x:c>
      <x:c r="F807" s="4" t="n">
        <x:f>J807*1.03</x:f>
        <x:v>3.82439</x:v>
      </x:c>
      <x:c r="G807" s="4" t="n">
        <x:v>16.9</x:v>
      </x:c>
      <x:c r="H807" s="4" t="n">
        <x:v>133.47</x:v>
      </x:c>
      <x:c r="I807" s="5" t="n">
        <x:f t="shared" si="12">F807*1000*H807</x:f>
        <x:v>510441.33330000006</x:v>
      </x:c>
      <x:c r="J807" t="n">
        <x:v>3.713</x:v>
      </x:c>
    </x:row>
    <x:row r="808">
      <x:c r="A808" s="3" t="n">
        <x:v>2023</x:v>
      </x:c>
      <x:c r="B808" s="2" t="str">
        <x:v>Marzo</x:v>
      </x:c>
      <x:c r="C808" s="2" t="str">
        <x:v>RE-003945-1</x:v>
      </x:c>
      <x:c r="D808" s="2" t="str">
        <x:v>P.E. DO VILAN</x:v>
      </x:c>
      <x:c r="E808" s="4" t="n">
        <x:v>3.401</x:v>
      </x:c>
      <x:c r="F808" s="4" t="n">
        <x:f>J808*0.99</x:f>
        <x:v>3.27195</x:v>
      </x:c>
      <x:c r="G808" s="4" t="n">
        <x:v>16.9</x:v>
      </x:c>
      <x:c r="H808" s="4" t="n">
        <x:v>89.61</x:v>
      </x:c>
      <x:c r="I808" s="5" t="n">
        <x:f t="shared" si="12">F808*1000*H808</x:f>
        <x:v>293199.4395</x:v>
      </x:c>
      <x:c r="J808" t="n">
        <x:v>3.305</x:v>
      </x:c>
    </x:row>
    <x:row r="809">
      <x:c r="A809" s="3" t="n">
        <x:v>2023</x:v>
      </x:c>
      <x:c r="B809" s="2" t="str">
        <x:v>Abril</x:v>
      </x:c>
      <x:c r="C809" s="2" t="str">
        <x:v>RE-003945-1</x:v>
      </x:c>
      <x:c r="D809" s="2" t="str">
        <x:v>P.E. DO VILAN</x:v>
      </x:c>
      <x:c r="E809" s="4" t="n">
        <x:v>3.173</x:v>
      </x:c>
      <x:c r="F809" s="4" t="n">
        <x:f>J809*0.95</x:f>
        <x:v>2.94405</x:v>
      </x:c>
      <x:c r="G809" s="4" t="n">
        <x:v>16.9</x:v>
      </x:c>
      <x:c r="H809" s="4" t="n">
        <x:v>73.73</x:v>
      </x:c>
      <x:c r="I809" s="5" t="n">
        <x:f t="shared" si="12">F809*1000*H809</x:f>
        <x:v>217064.8065</x:v>
      </x:c>
      <x:c r="J809" t="n">
        <x:v>3.099</x:v>
      </x:c>
    </x:row>
    <x:row r="810">
      <x:c r="A810" s="3" t="n">
        <x:v>2023</x:v>
      </x:c>
      <x:c r="B810" s="2" t="str">
        <x:v>Mayo</x:v>
      </x:c>
      <x:c r="C810" s="2" t="str">
        <x:v>RE-003945-1</x:v>
      </x:c>
      <x:c r="D810" s="2" t="str">
        <x:v>P.E. DO VILAN</x:v>
      </x:c>
      <x:c r="E810" s="4" t="n">
        <x:v>3.07</x:v>
      </x:c>
      <x:c r="F810" s="4" t="n">
        <x:f>J810*1.02</x:f>
        <x:v>3.06408</x:v>
      </x:c>
      <x:c r="G810" s="4" t="n">
        <x:v>16.9</x:v>
      </x:c>
      <x:c r="H810" s="4" t="n">
        <x:v>74.21</x:v>
      </x:c>
      <x:c r="I810" s="5" t="n">
        <x:f t="shared" si="12">F810*1000*H810</x:f>
        <x:v>227385.37679999997</x:v>
      </x:c>
      <x:c r="J810" t="n">
        <x:v>3.004</x:v>
      </x:c>
    </x:row>
    <x:row r="811">
      <x:c r="A811" s="3" t="n">
        <x:v>2023</x:v>
      </x:c>
      <x:c r="B811" s="2" t="str">
        <x:v>Junio</x:v>
      </x:c>
      <x:c r="C811" s="2" t="str">
        <x:v>RE-003945-1</x:v>
      </x:c>
      <x:c r="D811" s="2" t="str">
        <x:v>P.E. DO VILAN</x:v>
      </x:c>
      <x:c r="E811" s="4" t="n">
        <x:v>2.312</x:v>
      </x:c>
      <x:c r="F811" s="4" t="n">
        <x:f>J811*0.98</x:f>
        <x:v>2.2197</x:v>
      </x:c>
      <x:c r="G811" s="4" t="n">
        <x:v>16.9</x:v>
      </x:c>
      <x:c r="H811" s="4" t="n">
        <x:v>93.02</x:v>
      </x:c>
      <x:c r="I811" s="5" t="n">
        <x:f t="shared" si="12">F811*1000*H811</x:f>
        <x:v>206476.49399999998</x:v>
      </x:c>
      <x:c r="J811" t="n">
        <x:v>2.265</x:v>
      </x:c>
    </x:row>
    <x:row r="812">
      <x:c r="A812" s="3" t="n">
        <x:v>2023</x:v>
      </x:c>
      <x:c r="B812" s="2" t="str">
        <x:v>Julio</x:v>
      </x:c>
      <x:c r="C812" s="2" t="str">
        <x:v>RE-003945-1</x:v>
      </x:c>
      <x:c r="D812" s="2" t="str">
        <x:v>P.E. DO VILAN</x:v>
      </x:c>
      <x:c r="E812" s="4" t="n">
        <x:v>2.066</x:v>
      </x:c>
      <x:c r="F812" s="4" t="n">
        <x:f>J812*0.94</x:f>
        <x:v>1.88</x:v>
      </x:c>
      <x:c r="G812" s="4" t="n">
        <x:v>16.9</x:v>
      </x:c>
      <x:c r="H812" s="4" t="n">
        <x:v>90.47</x:v>
      </x:c>
      <x:c r="I812" s="5" t="n">
        <x:f t="shared" si="12">F812*1000*H812</x:f>
        <x:v>170083.6</x:v>
      </x:c>
      <x:c r="J812" t="n">
        <x:v>2</x:v>
      </x:c>
    </x:row>
    <x:row r="813">
      <x:c r="A813" s="3" t="n">
        <x:v>2023</x:v>
      </x:c>
      <x:c r="B813" s="2" t="str">
        <x:v>Agosto</x:v>
      </x:c>
      <x:c r="C813" s="2" t="str">
        <x:v>RE-003945-1</x:v>
      </x:c>
      <x:c r="D813" s="2" t="str">
        <x:v>P.E. DO VILAN</x:v>
      </x:c>
      <x:c r="E813" s="4" t="n">
        <x:v>2.312</x:v>
      </x:c>
      <x:c r="F813" s="4" t="n">
        <x:f>J813*1.01</x:f>
        <x:v>2.2987599999999997</x:v>
      </x:c>
      <x:c r="G813" s="4" t="n">
        <x:v>16.9</x:v>
      </x:c>
      <x:c r="H813" s="4" t="n">
        <x:v>96.05</x:v>
      </x:c>
      <x:c r="I813" s="5" t="n">
        <x:f t="shared" si="12">F813*1000*H813</x:f>
        <x:v>220795.89799999996</x:v>
      </x:c>
      <x:c r="J813" t="n">
        <x:v>2.276</x:v>
      </x:c>
    </x:row>
    <x:row r="814">
      <x:c r="A814" s="3" t="n">
        <x:v>2023</x:v>
      </x:c>
      <x:c r="B814" s="2" t="str">
        <x:v>Septiembre</x:v>
      </x:c>
      <x:c r="C814" s="2" t="str">
        <x:v>RE-003945-1</x:v>
      </x:c>
      <x:c r="D814" s="2" t="str">
        <x:v>P.E. DO VILAN</x:v>
      </x:c>
      <x:c r="E814" s="4" t="n">
        <x:v>2.525</x:v>
      </x:c>
      <x:c r="F814" s="4" t="n">
        <x:f>J814*0.97</x:f>
        <x:v>2.39299</x:v>
      </x:c>
      <x:c r="G814" s="4" t="n">
        <x:v>16.9</x:v>
      </x:c>
      <x:c r="H814" s="4" t="n">
        <x:v>103.34</x:v>
      </x:c>
      <x:c r="I814" s="5" t="n">
        <x:f t="shared" si="12">F814*1000*H814</x:f>
        <x:v>247291.58660000004</x:v>
      </x:c>
      <x:c r="J814" t="n">
        <x:v>2.467</x:v>
      </x:c>
    </x:row>
    <x:row r="815">
      <x:c r="A815" s="3" t="n">
        <x:v>2023</x:v>
      </x:c>
      <x:c r="B815" s="2" t="str">
        <x:v>Octubre</x:v>
      </x:c>
      <x:c r="C815" s="2" t="str">
        <x:v>RE-003945-1</x:v>
      </x:c>
      <x:c r="D815" s="2" t="str">
        <x:v>P.E. DO VILAN</x:v>
      </x:c>
      <x:c r="E815" s="4" t="n">
        <x:v>3.225</x:v>
      </x:c>
      <x:c r="F815" s="4" t="n">
        <x:f>J815*1.04</x:f>
        <x:v>3.2739200000000004</x:v>
      </x:c>
      <x:c r="G815" s="4" t="n">
        <x:v>16.9</x:v>
      </x:c>
      <x:c r="H815" s="4" t="n">
        <x:v>90.14</x:v>
      </x:c>
      <x:c r="I815" s="5" t="n">
        <x:f t="shared" si="12">F815*1000*H815</x:f>
        <x:v>295111.1488</x:v>
      </x:c>
      <x:c r="J815" t="n">
        <x:v>3.148</x:v>
      </x:c>
    </x:row>
    <x:row r="816">
      <x:c r="A816" s="3" t="n">
        <x:v>2023</x:v>
      </x:c>
      <x:c r="B816" s="2" t="str">
        <x:v>Noviembre</x:v>
      </x:c>
      <x:c r="C816" s="2" t="str">
        <x:v>RE-003945-1</x:v>
      </x:c>
      <x:c r="D816" s="2" t="str">
        <x:v>P.E. DO VILAN</x:v>
      </x:c>
      <x:c r="E816" s="4" t="n">
        <x:v>3.556</x:v>
      </x:c>
      <x:c r="F816" s="4" t="n">
        <x:f>J816*1</x:f>
        <x:v>3.474</x:v>
      </x:c>
      <x:c r="G816" s="4" t="n">
        <x:v>16.9</x:v>
      </x:c>
      <x:c r="H816" s="4" t="n">
        <x:v>63.45</x:v>
      </x:c>
      <x:c r="I816" s="5" t="n">
        <x:f t="shared" si="12">F816*1000*H816</x:f>
        <x:v>220425.30000000002</x:v>
      </x:c>
      <x:c r="J816" t="n">
        <x:v>3.474</x:v>
      </x:c>
    </x:row>
    <x:row r="817">
      <x:c r="A817" s="3" t="n">
        <x:v>2023</x:v>
      </x:c>
      <x:c r="B817" s="2" t="str">
        <x:v>Diciembre</x:v>
      </x:c>
      <x:c r="C817" s="2" t="str">
        <x:v>RE-003945-1</x:v>
      </x:c>
      <x:c r="D817" s="2" t="str">
        <x:v>P.E. DO VILAN</x:v>
      </x:c>
      <x:c r="E817" s="4" t="n">
        <x:v>4.132</x:v>
      </x:c>
      <x:c r="F817" s="4" t="n">
        <x:f>J817*0.96</x:f>
        <x:v>3.88128</x:v>
      </x:c>
      <x:c r="G817" s="4" t="n">
        <x:v>16.9</x:v>
      </x:c>
      <x:c r="H817" s="4" t="n">
        <x:v>72.17</x:v>
      </x:c>
      <x:c r="I817" s="5" t="n">
        <x:f t="shared" si="12">F817*1000*H817</x:f>
        <x:v>280111.9776</x:v>
      </x:c>
      <x:c r="J817" t="n">
        <x:v>4.043</x:v>
      </x:c>
    </x:row>
    <x:row r="818">
      <x:c r="A818" s="3" t="n">
        <x:v>2023</x:v>
      </x:c>
      <x:c r="B818" s="2" t="str">
        <x:v>Enero</x:v>
      </x:c>
      <x:c r="C818" s="2" t="str">
        <x:v>RE-003969-1</x:v>
      </x:c>
      <x:c r="D818" s="2" t="str">
        <x:v>P.E. SILAN</x:v>
      </x:c>
      <x:c r="E818" s="4" t="n">
        <x:v>3.487</x:v>
      </x:c>
      <x:c r="F818" s="4" t="n">
        <x:f>J818*1.03</x:f>
        <x:v>3.5277499999999997</x:v>
      </x:c>
      <x:c r="G818" s="4" t="n">
        <x:v>13.2</x:v>
      </x:c>
      <x:c r="H818" s="4" t="n">
        <x:v>69.55</x:v>
      </x:c>
      <x:c r="I818" s="5" t="n">
        <x:f t="shared" si="12">F818*1000*H818</x:f>
        <x:v>245355.01249999995</x:v>
      </x:c>
      <x:c r="J818" t="n">
        <x:v>3.425</x:v>
      </x:c>
    </x:row>
    <x:row r="819">
      <x:c r="A819" s="3" t="n">
        <x:v>2023</x:v>
      </x:c>
      <x:c r="B819" s="2" t="str">
        <x:v>Febrero</x:v>
      </x:c>
      <x:c r="C819" s="2" t="str">
        <x:v>RE-003969-1</x:v>
      </x:c>
      <x:c r="D819" s="2" t="str">
        <x:v>P.E. SILAN</x:v>
      </x:c>
      <x:c r="E819" s="4" t="n">
        <x:v>2.724</x:v>
      </x:c>
      <x:c r="F819" s="4" t="n">
        <x:f>J819*0.99</x:f>
        <x:v>2.63538</x:v>
      </x:c>
      <x:c r="G819" s="4" t="n">
        <x:v>13.2</x:v>
      </x:c>
      <x:c r="H819" s="4" t="n">
        <x:v>133.47</x:v>
      </x:c>
      <x:c r="I819" s="5" t="n">
        <x:f t="shared" si="12">F819*1000*H819</x:f>
        <x:v>351744.16860000003</x:v>
      </x:c>
      <x:c r="J819" t="n">
        <x:v>2.662</x:v>
      </x:c>
    </x:row>
    <x:row r="820">
      <x:c r="A820" s="3" t="n">
        <x:v>2023</x:v>
      </x:c>
      <x:c r="B820" s="2" t="str">
        <x:v>Marzo</x:v>
      </x:c>
      <x:c r="C820" s="2" t="str">
        <x:v>RE-003969-1</x:v>
      </x:c>
      <x:c r="D820" s="2" t="str">
        <x:v>P.E. SILAN</x:v>
      </x:c>
      <x:c r="E820" s="4" t="n">
        <x:v>3.574</x:v>
      </x:c>
      <x:c r="F820" s="4" t="n">
        <x:f>J820*0.95</x:f>
        <x:v>3.3041</x:v>
      </x:c>
      <x:c r="G820" s="4" t="n">
        <x:v>13.2</x:v>
      </x:c>
      <x:c r="H820" s="4" t="n">
        <x:v>89.61</x:v>
      </x:c>
      <x:c r="I820" s="5" t="n">
        <x:f t="shared" si="12">F820*1000*H820</x:f>
        <x:v>296080.401</x:v>
      </x:c>
      <x:c r="J820" t="n">
        <x:v>3.478</x:v>
      </x:c>
    </x:row>
    <x:row r="821">
      <x:c r="A821" s="3" t="n">
        <x:v>2023</x:v>
      </x:c>
      <x:c r="B821" s="2" t="str">
        <x:v>Abril</x:v>
      </x:c>
      <x:c r="C821" s="2" t="str">
        <x:v>RE-003969-1</x:v>
      </x:c>
      <x:c r="D821" s="2" t="str">
        <x:v>P.E. SILAN</x:v>
      </x:c>
      <x:c r="E821" s="4" t="n">
        <x:v>2.975</x:v>
      </x:c>
      <x:c r="F821" s="4" t="n">
        <x:f>J821*1.02</x:f>
        <x:v>2.9396400000000003</x:v>
      </x:c>
      <x:c r="G821" s="4" t="n">
        <x:v>13.2</x:v>
      </x:c>
      <x:c r="H821" s="4" t="n">
        <x:v>73.73</x:v>
      </x:c>
      <x:c r="I821" s="5" t="n">
        <x:f t="shared" si="12">F821*1000*H821</x:f>
        <x:v>216739.65720000005</x:v>
      </x:c>
      <x:c r="J821" t="n">
        <x:v>2.882</x:v>
      </x:c>
    </x:row>
    <x:row r="822">
      <x:c r="A822" s="3" t="n">
        <x:v>2023</x:v>
      </x:c>
      <x:c r="B822" s="2" t="str">
        <x:v>Mayo</x:v>
      </x:c>
      <x:c r="C822" s="2" t="str">
        <x:v>RE-003969-1</x:v>
      </x:c>
      <x:c r="D822" s="2" t="str">
        <x:v>P.E. SILAN</x:v>
      </x:c>
      <x:c r="E822" s="4" t="n">
        <x:v>2.274</x:v>
      </x:c>
      <x:c r="F822" s="4" t="n">
        <x:f>J822*0.98</x:f>
        <x:v>2.1805</x:v>
      </x:c>
      <x:c r="G822" s="4" t="n">
        <x:v>13.2</x:v>
      </x:c>
      <x:c r="H822" s="4" t="n">
        <x:v>74.21</x:v>
      </x:c>
      <x:c r="I822" s="5" t="n">
        <x:f t="shared" si="12">F822*1000*H822</x:f>
        <x:v>161814.905</x:v>
      </x:c>
      <x:c r="J822" t="n">
        <x:v>2.225</x:v>
      </x:c>
    </x:row>
    <x:row r="823">
      <x:c r="A823" s="3" t="n">
        <x:v>2023</x:v>
      </x:c>
      <x:c r="B823" s="2" t="str">
        <x:v>Junio</x:v>
      </x:c>
      <x:c r="C823" s="2" t="str">
        <x:v>RE-003969-1</x:v>
      </x:c>
      <x:c r="D823" s="2" t="str">
        <x:v>P.E. SILAN</x:v>
      </x:c>
      <x:c r="E823" s="4" t="n">
        <x:v>1.822</x:v>
      </x:c>
      <x:c r="F823" s="4" t="n">
        <x:f>J823*0.94</x:f>
        <x:v>1.6835399999999998</x:v>
      </x:c>
      <x:c r="G823" s="4" t="n">
        <x:v>13.2</x:v>
      </x:c>
      <x:c r="H823" s="4" t="n">
        <x:v>93.02</x:v>
      </x:c>
      <x:c r="I823" s="5" t="n">
        <x:f t="shared" si="12">F823*1000*H823</x:f>
        <x:v>156602.89079999996</x:v>
      </x:c>
      <x:c r="J823" t="n">
        <x:v>1.791</x:v>
      </x:c>
    </x:row>
    <x:row r="824">
      <x:c r="A824" s="3" t="n">
        <x:v>2023</x:v>
      </x:c>
      <x:c r="B824" s="2" t="str">
        <x:v>Julio</x:v>
      </x:c>
      <x:c r="C824" s="2" t="str">
        <x:v>RE-003969-1</x:v>
      </x:c>
      <x:c r="D824" s="2" t="str">
        <x:v>P.E. SILAN</x:v>
      </x:c>
      <x:c r="E824" s="4" t="n">
        <x:v>1.919</x:v>
      </x:c>
      <x:c r="F824" s="4" t="n">
        <x:f>J824*1.01</x:f>
        <x:v>1.8846600000000002</x:v>
      </x:c>
      <x:c r="G824" s="4" t="n">
        <x:v>13.2</x:v>
      </x:c>
      <x:c r="H824" s="4" t="n">
        <x:v>90.47</x:v>
      </x:c>
      <x:c r="I824" s="5" t="n">
        <x:f t="shared" si="12">F824*1000*H824</x:f>
        <x:v>170505.1902</x:v>
      </x:c>
      <x:c r="J824" t="n">
        <x:v>1.866</x:v>
      </x:c>
    </x:row>
    <x:row r="825">
      <x:c r="A825" s="3" t="n">
        <x:v>2023</x:v>
      </x:c>
      <x:c r="B825" s="2" t="str">
        <x:v>Agosto</x:v>
      </x:c>
      <x:c r="C825" s="2" t="str">
        <x:v>RE-003969-1</x:v>
      </x:c>
      <x:c r="D825" s="2" t="str">
        <x:v>P.E. SILAN</x:v>
      </x:c>
      <x:c r="E825" s="4" t="n">
        <x:v>1.846</x:v>
      </x:c>
      <x:c r="F825" s="4" t="n">
        <x:f>J825*0.97</x:f>
        <x:v>1.74891</x:v>
      </x:c>
      <x:c r="G825" s="4" t="n">
        <x:v>13.2</x:v>
      </x:c>
      <x:c r="H825" s="4" t="n">
        <x:v>96.05</x:v>
      </x:c>
      <x:c r="I825" s="5" t="n">
        <x:f t="shared" si="12">F825*1000*H825</x:f>
        <x:v>167982.8055</x:v>
      </x:c>
      <x:c r="J825" t="n">
        <x:v>1.803</x:v>
      </x:c>
    </x:row>
    <x:row r="826">
      <x:c r="A826" s="3" t="n">
        <x:v>2023</x:v>
      </x:c>
      <x:c r="B826" s="2" t="str">
        <x:v>Septiembre</x:v>
      </x:c>
      <x:c r="C826" s="2" t="str">
        <x:v>RE-003969-1</x:v>
      </x:c>
      <x:c r="D826" s="2" t="str">
        <x:v>P.E. SILAN</x:v>
      </x:c>
      <x:c r="E826" s="4" t="n">
        <x:v>2.536</x:v>
      </x:c>
      <x:c r="F826" s="4" t="n">
        <x:f>J826*1.04</x:f>
        <x:v>2.5864800000000003</x:v>
      </x:c>
      <x:c r="G826" s="4" t="n">
        <x:v>13.2</x:v>
      </x:c>
      <x:c r="H826" s="4" t="n">
        <x:v>103.34</x:v>
      </x:c>
      <x:c r="I826" s="5" t="n">
        <x:f t="shared" si="12">F826*1000*H826</x:f>
        <x:v>267286.84320000006</x:v>
      </x:c>
      <x:c r="J826" t="n">
        <x:v>2.487</x:v>
      </x:c>
    </x:row>
    <x:row r="827">
      <x:c r="A827" s="3" t="n">
        <x:v>2023</x:v>
      </x:c>
      <x:c r="B827" s="2" t="str">
        <x:v>Octubre</x:v>
      </x:c>
      <x:c r="C827" s="2" t="str">
        <x:v>RE-003969-1</x:v>
      </x:c>
      <x:c r="D827" s="2" t="str">
        <x:v>P.E. SILAN</x:v>
      </x:c>
      <x:c r="E827" s="4" t="n">
        <x:v>3.093</x:v>
      </x:c>
      <x:c r="F827" s="4" t="n">
        <x:f>J827*1</x:f>
        <x:v>3.023</x:v>
      </x:c>
      <x:c r="G827" s="4" t="n">
        <x:v>13.2</x:v>
      </x:c>
      <x:c r="H827" s="4" t="n">
        <x:v>90.14</x:v>
      </x:c>
      <x:c r="I827" s="5" t="n">
        <x:f t="shared" si="12">F827*1000*H827</x:f>
        <x:v>272493.22000000003</x:v>
      </x:c>
      <x:c r="J827" t="n">
        <x:v>3.023</x:v>
      </x:c>
    </x:row>
    <x:row r="828">
      <x:c r="A828" s="3" t="n">
        <x:v>2023</x:v>
      </x:c>
      <x:c r="B828" s="2" t="str">
        <x:v>Noviembre</x:v>
      </x:c>
      <x:c r="C828" s="2" t="str">
        <x:v>RE-003969-1</x:v>
      </x:c>
      <x:c r="D828" s="2" t="str">
        <x:v>P.E. SILAN</x:v>
      </x:c>
      <x:c r="E828" s="4" t="n">
        <x:v>3.432</x:v>
      </x:c>
      <x:c r="F828" s="4" t="n">
        <x:f>J828*0.96</x:f>
        <x:v>3.22368</x:v>
      </x:c>
      <x:c r="G828" s="4" t="n">
        <x:v>13.2</x:v>
      </x:c>
      <x:c r="H828" s="4" t="n">
        <x:v>63.45</x:v>
      </x:c>
      <x:c r="I828" s="5" t="n">
        <x:f t="shared" si="12">F828*1000*H828</x:f>
        <x:v>204542.49599999998</x:v>
      </x:c>
      <x:c r="J828" t="n">
        <x:v>3.358</x:v>
      </x:c>
    </x:row>
    <x:row r="829">
      <x:c r="A829" s="3" t="n">
        <x:v>2023</x:v>
      </x:c>
      <x:c r="B829" s="2" t="str">
        <x:v>Diciembre</x:v>
      </x:c>
      <x:c r="C829" s="2" t="str">
        <x:v>RE-003969-1</x:v>
      </x:c>
      <x:c r="D829" s="2" t="str">
        <x:v>P.E. SILAN</x:v>
      </x:c>
      <x:c r="E829" s="4" t="n">
        <x:v>3.822</x:v>
      </x:c>
      <x:c r="F829" s="4" t="n">
        <x:f>J829*1.03</x:f>
        <x:v>3.8316000000000003</x:v>
      </x:c>
      <x:c r="G829" s="4" t="n">
        <x:v>13.2</x:v>
      </x:c>
      <x:c r="H829" s="4" t="n">
        <x:v>72.17</x:v>
      </x:c>
      <x:c r="I829" s="5" t="n">
        <x:f t="shared" si="12">F829*1000*H829</x:f>
        <x:v>276526.57200000004</x:v>
      </x:c>
      <x:c r="J829" t="n">
        <x:v>3.72</x:v>
      </x:c>
    </x:row>
    <x:row r="830">
      <x:c r="A830" s="3" t="n">
        <x:v>2023</x:v>
      </x:c>
      <x:c r="B830" s="2" t="str">
        <x:v>Enero</x:v>
      </x:c>
      <x:c r="C830" s="2" t="str">
        <x:v>RE-003970-1</x:v>
      </x:c>
      <x:c r="D830" s="2" t="str">
        <x:v>P.E. PEDRA CHANTADA</x:v>
      </x:c>
      <x:c r="E830" s="4" t="n">
        <x:v>6.631</x:v>
      </x:c>
      <x:c r="F830" s="4" t="n">
        <x:f>J830*0.99</x:f>
        <x:v>6.43797</x:v>
      </x:c>
      <x:c r="G830" s="4" t="n">
        <x:v>21.78</x:v>
      </x:c>
      <x:c r="H830" s="4" t="n">
        <x:v>69.55</x:v>
      </x:c>
      <x:c r="I830" s="5" t="n">
        <x:f t="shared" si="12">F830*1000*H830</x:f>
        <x:v>447760.8135</x:v>
      </x:c>
      <x:c r="J830" t="n">
        <x:v>6.503</x:v>
      </x:c>
    </x:row>
    <x:row r="831">
      <x:c r="A831" s="3" t="n">
        <x:v>2023</x:v>
      </x:c>
      <x:c r="B831" s="2" t="str">
        <x:v>Febrero</x:v>
      </x:c>
      <x:c r="C831" s="2" t="str">
        <x:v>RE-003970-1</x:v>
      </x:c>
      <x:c r="D831" s="2" t="str">
        <x:v>P.E. PEDRA CHANTADA</x:v>
      </x:c>
      <x:c r="E831" s="4" t="n">
        <x:v>5.896</x:v>
      </x:c>
      <x:c r="F831" s="4" t="n">
        <x:f>J831*0.95</x:f>
        <x:v>5.4643999999999995</x:v>
      </x:c>
      <x:c r="G831" s="4" t="n">
        <x:v>21.78</x:v>
      </x:c>
      <x:c r="H831" s="4" t="n">
        <x:v>133.47</x:v>
      </x:c>
      <x:c r="I831" s="5" t="n">
        <x:f t="shared" si="12">F831*1000*H831</x:f>
        <x:v>729333.468</x:v>
      </x:c>
      <x:c r="J831" t="n">
        <x:v>5.752</x:v>
      </x:c>
    </x:row>
    <x:row r="832">
      <x:c r="A832" s="3" t="n">
        <x:v>2023</x:v>
      </x:c>
      <x:c r="B832" s="2" t="str">
        <x:v>Marzo</x:v>
      </x:c>
      <x:c r="C832" s="2" t="str">
        <x:v>RE-003970-1</x:v>
      </x:c>
      <x:c r="D832" s="2" t="str">
        <x:v>P.E. PEDRA CHANTADA</x:v>
      </x:c>
      <x:c r="E832" s="4" t="n">
        <x:v>5.741</x:v>
      </x:c>
      <x:c r="F832" s="4" t="n">
        <x:f>J832*1.02</x:f>
        <x:v>5.7660599999999995</x:v>
      </x:c>
      <x:c r="G832" s="4" t="n">
        <x:v>21.78</x:v>
      </x:c>
      <x:c r="H832" s="4" t="n">
        <x:v>89.61</x:v>
      </x:c>
      <x:c r="I832" s="5" t="n">
        <x:f t="shared" si="12">F832*1000*H832</x:f>
        <x:v>516696.63659999997</x:v>
      </x:c>
      <x:c r="J832" t="n">
        <x:v>5.653</x:v>
      </x:c>
    </x:row>
    <x:row r="833">
      <x:c r="A833" s="3" t="n">
        <x:v>2023</x:v>
      </x:c>
      <x:c r="B833" s="2" t="str">
        <x:v>Abril</x:v>
      </x:c>
      <x:c r="C833" s="2" t="str">
        <x:v>RE-003970-1</x:v>
      </x:c>
      <x:c r="D833" s="2" t="str">
        <x:v>P.E. PEDRA CHANTADA</x:v>
      </x:c>
      <x:c r="E833" s="4" t="n">
        <x:v>4.015</x:v>
      </x:c>
      <x:c r="F833" s="4" t="n">
        <x:f>J833*0.98</x:f>
        <x:v>3.86218</x:v>
      </x:c>
      <x:c r="G833" s="4" t="n">
        <x:v>21.78</x:v>
      </x:c>
      <x:c r="H833" s="4" t="n">
        <x:v>73.73</x:v>
      </x:c>
      <x:c r="I833" s="5" t="n">
        <x:f t="shared" si="12">F833*1000*H833</x:f>
        <x:v>284758.5314</x:v>
      </x:c>
      <x:c r="J833" t="n">
        <x:v>3.941</x:v>
      </x:c>
    </x:row>
    <x:row r="834">
      <x:c r="A834" s="3" t="n">
        <x:v>2023</x:v>
      </x:c>
      <x:c r="B834" s="2" t="str">
        <x:v>Mayo</x:v>
      </x:c>
      <x:c r="C834" s="2" t="str">
        <x:v>RE-003970-1</x:v>
      </x:c>
      <x:c r="D834" s="2" t="str">
        <x:v>P.E. PEDRA CHANTADA</x:v>
      </x:c>
      <x:c r="E834" s="4" t="n">
        <x:v>3.682</x:v>
      </x:c>
      <x:c r="F834" s="4" t="n">
        <x:f>J834*0.94</x:f>
        <x:v>3.3586199999999997</x:v>
      </x:c>
      <x:c r="G834" s="4" t="n">
        <x:v>21.78</x:v>
      </x:c>
      <x:c r="H834" s="4" t="n">
        <x:v>74.21</x:v>
      </x:c>
      <x:c r="I834" s="5" t="n">
        <x:f t="shared" ref="I834:I897" si="13">F834*1000*H834</x:f>
        <x:v>249243.19019999998</x:v>
      </x:c>
      <x:c r="J834" t="n">
        <x:v>3.573</x:v>
      </x:c>
    </x:row>
    <x:row r="835">
      <x:c r="A835" s="3" t="n">
        <x:v>2023</x:v>
      </x:c>
      <x:c r="B835" s="2" t="str">
        <x:v>Junio</x:v>
      </x:c>
      <x:c r="C835" s="2" t="str">
        <x:v>RE-003970-1</x:v>
      </x:c>
      <x:c r="D835" s="2" t="str">
        <x:v>P.E. PEDRA CHANTADA</x:v>
      </x:c>
      <x:c r="E835" s="4" t="n">
        <x:v>3.821</x:v>
      </x:c>
      <x:c r="F835" s="4" t="n">
        <x:f>J835*1.01</x:f>
        <x:v>3.74912</x:v>
      </x:c>
      <x:c r="G835" s="4" t="n">
        <x:v>21.78</x:v>
      </x:c>
      <x:c r="H835" s="4" t="n">
        <x:v>93.02</x:v>
      </x:c>
      <x:c r="I835" s="5" t="n">
        <x:f t="shared" si="13">F835*1000*H835</x:f>
        <x:v>348743.14239999995</x:v>
      </x:c>
      <x:c r="J835" t="n">
        <x:v>3.712</x:v>
      </x:c>
    </x:row>
    <x:row r="836">
      <x:c r="A836" s="3" t="n">
        <x:v>2023</x:v>
      </x:c>
      <x:c r="B836" s="2" t="str">
        <x:v>Julio</x:v>
      </x:c>
      <x:c r="C836" s="2" t="str">
        <x:v>RE-003970-1</x:v>
      </x:c>
      <x:c r="D836" s="2" t="str">
        <x:v>P.E. PEDRA CHANTADA</x:v>
      </x:c>
      <x:c r="E836" s="4" t="n">
        <x:v>3.615</x:v>
      </x:c>
      <x:c r="F836" s="4" t="n">
        <x:f>J836*0.97</x:f>
        <x:v>3.43865</x:v>
      </x:c>
      <x:c r="G836" s="4" t="n">
        <x:v>21.78</x:v>
      </x:c>
      <x:c r="H836" s="4" t="n">
        <x:v>90.47</x:v>
      </x:c>
      <x:c r="I836" s="5" t="n">
        <x:f t="shared" si="13">F836*1000*H836</x:f>
        <x:v>311094.6655</x:v>
      </x:c>
      <x:c r="J836" t="n">
        <x:v>3.545</x:v>
      </x:c>
    </x:row>
    <x:row r="837">
      <x:c r="A837" s="3" t="n">
        <x:v>2023</x:v>
      </x:c>
      <x:c r="B837" s="2" t="str">
        <x:v>Agosto</x:v>
      </x:c>
      <x:c r="C837" s="2" t="str">
        <x:v>RE-003970-1</x:v>
      </x:c>
      <x:c r="D837" s="2" t="str">
        <x:v>P.E. PEDRA CHANTADA</x:v>
      </x:c>
      <x:c r="E837" s="4" t="n">
        <x:v>3.538</x:v>
      </x:c>
      <x:c r="F837" s="4" t="n">
        <x:f>J837*1.04</x:f>
        <x:v>3.6192</x:v>
      </x:c>
      <x:c r="G837" s="4" t="n">
        <x:v>21.78</x:v>
      </x:c>
      <x:c r="H837" s="4" t="n">
        <x:v>96.05</x:v>
      </x:c>
      <x:c r="I837" s="5" t="n">
        <x:f t="shared" si="13">F837*1000*H837</x:f>
        <x:v>347624.16000000003</x:v>
      </x:c>
      <x:c r="J837" t="n">
        <x:v>3.48</x:v>
      </x:c>
    </x:row>
    <x:row r="838">
      <x:c r="A838" s="3" t="n">
        <x:v>2023</x:v>
      </x:c>
      <x:c r="B838" s="2" t="str">
        <x:v>Septiembre</x:v>
      </x:c>
      <x:c r="C838" s="2" t="str">
        <x:v>RE-003970-1</x:v>
      </x:c>
      <x:c r="D838" s="2" t="str">
        <x:v>P.E. PEDRA CHANTADA</x:v>
      </x:c>
      <x:c r="E838" s="4" t="n">
        <x:v>3.957</x:v>
      </x:c>
      <x:c r="F838" s="4" t="n">
        <x:f>J838*1</x:f>
        <x:v>3.889</x:v>
      </x:c>
      <x:c r="G838" s="4" t="n">
        <x:v>21.78</x:v>
      </x:c>
      <x:c r="H838" s="4" t="n">
        <x:v>103.34</x:v>
      </x:c>
      <x:c r="I838" s="5" t="n">
        <x:f t="shared" si="13">F838*1000*H838</x:f>
        <x:v>401889.26</x:v>
      </x:c>
      <x:c r="J838" t="n">
        <x:v>3.889</x:v>
      </x:c>
    </x:row>
    <x:row r="839">
      <x:c r="A839" s="3" t="n">
        <x:v>2023</x:v>
      </x:c>
      <x:c r="B839" s="2" t="str">
        <x:v>Octubre</x:v>
      </x:c>
      <x:c r="C839" s="2" t="str">
        <x:v>RE-003970-1</x:v>
      </x:c>
      <x:c r="D839" s="2" t="str">
        <x:v>P.E. PEDRA CHANTADA</x:v>
      </x:c>
      <x:c r="E839" s="4" t="n">
        <x:v>4.88</x:v>
      </x:c>
      <x:c r="F839" s="4" t="n">
        <x:f>J839*0.96</x:f>
        <x:v>4.5840000000000005</x:v>
      </x:c>
      <x:c r="G839" s="4" t="n">
        <x:v>21.78</x:v>
      </x:c>
      <x:c r="H839" s="4" t="n">
        <x:v>90.14</x:v>
      </x:c>
      <x:c r="I839" s="5" t="n">
        <x:f t="shared" si="13">F839*1000*H839</x:f>
        <x:v>413201.76000000007</x:v>
      </x:c>
      <x:c r="J839" t="n">
        <x:v>4.775</x:v>
      </x:c>
    </x:row>
    <x:row r="840">
      <x:c r="A840" s="3" t="n">
        <x:v>2023</x:v>
      </x:c>
      <x:c r="B840" s="2" t="str">
        <x:v>Noviembre</x:v>
      </x:c>
      <x:c r="C840" s="2" t="str">
        <x:v>RE-003970-1</x:v>
      </x:c>
      <x:c r="D840" s="2" t="str">
        <x:v>P.E. PEDRA CHANTADA</x:v>
      </x:c>
      <x:c r="E840" s="4" t="n">
        <x:v>4.87</x:v>
      </x:c>
      <x:c r="F840" s="4" t="n">
        <x:f>J840*1.03</x:f>
        <x:v>4.91722</x:v>
      </x:c>
      <x:c r="G840" s="4" t="n">
        <x:v>21.78</x:v>
      </x:c>
      <x:c r="H840" s="4" t="n">
        <x:v>63.45</x:v>
      </x:c>
      <x:c r="I840" s="5" t="n">
        <x:f t="shared" si="13">F840*1000*H840</x:f>
        <x:v>311997.60900000005</x:v>
      </x:c>
      <x:c r="J840" t="n">
        <x:v>4.774</x:v>
      </x:c>
    </x:row>
    <x:row r="841">
      <x:c r="A841" s="3" t="n">
        <x:v>2023</x:v>
      </x:c>
      <x:c r="B841" s="2" t="str">
        <x:v>Diciembre</x:v>
      </x:c>
      <x:c r="C841" s="2" t="str">
        <x:v>RE-003970-1</x:v>
      </x:c>
      <x:c r="D841" s="2" t="str">
        <x:v>P.E. PEDRA CHANTADA</x:v>
      </x:c>
      <x:c r="E841" s="4" t="n">
        <x:v>5.624</x:v>
      </x:c>
      <x:c r="F841" s="4" t="n">
        <x:f>J841*0.99</x:f>
        <x:v>5.46876</x:v>
      </x:c>
      <x:c r="G841" s="4" t="n">
        <x:v>21.78</x:v>
      </x:c>
      <x:c r="H841" s="4" t="n">
        <x:v>72.17</x:v>
      </x:c>
      <x:c r="I841" s="5" t="n">
        <x:f t="shared" si="13">F841*1000*H841</x:f>
        <x:v>394680.40919999994</x:v>
      </x:c>
      <x:c r="J841" t="n">
        <x:v>5.524</x:v>
      </x:c>
    </x:row>
    <x:row r="842">
      <x:c r="A842" s="3" t="n">
        <x:v>2023</x:v>
      </x:c>
      <x:c r="B842" s="2" t="str">
        <x:v>Enero</x:v>
      </x:c>
      <x:c r="C842" s="2" t="str">
        <x:v>RE-003971-1</x:v>
      </x:c>
      <x:c r="D842" s="2" t="str">
        <x:v>P.E. PENA LUISA</x:v>
      </x:c>
      <x:c r="E842" s="4" t="n">
        <x:v>6.501</x:v>
      </x:c>
      <x:c r="F842" s="4" t="n">
        <x:f>J842*0.95</x:f>
        <x:v>6.027749999999999</x:v>
      </x:c>
      <x:c r="G842" s="4" t="n">
        <x:v>21.78</x:v>
      </x:c>
      <x:c r="H842" s="4" t="n">
        <x:v>69.55</x:v>
      </x:c>
      <x:c r="I842" s="5" t="n">
        <x:f t="shared" si="13">F842*1000*H842</x:f>
        <x:v>419230.0124999999</x:v>
      </x:c>
      <x:c r="J842" t="n">
        <x:v>6.345</x:v>
      </x:c>
    </x:row>
    <x:row r="843">
      <x:c r="A843" s="3" t="n">
        <x:v>2023</x:v>
      </x:c>
      <x:c r="B843" s="2" t="str">
        <x:v>Febrero</x:v>
      </x:c>
      <x:c r="C843" s="2" t="str">
        <x:v>RE-003971-1</x:v>
      </x:c>
      <x:c r="D843" s="2" t="str">
        <x:v>P.E. PENA LUISA</x:v>
      </x:c>
      <x:c r="E843" s="4" t="n">
        <x:v>5.437</x:v>
      </x:c>
      <x:c r="F843" s="4" t="n">
        <x:f>J843*1.02</x:f>
        <x:v>5.37336</x:v>
      </x:c>
      <x:c r="G843" s="4" t="n">
        <x:v>21.78</x:v>
      </x:c>
      <x:c r="H843" s="4" t="n">
        <x:v>133.47</x:v>
      </x:c>
      <x:c r="I843" s="5" t="n">
        <x:f t="shared" si="13">F843*1000*H843</x:f>
        <x:v>717182.3592</x:v>
      </x:c>
      <x:c r="J843" t="n">
        <x:v>5.268</x:v>
      </x:c>
    </x:row>
    <x:row r="844">
      <x:c r="A844" s="3" t="n">
        <x:v>2023</x:v>
      </x:c>
      <x:c r="B844" s="2" t="str">
        <x:v>Marzo</x:v>
      </x:c>
      <x:c r="C844" s="2" t="str">
        <x:v>RE-003971-1</x:v>
      </x:c>
      <x:c r="D844" s="2" t="str">
        <x:v>P.E. PENA LUISA</x:v>
      </x:c>
      <x:c r="E844" s="4" t="n">
        <x:v>5.315</x:v>
      </x:c>
      <x:c r="F844" s="4" t="n">
        <x:f>J844*0.98</x:f>
        <x:v>5.06072</x:v>
      </x:c>
      <x:c r="G844" s="4" t="n">
        <x:v>21.78</x:v>
      </x:c>
      <x:c r="H844" s="4" t="n">
        <x:v>89.61</x:v>
      </x:c>
      <x:c r="I844" s="5" t="n">
        <x:f t="shared" si="13">F844*1000*H844</x:f>
        <x:v>453491.1192</x:v>
      </x:c>
      <x:c r="J844" t="n">
        <x:v>5.164</x:v>
      </x:c>
    </x:row>
    <x:row r="845">
      <x:c r="A845" s="3" t="n">
        <x:v>2023</x:v>
      </x:c>
      <x:c r="B845" s="2" t="str">
        <x:v>Abril</x:v>
      </x:c>
      <x:c r="C845" s="2" t="str">
        <x:v>RE-003971-1</x:v>
      </x:c>
      <x:c r="D845" s="2" t="str">
        <x:v>P.E. PENA LUISA</x:v>
      </x:c>
      <x:c r="E845" s="4" t="n">
        <x:v>4.254</x:v>
      </x:c>
      <x:c r="F845" s="4" t="n">
        <x:f>J845*0.94</x:f>
        <x:v>3.8840799999999995</x:v>
      </x:c>
      <x:c r="G845" s="4" t="n">
        <x:v>21.78</x:v>
      </x:c>
      <x:c r="H845" s="4" t="n">
        <x:v>73.73</x:v>
      </x:c>
      <x:c r="I845" s="5" t="n">
        <x:f t="shared" si="13">F845*1000*H845</x:f>
        <x:v>286373.21839999995</x:v>
      </x:c>
      <x:c r="J845" t="n">
        <x:v>4.132</x:v>
      </x:c>
    </x:row>
    <x:row r="846">
      <x:c r="A846" s="3" t="n">
        <x:v>2023</x:v>
      </x:c>
      <x:c r="B846" s="2" t="str">
        <x:v>Mayo</x:v>
      </x:c>
      <x:c r="C846" s="2" t="str">
        <x:v>RE-003971-1</x:v>
      </x:c>
      <x:c r="D846" s="2" t="str">
        <x:v>P.E. PENA LUISA</x:v>
      </x:c>
      <x:c r="E846" s="4" t="n">
        <x:v>3.9</x:v>
      </x:c>
      <x:c r="F846" s="4" t="n">
        <x:f>J846*1.01</x:f>
        <x:v>3.84911</x:v>
      </x:c>
      <x:c r="G846" s="4" t="n">
        <x:v>21.78</x:v>
      </x:c>
      <x:c r="H846" s="4" t="n">
        <x:v>74.21</x:v>
      </x:c>
      <x:c r="I846" s="5" t="n">
        <x:f t="shared" si="13">F846*1000*H846</x:f>
        <x:v>285642.4531</x:v>
      </x:c>
      <x:c r="J846" t="n">
        <x:v>3.811</x:v>
      </x:c>
    </x:row>
    <x:row r="847">
      <x:c r="A847" s="3" t="n">
        <x:v>2023</x:v>
      </x:c>
      <x:c r="B847" s="2" t="str">
        <x:v>Junio</x:v>
      </x:c>
      <x:c r="C847" s="2" t="str">
        <x:v>RE-003971-1</x:v>
      </x:c>
      <x:c r="D847" s="2" t="str">
        <x:v>P.E. PENA LUISA</x:v>
      </x:c>
      <x:c r="E847" s="4" t="n">
        <x:v>3.877</x:v>
      </x:c>
      <x:c r="F847" s="4" t="n">
        <x:f>J847*0.97</x:f>
        <x:v>3.69085</x:v>
      </x:c>
      <x:c r="G847" s="4" t="n">
        <x:v>21.78</x:v>
      </x:c>
      <x:c r="H847" s="4" t="n">
        <x:v>93.02</x:v>
      </x:c>
      <x:c r="I847" s="5" t="n">
        <x:f t="shared" si="13">F847*1000*H847</x:f>
        <x:v>343322.867</x:v>
      </x:c>
      <x:c r="J847" t="n">
        <x:v>3.805</x:v>
      </x:c>
    </x:row>
    <x:row r="848">
      <x:c r="A848" s="3" t="n">
        <x:v>2023</x:v>
      </x:c>
      <x:c r="B848" s="2" t="str">
        <x:v>Julio</x:v>
      </x:c>
      <x:c r="C848" s="2" t="str">
        <x:v>RE-003971-1</x:v>
      </x:c>
      <x:c r="D848" s="2" t="str">
        <x:v>P.E. PENA LUISA</x:v>
      </x:c>
      <x:c r="E848" s="4" t="n">
        <x:v>3.882</x:v>
      </x:c>
      <x:c r="F848" s="4" t="n">
        <x:f>J848*1.04</x:f>
        <x:v>3.97592</x:v>
      </x:c>
      <x:c r="G848" s="4" t="n">
        <x:v>21.78</x:v>
      </x:c>
      <x:c r="H848" s="4" t="n">
        <x:v>90.47</x:v>
      </x:c>
      <x:c r="I848" s="5" t="n">
        <x:f t="shared" si="13">F848*1000*H848</x:f>
        <x:v>359701.4824</x:v>
      </x:c>
      <x:c r="J848" t="n">
        <x:v>3.823</x:v>
      </x:c>
    </x:row>
    <x:row r="849">
      <x:c r="A849" s="3" t="n">
        <x:v>2023</x:v>
      </x:c>
      <x:c r="B849" s="2" t="str">
        <x:v>Agosto</x:v>
      </x:c>
      <x:c r="C849" s="2" t="str">
        <x:v>RE-003971-1</x:v>
      </x:c>
      <x:c r="D849" s="2" t="str">
        <x:v>P.E. PENA LUISA</x:v>
      </x:c>
      <x:c r="E849" s="4" t="n">
        <x:v>3.882</x:v>
      </x:c>
      <x:c r="F849" s="4" t="n">
        <x:f>J849*1</x:f>
        <x:v>3.82</x:v>
      </x:c>
      <x:c r="G849" s="4" t="n">
        <x:v>21.78</x:v>
      </x:c>
      <x:c r="H849" s="4" t="n">
        <x:v>96.05</x:v>
      </x:c>
      <x:c r="I849" s="5" t="n">
        <x:f t="shared" si="13">F849*1000*H849</x:f>
        <x:v>366911</x:v>
      </x:c>
      <x:c r="J849" t="n">
        <x:v>3.82</x:v>
      </x:c>
    </x:row>
    <x:row r="850">
      <x:c r="A850" s="3" t="n">
        <x:v>2023</x:v>
      </x:c>
      <x:c r="B850" s="2" t="str">
        <x:v>Septiembre</x:v>
      </x:c>
      <x:c r="C850" s="2" t="str">
        <x:v>RE-003971-1</x:v>
      </x:c>
      <x:c r="D850" s="2" t="str">
        <x:v>P.E. PENA LUISA</x:v>
      </x:c>
      <x:c r="E850" s="4" t="n">
        <x:v>3.66</x:v>
      </x:c>
      <x:c r="F850" s="4" t="n">
        <x:f>J850*0.96</x:f>
        <x:v>3.4175999999999997</x:v>
      </x:c>
      <x:c r="G850" s="4" t="n">
        <x:v>21.78</x:v>
      </x:c>
      <x:c r="H850" s="4" t="n">
        <x:v>103.34</x:v>
      </x:c>
      <x:c r="I850" s="5" t="n">
        <x:f t="shared" si="13">F850*1000*H850</x:f>
        <x:v>353174.784</x:v>
      </x:c>
      <x:c r="J850" t="n">
        <x:v>3.56</x:v>
      </x:c>
    </x:row>
    <x:row r="851">
      <x:c r="A851" s="3" t="n">
        <x:v>2023</x:v>
      </x:c>
      <x:c r="B851" s="2" t="str">
        <x:v>Octubre</x:v>
      </x:c>
      <x:c r="C851" s="2" t="str">
        <x:v>RE-003971-1</x:v>
      </x:c>
      <x:c r="D851" s="2" t="str">
        <x:v>P.E. PENA LUISA</x:v>
      </x:c>
      <x:c r="E851" s="4" t="n">
        <x:v>5.548</x:v>
      </x:c>
      <x:c r="F851" s="4" t="n">
        <x:f>J851*1.03</x:f>
        <x:v>5.5929</x:v>
      </x:c>
      <x:c r="G851" s="4" t="n">
        <x:v>21.78</x:v>
      </x:c>
      <x:c r="H851" s="4" t="n">
        <x:v>90.14</x:v>
      </x:c>
      <x:c r="I851" s="5" t="n">
        <x:f t="shared" si="13">F851*1000*H851</x:f>
        <x:v>504144.00600000005</x:v>
      </x:c>
      <x:c r="J851" t="n">
        <x:v>5.43</x:v>
      </x:c>
    </x:row>
    <x:row r="852">
      <x:c r="A852" s="3" t="n">
        <x:v>2023</x:v>
      </x:c>
      <x:c r="B852" s="2" t="str">
        <x:v>Noviembre</x:v>
      </x:c>
      <x:c r="C852" s="2" t="str">
        <x:v>RE-003971-1</x:v>
      </x:c>
      <x:c r="D852" s="2" t="str">
        <x:v>P.E. PENA LUISA</x:v>
      </x:c>
      <x:c r="E852" s="4" t="n">
        <x:v>6.147</x:v>
      </x:c>
      <x:c r="F852" s="4" t="n">
        <x:f>J852*0.99</x:f>
        <x:v>5.89545</x:v>
      </x:c>
      <x:c r="G852" s="4" t="n">
        <x:v>21.78</x:v>
      </x:c>
      <x:c r="H852" s="4" t="n">
        <x:v>63.45</x:v>
      </x:c>
      <x:c r="I852" s="5" t="n">
        <x:f t="shared" si="13">F852*1000*H852</x:f>
        <x:v>374066.30250000005</x:v>
      </x:c>
      <x:c r="J852" t="n">
        <x:v>5.955</x:v>
      </x:c>
    </x:row>
    <x:row r="853">
      <x:c r="A853" s="3" t="n">
        <x:v>2023</x:v>
      </x:c>
      <x:c r="B853" s="2" t="str">
        <x:v>Diciembre</x:v>
      </x:c>
      <x:c r="C853" s="2" t="str">
        <x:v>RE-003971-1</x:v>
      </x:c>
      <x:c r="D853" s="2" t="str">
        <x:v>P.E. PENA LUISA</x:v>
      </x:c>
      <x:c r="E853" s="4" t="n">
        <x:v>7.348</x:v>
      </x:c>
      <x:c r="F853" s="4" t="n">
        <x:f>J853*0.95</x:f>
        <x:v>6.818149999999999</x:v>
      </x:c>
      <x:c r="G853" s="4" t="n">
        <x:v>21.78</x:v>
      </x:c>
      <x:c r="H853" s="4" t="n">
        <x:v>72.17</x:v>
      </x:c>
      <x:c r="I853" s="5" t="n">
        <x:f t="shared" si="13">F853*1000*H853</x:f>
        <x:v>492065.8855</x:v>
      </x:c>
      <x:c r="J853" t="n">
        <x:v>7.177</x:v>
      </x:c>
    </x:row>
    <x:row r="854">
      <x:c r="A854" s="3" t="n">
        <x:v>2023</x:v>
      </x:c>
      <x:c r="B854" s="2" t="str">
        <x:v>Enero</x:v>
      </x:c>
      <x:c r="C854" s="2" t="str">
        <x:v>RE-004387-1</x:v>
      </x:c>
      <x:c r="D854" s="2" t="str">
        <x:v>P.E. AMPLIACION DE ALABE-SOAN(ampl.con RE436-0353</x:v>
      </x:c>
      <x:c r="E854" s="4" t="n">
        <x:v>2.282</x:v>
      </x:c>
      <x:c r="F854" s="4" t="n">
        <x:f>J854*1.02</x:f>
        <x:v>2.2633799999999997</x:v>
      </x:c>
      <x:c r="G854" s="4" t="n">
        <x:v>9</x:v>
      </x:c>
      <x:c r="H854" s="4" t="n">
        <x:v>69.55</x:v>
      </x:c>
      <x:c r="I854" s="5" t="n">
        <x:f t="shared" si="13">F854*1000*H854</x:f>
        <x:v>157418.07899999997</x:v>
      </x:c>
      <x:c r="J854" t="n">
        <x:v>2.219</x:v>
      </x:c>
    </x:row>
    <x:row r="855">
      <x:c r="A855" s="3" t="n">
        <x:v>2023</x:v>
      </x:c>
      <x:c r="B855" s="2" t="str">
        <x:v>Febrero</x:v>
      </x:c>
      <x:c r="C855" s="2" t="str">
        <x:v>RE-004387-1</x:v>
      </x:c>
      <x:c r="D855" s="2" t="str">
        <x:v>P.E. AMPLIACION DE ALABE-SOAN(ampl.con RE436-0353</x:v>
      </x:c>
      <x:c r="E855" s="4" t="n">
        <x:v>2.167</x:v>
      </x:c>
      <x:c r="F855" s="4" t="n">
        <x:f>J855*0.98</x:f>
        <x:v>2.05604</x:v>
      </x:c>
      <x:c r="G855" s="4" t="n">
        <x:v>9</x:v>
      </x:c>
      <x:c r="H855" s="4" t="n">
        <x:v>133.47</x:v>
      </x:c>
      <x:c r="I855" s="5" t="n">
        <x:f t="shared" si="13">F855*1000*H855</x:f>
        <x:v>274419.6588</x:v>
      </x:c>
      <x:c r="J855" t="n">
        <x:v>2.098</x:v>
      </x:c>
    </x:row>
    <x:row r="856">
      <x:c r="A856" s="3" t="n">
        <x:v>2023</x:v>
      </x:c>
      <x:c r="B856" s="2" t="str">
        <x:v>Marzo</x:v>
      </x:c>
      <x:c r="C856" s="2" t="str">
        <x:v>RE-004387-1</x:v>
      </x:c>
      <x:c r="D856" s="2" t="str">
        <x:v>P.E. AMPLIACION DE ALABE-SOAN(ampl.con RE436-0353</x:v>
      </x:c>
      <x:c r="E856" s="4" t="n">
        <x:v>1.968</x:v>
      </x:c>
      <x:c r="F856" s="4" t="n">
        <x:f>J856*0.94</x:f>
        <x:v>1.80198</x:v>
      </x:c>
      <x:c r="G856" s="4" t="n">
        <x:v>9</x:v>
      </x:c>
      <x:c r="H856" s="4" t="n">
        <x:v>89.61</x:v>
      </x:c>
      <x:c r="I856" s="5" t="n">
        <x:f t="shared" si="13">F856*1000*H856</x:f>
        <x:v>161475.4278</x:v>
      </x:c>
      <x:c r="J856" t="n">
        <x:v>1.917</x:v>
      </x:c>
    </x:row>
    <x:row r="857">
      <x:c r="A857" s="3" t="n">
        <x:v>2023</x:v>
      </x:c>
      <x:c r="B857" s="2" t="str">
        <x:v>Abril</x:v>
      </x:c>
      <x:c r="C857" s="2" t="str">
        <x:v>RE-004387-1</x:v>
      </x:c>
      <x:c r="D857" s="2" t="str">
        <x:v>P.E. AMPLIACION DE ALABE-SOAN(ampl.con RE436-0353</x:v>
      </x:c>
      <x:c r="E857" s="4" t="n">
        <x:v>1.724</x:v>
      </x:c>
      <x:c r="F857" s="4" t="n">
        <x:f>J857*1.01</x:f>
        <x:v>1.71498</x:v>
      </x:c>
      <x:c r="G857" s="4" t="n">
        <x:v>9</x:v>
      </x:c>
      <x:c r="H857" s="4" t="n">
        <x:v>73.73</x:v>
      </x:c>
      <x:c r="I857" s="5" t="n">
        <x:f t="shared" si="13">F857*1000*H857</x:f>
        <x:v>126445.47540000001</x:v>
      </x:c>
      <x:c r="J857" t="n">
        <x:v>1.698</x:v>
      </x:c>
    </x:row>
    <x:row r="858">
      <x:c r="A858" s="3" t="n">
        <x:v>2023</x:v>
      </x:c>
      <x:c r="B858" s="2" t="str">
        <x:v>Mayo</x:v>
      </x:c>
      <x:c r="C858" s="2" t="str">
        <x:v>RE-004387-1</x:v>
      </x:c>
      <x:c r="D858" s="2" t="str">
        <x:v>P.E. AMPLIACION DE ALABE-SOAN(ampl.con RE436-0353</x:v>
      </x:c>
      <x:c r="E858" s="4" t="n">
        <x:v>1.608</x:v>
      </x:c>
      <x:c r="F858" s="4" t="n">
        <x:f>J858*0.97</x:f>
        <x:v>1.52193</x:v>
      </x:c>
      <x:c r="G858" s="4" t="n">
        <x:v>9</x:v>
      </x:c>
      <x:c r="H858" s="4" t="n">
        <x:v>74.21</x:v>
      </x:c>
      <x:c r="I858" s="5" t="n">
        <x:f t="shared" si="13">F858*1000*H858</x:f>
        <x:v>112942.42529999999</x:v>
      </x:c>
      <x:c r="J858" t="n">
        <x:v>1.569</x:v>
      </x:c>
    </x:row>
    <x:row r="859">
      <x:c r="A859" s="3" t="n">
        <x:v>2023</x:v>
      </x:c>
      <x:c r="B859" s="2" t="str">
        <x:v>Junio</x:v>
      </x:c>
      <x:c r="C859" s="2" t="str">
        <x:v>RE-004387-1</x:v>
      </x:c>
      <x:c r="D859" s="2" t="str">
        <x:v>P.E. AMPLIACION DE ALABE-SOAN(ampl.con RE436-0353</x:v>
      </x:c>
      <x:c r="E859" s="4" t="n">
        <x:v>1.176</x:v>
      </x:c>
      <x:c r="F859" s="4" t="n">
        <x:f>J859*1.04</x:f>
        <x:v>1.1856</x:v>
      </x:c>
      <x:c r="G859" s="4" t="n">
        <x:v>9</x:v>
      </x:c>
      <x:c r="H859" s="4" t="n">
        <x:v>93.02</x:v>
      </x:c>
      <x:c r="I859" s="5" t="n">
        <x:f t="shared" si="13">F859*1000*H859</x:f>
        <x:v>110284.51199999999</x:v>
      </x:c>
      <x:c r="J859" t="n">
        <x:v>1.14</x:v>
      </x:c>
    </x:row>
    <x:row r="860">
      <x:c r="A860" s="3" t="n">
        <x:v>2023</x:v>
      </x:c>
      <x:c r="B860" s="2" t="str">
        <x:v>Julio</x:v>
      </x:c>
      <x:c r="C860" s="2" t="str">
        <x:v>RE-004387-1</x:v>
      </x:c>
      <x:c r="D860" s="2" t="str">
        <x:v>P.E. AMPLIACION DE ALABE-SOAN(ampl.con RE436-0353</x:v>
      </x:c>
      <x:c r="E860" s="4" t="n">
        <x:v>1.206</x:v>
      </x:c>
      <x:c r="F860" s="4" t="n">
        <x:f>J860*1</x:f>
        <x:v>1.188</x:v>
      </x:c>
      <x:c r="G860" s="4" t="n">
        <x:v>9</x:v>
      </x:c>
      <x:c r="H860" s="4" t="n">
        <x:v>90.47</x:v>
      </x:c>
      <x:c r="I860" s="5" t="n">
        <x:f t="shared" si="13">F860*1000*H860</x:f>
        <x:v>107478.36</x:v>
      </x:c>
      <x:c r="J860" t="n">
        <x:v>1.188</x:v>
      </x:c>
    </x:row>
    <x:row r="861">
      <x:c r="A861" s="3" t="n">
        <x:v>2023</x:v>
      </x:c>
      <x:c r="B861" s="2" t="str">
        <x:v>Agosto</x:v>
      </x:c>
      <x:c r="C861" s="2" t="str">
        <x:v>RE-004387-1</x:v>
      </x:c>
      <x:c r="D861" s="2" t="str">
        <x:v>P.E. AMPLIACION DE ALABE-SOAN(ampl.con RE436-0353</x:v>
      </x:c>
      <x:c r="E861" s="4" t="n">
        <x:v>1.433</x:v>
      </x:c>
      <x:c r="F861" s="4" t="n">
        <x:f>J861*0.96</x:f>
        <x:v>1.34208</x:v>
      </x:c>
      <x:c r="G861" s="4" t="n">
        <x:v>9</x:v>
      </x:c>
      <x:c r="H861" s="4" t="n">
        <x:v>96.05</x:v>
      </x:c>
      <x:c r="I861" s="5" t="n">
        <x:f t="shared" si="13">F861*1000*H861</x:f>
        <x:v>128906.78399999999</x:v>
      </x:c>
      <x:c r="J861" t="n">
        <x:v>1.398</x:v>
      </x:c>
    </x:row>
    <x:row r="862">
      <x:c r="A862" s="3" t="n">
        <x:v>2023</x:v>
      </x:c>
      <x:c r="B862" s="2" t="str">
        <x:v>Septiembre</x:v>
      </x:c>
      <x:c r="C862" s="2" t="str">
        <x:v>RE-004387-1</x:v>
      </x:c>
      <x:c r="D862" s="2" t="str">
        <x:v>P.E. AMPLIACION DE ALABE-SOAN(ampl.con RE436-0353</x:v>
      </x:c>
      <x:c r="E862" s="4" t="n">
        <x:v>1.558</x:v>
      </x:c>
      <x:c r="F862" s="4" t="n">
        <x:f>J862*1.03</x:f>
        <x:v>1.57178</x:v>
      </x:c>
      <x:c r="G862" s="4" t="n">
        <x:v>9</x:v>
      </x:c>
      <x:c r="H862" s="4" t="n">
        <x:v>103.34</x:v>
      </x:c>
      <x:c r="I862" s="5" t="n">
        <x:f t="shared" si="13">F862*1000*H862</x:f>
        <x:v>162427.7452</x:v>
      </x:c>
      <x:c r="J862" t="n">
        <x:v>1.526</x:v>
      </x:c>
    </x:row>
    <x:row r="863">
      <x:c r="A863" s="3" t="n">
        <x:v>2023</x:v>
      </x:c>
      <x:c r="B863" s="2" t="str">
        <x:v>Octubre</x:v>
      </x:c>
      <x:c r="C863" s="2" t="str">
        <x:v>RE-004387-1</x:v>
      </x:c>
      <x:c r="D863" s="2" t="str">
        <x:v>P.E. AMPLIACION DE ALABE-SOAN(ampl.con RE436-0353</x:v>
      </x:c>
      <x:c r="E863" s="4" t="n">
        <x:v>1.7</x:v>
      </x:c>
      <x:c r="F863" s="4" t="n">
        <x:f>J863*0.99</x:f>
        <x:v>1.64241</x:v>
      </x:c>
      <x:c r="G863" s="4" t="n">
        <x:v>9</x:v>
      </x:c>
      <x:c r="H863" s="4" t="n">
        <x:v>90.14</x:v>
      </x:c>
      <x:c r="I863" s="5" t="n">
        <x:f t="shared" si="13">F863*1000*H863</x:f>
        <x:v>148046.8374</x:v>
      </x:c>
      <x:c r="J863" t="n">
        <x:v>1.659</x:v>
      </x:c>
    </x:row>
    <x:row r="864">
      <x:c r="A864" s="3" t="n">
        <x:v>2023</x:v>
      </x:c>
      <x:c r="B864" s="2" t="str">
        <x:v>Noviembre</x:v>
      </x:c>
      <x:c r="C864" s="2" t="str">
        <x:v>RE-004387-1</x:v>
      </x:c>
      <x:c r="D864" s="2" t="str">
        <x:v>P.E. AMPLIACION DE ALABE-SOAN(ampl.con RE436-0353</x:v>
      </x:c>
      <x:c r="E864" s="4" t="n">
        <x:v>2.274</x:v>
      </x:c>
      <x:c r="F864" s="4" t="n">
        <x:f>J864*0.95</x:f>
        <x:v>2.11755</x:v>
      </x:c>
      <x:c r="G864" s="4" t="n">
        <x:v>9</x:v>
      </x:c>
      <x:c r="H864" s="4" t="n">
        <x:v>63.45</x:v>
      </x:c>
      <x:c r="I864" s="5" t="n">
        <x:f t="shared" si="13">F864*1000*H864</x:f>
        <x:v>134358.54750000002</x:v>
      </x:c>
      <x:c r="J864" t="n">
        <x:v>2.229</x:v>
      </x:c>
    </x:row>
    <x:row r="865">
      <x:c r="A865" s="3" t="n">
        <x:v>2023</x:v>
      </x:c>
      <x:c r="B865" s="2" t="str">
        <x:v>Diciembre</x:v>
      </x:c>
      <x:c r="C865" s="2" t="str">
        <x:v>RE-004387-1</x:v>
      </x:c>
      <x:c r="D865" s="2" t="str">
        <x:v>P.E. AMPLIACION DE ALABE-SOAN(ampl.con RE436-0353</x:v>
      </x:c>
      <x:c r="E865" s="4" t="n">
        <x:v>2.767</x:v>
      </x:c>
      <x:c r="F865" s="4" t="n">
        <x:f>J865*1.02</x:f>
        <x:v>2.76522</x:v>
      </x:c>
      <x:c r="G865" s="4" t="n">
        <x:v>9</x:v>
      </x:c>
      <x:c r="H865" s="4" t="n">
        <x:v>72.17</x:v>
      </x:c>
      <x:c r="I865" s="5" t="n">
        <x:f t="shared" si="13">F865*1000*H865</x:f>
        <x:v>199565.9274</x:v>
      </x:c>
      <x:c r="J865" t="n">
        <x:v>2.711</x:v>
      </x:c>
    </x:row>
    <x:row r="866">
      <x:c r="A866" s="3" t="n">
        <x:v>2023</x:v>
      </x:c>
      <x:c r="B866" s="2" t="str">
        <x:v>Enero</x:v>
      </x:c>
      <x:c r="C866" s="2" t="str">
        <x:v>RE-004388-1</x:v>
      </x:c>
      <x:c r="D866" s="2" t="str">
        <x:v>P.E. ALABE-LABRADA</x:v>
      </x:c>
      <x:c r="E866" s="4" t="n">
        <x:v>5.869</x:v>
      </x:c>
      <x:c r="F866" s="4" t="n">
        <x:f>J866*0.98</x:f>
        <x:v>5.6154</x:v>
      </x:c>
      <x:c r="G866" s="4" t="n">
        <x:v>18.75</x:v>
      </x:c>
      <x:c r="H866" s="4" t="n">
        <x:v>69.55</x:v>
      </x:c>
      <x:c r="I866" s="5" t="n">
        <x:f t="shared" si="13">F866*1000*H866</x:f>
        <x:v>390551.07</x:v>
      </x:c>
      <x:c r="J866" t="n">
        <x:v>5.73</x:v>
      </x:c>
    </x:row>
    <x:row r="867">
      <x:c r="A867" s="3" t="n">
        <x:v>2023</x:v>
      </x:c>
      <x:c r="B867" s="2" t="str">
        <x:v>Febrero</x:v>
      </x:c>
      <x:c r="C867" s="2" t="str">
        <x:v>RE-004388-1</x:v>
      </x:c>
      <x:c r="D867" s="2" t="str">
        <x:v>P.E. ALABE-LABRADA</x:v>
      </x:c>
      <x:c r="E867" s="4" t="n">
        <x:v>4.207</x:v>
      </x:c>
      <x:c r="F867" s="4" t="n">
        <x:f>J867*0.94</x:f>
        <x:v>3.8840799999999995</x:v>
      </x:c>
      <x:c r="G867" s="4" t="n">
        <x:v>18.75</x:v>
      </x:c>
      <x:c r="H867" s="4" t="n">
        <x:v>133.47</x:v>
      </x:c>
      <x:c r="I867" s="5" t="n">
        <x:f t="shared" si="13">F867*1000*H867</x:f>
        <x:v>518408.1575999999</x:v>
      </x:c>
      <x:c r="J867" t="n">
        <x:v>4.132</x:v>
      </x:c>
    </x:row>
    <x:row r="868">
      <x:c r="A868" s="3" t="n">
        <x:v>2023</x:v>
      </x:c>
      <x:c r="B868" s="2" t="str">
        <x:v>Marzo</x:v>
      </x:c>
      <x:c r="C868" s="2" t="str">
        <x:v>RE-004388-1</x:v>
      </x:c>
      <x:c r="D868" s="2" t="str">
        <x:v>P.E. ALABE-LABRADA</x:v>
      </x:c>
      <x:c r="E868" s="4" t="n">
        <x:v>5.081</x:v>
      </x:c>
      <x:c r="F868" s="4" t="n">
        <x:f>J868*1.01</x:f>
        <x:v>5.01768</x:v>
      </x:c>
      <x:c r="G868" s="4" t="n">
        <x:v>18.75</x:v>
      </x:c>
      <x:c r="H868" s="4" t="n">
        <x:v>89.61</x:v>
      </x:c>
      <x:c r="I868" s="5" t="n">
        <x:f t="shared" si="13">F868*1000*H868</x:f>
        <x:v>449634.30480000004</x:v>
      </x:c>
      <x:c r="J868" t="n">
        <x:v>4.968</x:v>
      </x:c>
    </x:row>
    <x:row r="869">
      <x:c r="A869" s="3" t="n">
        <x:v>2023</x:v>
      </x:c>
      <x:c r="B869" s="2" t="str">
        <x:v>Abril</x:v>
      </x:c>
      <x:c r="C869" s="2" t="str">
        <x:v>RE-004388-1</x:v>
      </x:c>
      <x:c r="D869" s="2" t="str">
        <x:v>P.E. ALABE-LABRADA</x:v>
      </x:c>
      <x:c r="E869" s="4" t="n">
        <x:v>3.841</x:v>
      </x:c>
      <x:c r="F869" s="4" t="n">
        <x:f>J869*0.97</x:f>
        <x:v>3.6471999999999998</x:v>
      </x:c>
      <x:c r="G869" s="4" t="n">
        <x:v>18.75</x:v>
      </x:c>
      <x:c r="H869" s="4" t="n">
        <x:v>73.73</x:v>
      </x:c>
      <x:c r="I869" s="5" t="n">
        <x:f t="shared" si="13">F869*1000*H869</x:f>
        <x:v>268908.056</x:v>
      </x:c>
      <x:c r="J869" t="n">
        <x:v>3.76</x:v>
      </x:c>
    </x:row>
    <x:row r="870">
      <x:c r="A870" s="3" t="n">
        <x:v>2023</x:v>
      </x:c>
      <x:c r="B870" s="2" t="str">
        <x:v>Mayo</x:v>
      </x:c>
      <x:c r="C870" s="2" t="str">
        <x:v>RE-004388-1</x:v>
      </x:c>
      <x:c r="D870" s="2" t="str">
        <x:v>P.E. ALABE-LABRADA</x:v>
      </x:c>
      <x:c r="E870" s="4" t="n">
        <x:v>3.068</x:v>
      </x:c>
      <x:c r="F870" s="4" t="n">
        <x:f>J870*1.04</x:f>
        <x:v>3.1387199999999997</x:v>
      </x:c>
      <x:c r="G870" s="4" t="n">
        <x:v>18.75</x:v>
      </x:c>
      <x:c r="H870" s="4" t="n">
        <x:v>74.21</x:v>
      </x:c>
      <x:c r="I870" s="5" t="n">
        <x:f t="shared" si="13">F870*1000*H870</x:f>
        <x:v>232924.41119999997</x:v>
      </x:c>
      <x:c r="J870" t="n">
        <x:v>3.018</x:v>
      </x:c>
    </x:row>
    <x:row r="871">
      <x:c r="A871" s="3" t="n">
        <x:v>2023</x:v>
      </x:c>
      <x:c r="B871" s="2" t="str">
        <x:v>Junio</x:v>
      </x:c>
      <x:c r="C871" s="2" t="str">
        <x:v>RE-004388-1</x:v>
      </x:c>
      <x:c r="D871" s="2" t="str">
        <x:v>P.E. ALABE-LABRADA</x:v>
      </x:c>
      <x:c r="E871" s="4" t="n">
        <x:v>2.658</x:v>
      </x:c>
      <x:c r="F871" s="4" t="n">
        <x:f>J871*1</x:f>
        <x:v>2.583</x:v>
      </x:c>
      <x:c r="G871" s="4" t="n">
        <x:v>18.75</x:v>
      </x:c>
      <x:c r="H871" s="4" t="n">
        <x:v>93.02</x:v>
      </x:c>
      <x:c r="I871" s="5" t="n">
        <x:f t="shared" si="13">F871*1000*H871</x:f>
        <x:v>240270.66</x:v>
      </x:c>
      <x:c r="J871" t="n">
        <x:v>2.583</x:v>
      </x:c>
    </x:row>
    <x:row r="872">
      <x:c r="A872" s="3" t="n">
        <x:v>2023</x:v>
      </x:c>
      <x:c r="B872" s="2" t="str">
        <x:v>Julio</x:v>
      </x:c>
      <x:c r="C872" s="2" t="str">
        <x:v>RE-004388-1</x:v>
      </x:c>
      <x:c r="D872" s="2" t="str">
        <x:v>P.E. ALABE-LABRADA</x:v>
      </x:c>
      <x:c r="E872" s="4" t="n">
        <x:v>2.621</x:v>
      </x:c>
      <x:c r="F872" s="4" t="n">
        <x:f>J872*0.96</x:f>
        <x:v>2.44224</x:v>
      </x:c>
      <x:c r="G872" s="4" t="n">
        <x:v>18.75</x:v>
      </x:c>
      <x:c r="H872" s="4" t="n">
        <x:v>90.47</x:v>
      </x:c>
      <x:c r="I872" s="5" t="n">
        <x:f t="shared" si="13">F872*1000*H872</x:f>
        <x:v>220949.45279999997</x:v>
      </x:c>
      <x:c r="J872" t="n">
        <x:v>2.544</x:v>
      </x:c>
    </x:row>
    <x:row r="873">
      <x:c r="A873" s="3" t="n">
        <x:v>2023</x:v>
      </x:c>
      <x:c r="B873" s="2" t="str">
        <x:v>Agosto</x:v>
      </x:c>
      <x:c r="C873" s="2" t="str">
        <x:v>RE-004388-1</x:v>
      </x:c>
      <x:c r="D873" s="2" t="str">
        <x:v>P.E. ALABE-LABRADA</x:v>
      </x:c>
      <x:c r="E873" s="4" t="n">
        <x:v>2.556</x:v>
      </x:c>
      <x:c r="F873" s="4" t="n">
        <x:f>J873*1.03</x:f>
        <x:v>2.56985</x:v>
      </x:c>
      <x:c r="G873" s="4" t="n">
        <x:v>18.75</x:v>
      </x:c>
      <x:c r="H873" s="4" t="n">
        <x:v>96.05</x:v>
      </x:c>
      <x:c r="I873" s="5" t="n">
        <x:f t="shared" si="13">F873*1000*H873</x:f>
        <x:v>246834.09250000003</x:v>
      </x:c>
      <x:c r="J873" t="n">
        <x:v>2.495</x:v>
      </x:c>
    </x:row>
    <x:row r="874">
      <x:c r="A874" s="3" t="n">
        <x:v>2023</x:v>
      </x:c>
      <x:c r="B874" s="2" t="str">
        <x:v>Septiembre</x:v>
      </x:c>
      <x:c r="C874" s="2" t="str">
        <x:v>RE-004388-1</x:v>
      </x:c>
      <x:c r="D874" s="2" t="str">
        <x:v>P.E. ALABE-LABRADA</x:v>
      </x:c>
      <x:c r="E874" s="4" t="n">
        <x:v>3.739</x:v>
      </x:c>
      <x:c r="F874" s="4" t="n">
        <x:f>J874*0.99</x:f>
        <x:v>3.60756</x:v>
      </x:c>
      <x:c r="G874" s="4" t="n">
        <x:v>18.75</x:v>
      </x:c>
      <x:c r="H874" s="4" t="n">
        <x:v>103.34</x:v>
      </x:c>
      <x:c r="I874" s="5" t="n">
        <x:f t="shared" si="13">F874*1000*H874</x:f>
        <x:v>372805.2504</x:v>
      </x:c>
      <x:c r="J874" t="n">
        <x:v>3.644</x:v>
      </x:c>
    </x:row>
    <x:row r="875">
      <x:c r="A875" s="3" t="n">
        <x:v>2023</x:v>
      </x:c>
      <x:c r="B875" s="2" t="str">
        <x:v>Octubre</x:v>
      </x:c>
      <x:c r="C875" s="2" t="str">
        <x:v>RE-004388-1</x:v>
      </x:c>
      <x:c r="D875" s="2" t="str">
        <x:v>P.E. ALABE-LABRADA</x:v>
      </x:c>
      <x:c r="E875" s="4" t="n">
        <x:v>4.132</x:v>
      </x:c>
      <x:c r="F875" s="4" t="n">
        <x:f>J875*0.95</x:f>
        <x:v>3.8550999999999997</x:v>
      </x:c>
      <x:c r="G875" s="4" t="n">
        <x:v>18.75</x:v>
      </x:c>
      <x:c r="H875" s="4" t="n">
        <x:v>90.14</x:v>
      </x:c>
      <x:c r="I875" s="5" t="n">
        <x:f t="shared" si="13">F875*1000*H875</x:f>
        <x:v>347498.714</x:v>
      </x:c>
      <x:c r="J875" t="n">
        <x:v>4.058</x:v>
      </x:c>
    </x:row>
    <x:row r="876">
      <x:c r="A876" s="3" t="n">
        <x:v>2023</x:v>
      </x:c>
      <x:c r="B876" s="2" t="str">
        <x:v>Noviembre</x:v>
      </x:c>
      <x:c r="C876" s="2" t="str">
        <x:v>RE-004388-1</x:v>
      </x:c>
      <x:c r="D876" s="2" t="str">
        <x:v>P.E. ALABE-LABRADA</x:v>
      </x:c>
      <x:c r="E876" s="4" t="n">
        <x:v>4.98</x:v>
      </x:c>
      <x:c r="F876" s="4" t="n">
        <x:f>J876*1.02</x:f>
        <x:v>4.976579999999999</x:v>
      </x:c>
      <x:c r="G876" s="4" t="n">
        <x:v>18.75</x:v>
      </x:c>
      <x:c r="H876" s="4" t="n">
        <x:v>63.45</x:v>
      </x:c>
      <x:c r="I876" s="5" t="n">
        <x:f t="shared" si="13">F876*1000*H876</x:f>
        <x:v>315764.00099999993</x:v>
      </x:c>
      <x:c r="J876" t="n">
        <x:v>4.879</x:v>
      </x:c>
    </x:row>
    <x:row r="877">
      <x:c r="A877" s="3" t="n">
        <x:v>2023</x:v>
      </x:c>
      <x:c r="B877" s="2" t="str">
        <x:v>Diciembre</x:v>
      </x:c>
      <x:c r="C877" s="2" t="str">
        <x:v>RE-004388-1</x:v>
      </x:c>
      <x:c r="D877" s="2" t="str">
        <x:v>P.E. ALABE-LABRADA</x:v>
      </x:c>
      <x:c r="E877" s="4" t="n">
        <x:v>5.987</x:v>
      </x:c>
      <x:c r="F877" s="4" t="n">
        <x:f>J877*0.98</x:f>
        <x:v>5.70654</x:v>
      </x:c>
      <x:c r="G877" s="4" t="n">
        <x:v>18.75</x:v>
      </x:c>
      <x:c r="H877" s="4" t="n">
        <x:v>72.17</x:v>
      </x:c>
      <x:c r="I877" s="5" t="n">
        <x:f t="shared" si="13">F877*1000*H877</x:f>
        <x:v>411840.9918</x:v>
      </x:c>
      <x:c r="J877" t="n">
        <x:v>5.823</x:v>
      </x:c>
    </x:row>
    <x:row r="878">
      <x:c r="A878" s="3" t="n">
        <x:v>2023</x:v>
      </x:c>
      <x:c r="B878" s="2" t="str">
        <x:v>Enero</x:v>
      </x:c>
      <x:c r="C878" s="2" t="str">
        <x:v>RE-004628-1</x:v>
      </x:c>
      <x:c r="D878" s="2" t="str">
        <x:v>P.E. REQUEIXO</x:v>
      </x:c>
      <x:c r="E878" s="4" t="n">
        <x:v>3.102</x:v>
      </x:c>
      <x:c r="F878" s="4" t="n">
        <x:f>J878*0.94</x:f>
        <x:v>2.82658</x:v>
      </x:c>
      <x:c r="G878" s="4" t="n">
        <x:v>10.5</x:v>
      </x:c>
      <x:c r="H878" s="4" t="n">
        <x:v>69.55</x:v>
      </x:c>
      <x:c r="I878" s="5" t="n">
        <x:f t="shared" si="13">F878*1000*H878</x:f>
        <x:v>196588.639</x:v>
      </x:c>
      <x:c r="J878" t="n">
        <x:v>3.007</x:v>
      </x:c>
    </x:row>
    <x:row r="879">
      <x:c r="A879" s="3" t="n">
        <x:v>2023</x:v>
      </x:c>
      <x:c r="B879" s="2" t="str">
        <x:v>Febrero</x:v>
      </x:c>
      <x:c r="C879" s="2" t="str">
        <x:v>RE-004628-1</x:v>
      </x:c>
      <x:c r="D879" s="2" t="str">
        <x:v>P.E. REQUEIXO</x:v>
      </x:c>
      <x:c r="E879" s="4" t="n">
        <x:v>2.409</x:v>
      </x:c>
      <x:c r="F879" s="4" t="n">
        <x:f>J879*1.01</x:f>
        <x:v>2.39168</x:v>
      </x:c>
      <x:c r="G879" s="4" t="n">
        <x:v>10.5</x:v>
      </x:c>
      <x:c r="H879" s="4" t="n">
        <x:v>133.47</x:v>
      </x:c>
      <x:c r="I879" s="5" t="n">
        <x:f t="shared" si="13">F879*1000*H879</x:f>
        <x:v>319217.52959999995</x:v>
      </x:c>
      <x:c r="J879" t="n">
        <x:v>2.368</x:v>
      </x:c>
    </x:row>
    <x:row r="880">
      <x:c r="A880" s="3" t="n">
        <x:v>2023</x:v>
      </x:c>
      <x:c r="B880" s="2" t="str">
        <x:v>Marzo</x:v>
      </x:c>
      <x:c r="C880" s="2" t="str">
        <x:v>RE-004628-1</x:v>
      </x:c>
      <x:c r="D880" s="2" t="str">
        <x:v>P.E. REQUEIXO</x:v>
      </x:c>
      <x:c r="E880" s="4" t="n">
        <x:v>2.682</x:v>
      </x:c>
      <x:c r="F880" s="4" t="n">
        <x:f>J880*0.97</x:f>
        <x:v>2.52103</x:v>
      </x:c>
      <x:c r="G880" s="4" t="n">
        <x:v>10.5</x:v>
      </x:c>
      <x:c r="H880" s="4" t="n">
        <x:v>89.61</x:v>
      </x:c>
      <x:c r="I880" s="5" t="n">
        <x:f t="shared" si="13">F880*1000*H880</x:f>
        <x:v>225909.4983</x:v>
      </x:c>
      <x:c r="J880" t="n">
        <x:v>2.599</x:v>
      </x:c>
    </x:row>
    <x:row r="881">
      <x:c r="A881" s="3" t="n">
        <x:v>2023</x:v>
      </x:c>
      <x:c r="B881" s="2" t="str">
        <x:v>Abril</x:v>
      </x:c>
      <x:c r="C881" s="2" t="str">
        <x:v>RE-004628-1</x:v>
      </x:c>
      <x:c r="D881" s="2" t="str">
        <x:v>P.E. REQUEIXO</x:v>
      </x:c>
      <x:c r="E881" s="4" t="n">
        <x:v>2.02</x:v>
      </x:c>
      <x:c r="F881" s="4" t="n">
        <x:f>J881*1.04</x:f>
        <x:v>2.0436</x:v>
      </x:c>
      <x:c r="G881" s="4" t="n">
        <x:v>10.5</x:v>
      </x:c>
      <x:c r="H881" s="4" t="n">
        <x:v>73.73</x:v>
      </x:c>
      <x:c r="I881" s="5" t="n">
        <x:f t="shared" si="13">F881*1000*H881</x:f>
        <x:v>150674.62800000003</x:v>
      </x:c>
      <x:c r="J881" t="n">
        <x:v>1.965</x:v>
      </x:c>
    </x:row>
    <x:row r="882">
      <x:c r="A882" s="3" t="n">
        <x:v>2023</x:v>
      </x:c>
      <x:c r="B882" s="2" t="str">
        <x:v>Mayo</x:v>
      </x:c>
      <x:c r="C882" s="2" t="str">
        <x:v>RE-004628-1</x:v>
      </x:c>
      <x:c r="D882" s="2" t="str">
        <x:v>P.E. REQUEIXO</x:v>
      </x:c>
      <x:c r="E882" s="4" t="n">
        <x:v>1.612</x:v>
      </x:c>
      <x:c r="F882" s="4" t="n">
        <x:f>J882*1</x:f>
        <x:v>1.565</x:v>
      </x:c>
      <x:c r="G882" s="4" t="n">
        <x:v>10.5</x:v>
      </x:c>
      <x:c r="H882" s="4" t="n">
        <x:v>74.21</x:v>
      </x:c>
      <x:c r="I882" s="5" t="n">
        <x:f t="shared" si="13">F882*1000*H882</x:f>
        <x:v>116138.65</x:v>
      </x:c>
      <x:c r="J882" t="n">
        <x:v>1.565</x:v>
      </x:c>
    </x:row>
    <x:row r="883">
      <x:c r="A883" s="3" t="n">
        <x:v>2023</x:v>
      </x:c>
      <x:c r="B883" s="2" t="str">
        <x:v>Junio</x:v>
      </x:c>
      <x:c r="C883" s="2" t="str">
        <x:v>RE-004628-1</x:v>
      </x:c>
      <x:c r="D883" s="2" t="str">
        <x:v>P.E. REQUEIXO</x:v>
      </x:c>
      <x:c r="E883" s="4" t="n">
        <x:v>1.464</x:v>
      </x:c>
      <x:c r="F883" s="4" t="n">
        <x:f>J883*0.96</x:f>
        <x:v>1.37376</x:v>
      </x:c>
      <x:c r="G883" s="4" t="n">
        <x:v>10.5</x:v>
      </x:c>
      <x:c r="H883" s="4" t="n">
        <x:v>93.02</x:v>
      </x:c>
      <x:c r="I883" s="5" t="n">
        <x:f t="shared" si="13">F883*1000*H883</x:f>
        <x:v>127787.1552</x:v>
      </x:c>
      <x:c r="J883" t="n">
        <x:v>1.431</x:v>
      </x:c>
    </x:row>
    <x:row r="884">
      <x:c r="A884" s="3" t="n">
        <x:v>2023</x:v>
      </x:c>
      <x:c r="B884" s="2" t="str">
        <x:v>Julio</x:v>
      </x:c>
      <x:c r="C884" s="2" t="str">
        <x:v>RE-004628-1</x:v>
      </x:c>
      <x:c r="D884" s="2" t="str">
        <x:v>P.E. REQUEIXO</x:v>
      </x:c>
      <x:c r="E884" s="4" t="n">
        <x:v>1.327</x:v>
      </x:c>
      <x:c r="F884" s="4" t="n">
        <x:f>J884*1.03</x:f>
        <x:v>1.32458</x:v>
      </x:c>
      <x:c r="G884" s="4" t="n">
        <x:v>10.5</x:v>
      </x:c>
      <x:c r="H884" s="4" t="n">
        <x:v>90.47</x:v>
      </x:c>
      <x:c r="I884" s="5" t="n">
        <x:f t="shared" si="13">F884*1000*H884</x:f>
        <x:v>119834.7526</x:v>
      </x:c>
      <x:c r="J884" t="n">
        <x:v>1.286</x:v>
      </x:c>
    </x:row>
    <x:row r="885">
      <x:c r="A885" s="3" t="n">
        <x:v>2023</x:v>
      </x:c>
      <x:c r="B885" s="2" t="str">
        <x:v>Agosto</x:v>
      </x:c>
      <x:c r="C885" s="2" t="str">
        <x:v>RE-004628-1</x:v>
      </x:c>
      <x:c r="D885" s="2" t="str">
        <x:v>P.E. REQUEIXO</x:v>
      </x:c>
      <x:c r="E885" s="4" t="n">
        <x:v>1.623</x:v>
      </x:c>
      <x:c r="F885" s="4" t="n">
        <x:f>J885*0.99</x:f>
        <x:v>1.56717</x:v>
      </x:c>
      <x:c r="G885" s="4" t="n">
        <x:v>10.5</x:v>
      </x:c>
      <x:c r="H885" s="4" t="n">
        <x:v>96.05</x:v>
      </x:c>
      <x:c r="I885" s="5" t="n">
        <x:f t="shared" si="13">F885*1000*H885</x:f>
        <x:v>150526.67849999998</x:v>
      </x:c>
      <x:c r="J885" t="n">
        <x:v>1.583</x:v>
      </x:c>
    </x:row>
    <x:row r="886">
      <x:c r="A886" s="3" t="n">
        <x:v>2023</x:v>
      </x:c>
      <x:c r="B886" s="2" t="str">
        <x:v>Septiembre</x:v>
      </x:c>
      <x:c r="C886" s="2" t="str">
        <x:v>RE-004628-1</x:v>
      </x:c>
      <x:c r="D886" s="2" t="str">
        <x:v>P.E. REQUEIXO</x:v>
      </x:c>
      <x:c r="E886" s="4" t="n">
        <x:v>1.966</x:v>
      </x:c>
      <x:c r="F886" s="4" t="n">
        <x:f>J886*0.95</x:f>
        <x:v>1.8287499999999999</x:v>
      </x:c>
      <x:c r="G886" s="4" t="n">
        <x:v>10.5</x:v>
      </x:c>
      <x:c r="H886" s="4" t="n">
        <x:v>103.34</x:v>
      </x:c>
      <x:c r="I886" s="5" t="n">
        <x:f t="shared" si="13">F886*1000*H886</x:f>
        <x:v>188983.025</x:v>
      </x:c>
      <x:c r="J886" t="n">
        <x:v>1.925</x:v>
      </x:c>
    </x:row>
    <x:row r="887">
      <x:c r="A887" s="3" t="n">
        <x:v>2023</x:v>
      </x:c>
      <x:c r="B887" s="2" t="str">
        <x:v>Octubre</x:v>
      </x:c>
      <x:c r="C887" s="2" t="str">
        <x:v>RE-004628-1</x:v>
      </x:c>
      <x:c r="D887" s="2" t="str">
        <x:v>P.E. REQUEIXO</x:v>
      </x:c>
      <x:c r="E887" s="4" t="n">
        <x:v>2.494</x:v>
      </x:c>
      <x:c r="F887" s="4" t="n">
        <x:f>J887*1.02</x:f>
        <x:v>2.46942</x:v>
      </x:c>
      <x:c r="G887" s="4" t="n">
        <x:v>10.5</x:v>
      </x:c>
      <x:c r="H887" s="4" t="n">
        <x:v>90.14</x:v>
      </x:c>
      <x:c r="I887" s="5" t="n">
        <x:f t="shared" si="13">F887*1000*H887</x:f>
        <x:v>222593.51880000002</x:v>
      </x:c>
      <x:c r="J887" t="n">
        <x:v>2.421</x:v>
      </x:c>
    </x:row>
    <x:row r="888">
      <x:c r="A888" s="3" t="n">
        <x:v>2023</x:v>
      </x:c>
      <x:c r="B888" s="2" t="str">
        <x:v>Noviembre</x:v>
      </x:c>
      <x:c r="C888" s="2" t="str">
        <x:v>RE-004628-1</x:v>
      </x:c>
      <x:c r="D888" s="2" t="str">
        <x:v>P.E. REQUEIXO</x:v>
      </x:c>
      <x:c r="E888" s="4" t="n">
        <x:v>2.824</x:v>
      </x:c>
      <x:c r="F888" s="4" t="n">
        <x:f>J888*0.98</x:f>
        <x:v>2.7047999999999996</x:v>
      </x:c>
      <x:c r="G888" s="4" t="n">
        <x:v>10.5</x:v>
      </x:c>
      <x:c r="H888" s="4" t="n">
        <x:v>63.45</x:v>
      </x:c>
      <x:c r="I888" s="5" t="n">
        <x:f t="shared" si="13">F888*1000*H888</x:f>
        <x:v>171619.56</x:v>
      </x:c>
      <x:c r="J888" t="n">
        <x:v>2.76</x:v>
      </x:c>
    </x:row>
    <x:row r="889">
      <x:c r="A889" s="3" t="n">
        <x:v>2023</x:v>
      </x:c>
      <x:c r="B889" s="2" t="str">
        <x:v>Diciembre</x:v>
      </x:c>
      <x:c r="C889" s="2" t="str">
        <x:v>RE-004628-1</x:v>
      </x:c>
      <x:c r="D889" s="2" t="str">
        <x:v>P.E. REQUEIXO</x:v>
      </x:c>
      <x:c r="E889" s="4" t="n">
        <x:v>2.73</x:v>
      </x:c>
      <x:c r="F889" s="4" t="n">
        <x:f>J889*0.94</x:f>
        <x:v>2.5069799999999995</x:v>
      </x:c>
      <x:c r="G889" s="4" t="n">
        <x:v>10.5</x:v>
      </x:c>
      <x:c r="H889" s="4" t="n">
        <x:v>72.17</x:v>
      </x:c>
      <x:c r="I889" s="5" t="n">
        <x:f t="shared" si="13">F889*1000*H889</x:f>
        <x:v>180928.74659999998</x:v>
      </x:c>
      <x:c r="J889" t="n">
        <x:v>2.667</x:v>
      </x:c>
    </x:row>
    <x:row r="890">
      <x:c r="A890" s="3" t="n">
        <x:v>2023</x:v>
      </x:c>
      <x:c r="B890" s="2" t="str">
        <x:v>Enero</x:v>
      </x:c>
      <x:c r="C890" s="2" t="str">
        <x:v>RE-005004-1</x:v>
      </x:c>
      <x:c r="D890" s="2" t="str">
        <x:v>P.E. ALABE-MAREIRO</x:v>
      </x:c>
      <x:c r="E890" s="4" t="n">
        <x:v>3.631</x:v>
      </x:c>
      <x:c r="F890" s="4" t="n">
        <x:f>J890*1.01</x:f>
        <x:v>3.59863</x:v>
      </x:c>
      <x:c r="G890" s="4" t="n">
        <x:v>15</x:v>
      </x:c>
      <x:c r="H890" s="4" t="n">
        <x:v>69.55</x:v>
      </x:c>
      <x:c r="I890" s="5" t="n">
        <x:f t="shared" si="13">F890*1000*H890</x:f>
        <x:v>250284.7165</x:v>
      </x:c>
      <x:c r="J890" t="n">
        <x:v>3.563</x:v>
      </x:c>
    </x:row>
    <x:row r="891">
      <x:c r="A891" s="3" t="n">
        <x:v>2023</x:v>
      </x:c>
      <x:c r="B891" s="2" t="str">
        <x:v>Febrero</x:v>
      </x:c>
      <x:c r="C891" s="2" t="str">
        <x:v>RE-005004-1</x:v>
      </x:c>
      <x:c r="D891" s="2" t="str">
        <x:v>P.E. ALABE-MAREIRO</x:v>
      </x:c>
      <x:c r="E891" s="4" t="n">
        <x:v>3.341</x:v>
      </x:c>
      <x:c r="F891" s="4" t="n">
        <x:f>J891*0.97</x:f>
        <x:v>3.1418299999999997</x:v>
      </x:c>
      <x:c r="G891" s="4" t="n">
        <x:v>15</x:v>
      </x:c>
      <x:c r="H891" s="4" t="n">
        <x:v>133.47</x:v>
      </x:c>
      <x:c r="I891" s="5" t="n">
        <x:f t="shared" si="13">F891*1000*H891</x:f>
        <x:v>419340.05009999993</x:v>
      </x:c>
      <x:c r="J891" t="n">
        <x:v>3.239</x:v>
      </x:c>
    </x:row>
    <x:row r="892">
      <x:c r="A892" s="3" t="n">
        <x:v>2023</x:v>
      </x:c>
      <x:c r="B892" s="2" t="str">
        <x:v>Marzo</x:v>
      </x:c>
      <x:c r="C892" s="2" t="str">
        <x:v>RE-005004-1</x:v>
      </x:c>
      <x:c r="D892" s="2" t="str">
        <x:v>P.E. ALABE-MAREIRO</x:v>
      </x:c>
      <x:c r="E892" s="4" t="n">
        <x:v>3.223</x:v>
      </x:c>
      <x:c r="F892" s="4" t="n">
        <x:f>J892*1.04</x:f>
        <x:v>3.2822400000000003</x:v>
      </x:c>
      <x:c r="G892" s="4" t="n">
        <x:v>15</x:v>
      </x:c>
      <x:c r="H892" s="4" t="n">
        <x:v>89.61</x:v>
      </x:c>
      <x:c r="I892" s="5" t="n">
        <x:f t="shared" si="13">F892*1000*H892</x:f>
        <x:v>294121.52640000003</x:v>
      </x:c>
      <x:c r="J892" t="n">
        <x:v>3.156</x:v>
      </x:c>
    </x:row>
    <x:row r="893">
      <x:c r="A893" s="3" t="n">
        <x:v>2023</x:v>
      </x:c>
      <x:c r="B893" s="2" t="str">
        <x:v>Abril</x:v>
      </x:c>
      <x:c r="C893" s="2" t="str">
        <x:v>RE-005004-1</x:v>
      </x:c>
      <x:c r="D893" s="2" t="str">
        <x:v>P.E. ALABE-MAREIRO</x:v>
      </x:c>
      <x:c r="E893" s="4" t="n">
        <x:v>2.619</x:v>
      </x:c>
      <x:c r="F893" s="4" t="n">
        <x:f>J893*1</x:f>
        <x:v>2.559</x:v>
      </x:c>
      <x:c r="G893" s="4" t="n">
        <x:v>15</x:v>
      </x:c>
      <x:c r="H893" s="4" t="n">
        <x:v>73.73</x:v>
      </x:c>
      <x:c r="I893" s="5" t="n">
        <x:f t="shared" si="13">F893*1000*H893</x:f>
        <x:v>188675.07</x:v>
      </x:c>
      <x:c r="J893" t="n">
        <x:v>2.559</x:v>
      </x:c>
    </x:row>
    <x:row r="894">
      <x:c r="A894" s="3" t="n">
        <x:v>2023</x:v>
      </x:c>
      <x:c r="B894" s="2" t="str">
        <x:v>Mayo</x:v>
      </x:c>
      <x:c r="C894" s="2" t="str">
        <x:v>RE-005004-1</x:v>
      </x:c>
      <x:c r="D894" s="2" t="str">
        <x:v>P.E. ALABE-MAREIRO</x:v>
      </x:c>
      <x:c r="E894" s="4" t="n">
        <x:v>2.43</x:v>
      </x:c>
      <x:c r="F894" s="4" t="n">
        <x:f>J894*0.96</x:f>
        <x:v>2.28096</x:v>
      </x:c>
      <x:c r="G894" s="4" t="n">
        <x:v>15</x:v>
      </x:c>
      <x:c r="H894" s="4" t="n">
        <x:v>74.21</x:v>
      </x:c>
      <x:c r="I894" s="5" t="n">
        <x:f t="shared" si="13">F894*1000*H894</x:f>
        <x:v>169270.0416</x:v>
      </x:c>
      <x:c r="J894" t="n">
        <x:v>2.376</x:v>
      </x:c>
    </x:row>
    <x:row r="895">
      <x:c r="A895" s="3" t="n">
        <x:v>2023</x:v>
      </x:c>
      <x:c r="B895" s="2" t="str">
        <x:v>Junio</x:v>
      </x:c>
      <x:c r="C895" s="2" t="str">
        <x:v>RE-005004-1</x:v>
      </x:c>
      <x:c r="D895" s="2" t="str">
        <x:v>P.E. ALABE-MAREIRO</x:v>
      </x:c>
      <x:c r="E895" s="4" t="n">
        <x:v>1.968</x:v>
      </x:c>
      <x:c r="F895" s="4" t="n">
        <x:f>J895*1.03</x:f>
        <x:v>1.98584</x:v>
      </x:c>
      <x:c r="G895" s="4" t="n">
        <x:v>15</x:v>
      </x:c>
      <x:c r="H895" s="4" t="n">
        <x:v>93.02</x:v>
      </x:c>
      <x:c r="I895" s="5" t="n">
        <x:f t="shared" si="13">F895*1000*H895</x:f>
        <x:v>184722.83680000002</x:v>
      </x:c>
      <x:c r="J895" t="n">
        <x:v>1.928</x:v>
      </x:c>
    </x:row>
    <x:row r="896">
      <x:c r="A896" s="3" t="n">
        <x:v>2023</x:v>
      </x:c>
      <x:c r="B896" s="2" t="str">
        <x:v>Julio</x:v>
      </x:c>
      <x:c r="C896" s="2" t="str">
        <x:v>RE-005004-1</x:v>
      </x:c>
      <x:c r="D896" s="2" t="str">
        <x:v>P.E. ALABE-MAREIRO</x:v>
      </x:c>
      <x:c r="E896" s="4" t="n">
        <x:v>1.795</x:v>
      </x:c>
      <x:c r="F896" s="4" t="n">
        <x:f>J896*0.99</x:f>
        <x:v>1.7433899999999998</x:v>
      </x:c>
      <x:c r="G896" s="4" t="n">
        <x:v>15</x:v>
      </x:c>
      <x:c r="H896" s="4" t="n">
        <x:v>90.47</x:v>
      </x:c>
      <x:c r="I896" s="5" t="n">
        <x:f t="shared" si="13">F896*1000*H896</x:f>
        <x:v>157724.49329999997</x:v>
      </x:c>
      <x:c r="J896" t="n">
        <x:v>1.761</x:v>
      </x:c>
    </x:row>
    <x:row r="897">
      <x:c r="A897" s="3" t="n">
        <x:v>2023</x:v>
      </x:c>
      <x:c r="B897" s="2" t="str">
        <x:v>Agosto</x:v>
      </x:c>
      <x:c r="C897" s="2" t="str">
        <x:v>RE-005004-1</x:v>
      </x:c>
      <x:c r="D897" s="2" t="str">
        <x:v>P.E. ALABE-MAREIRO</x:v>
      </x:c>
      <x:c r="E897" s="4" t="n">
        <x:v>2.096</x:v>
      </x:c>
      <x:c r="F897" s="4" t="n">
        <x:f>J897*0.95</x:f>
        <x:v>1.9436999999999998</x:v>
      </x:c>
      <x:c r="G897" s="4" t="n">
        <x:v>15</x:v>
      </x:c>
      <x:c r="H897" s="4" t="n">
        <x:v>96.05</x:v>
      </x:c>
      <x:c r="I897" s="5" t="n">
        <x:f t="shared" si="13">F897*1000*H897</x:f>
        <x:v>186692.38499999998</x:v>
      </x:c>
      <x:c r="J897" t="n">
        <x:v>2.046</x:v>
      </x:c>
    </x:row>
    <x:row r="898">
      <x:c r="A898" s="3" t="n">
        <x:v>2023</x:v>
      </x:c>
      <x:c r="B898" s="2" t="str">
        <x:v>Septiembre</x:v>
      </x:c>
      <x:c r="C898" s="2" t="str">
        <x:v>RE-005004-1</x:v>
      </x:c>
      <x:c r="D898" s="2" t="str">
        <x:v>P.E. ALABE-MAREIRO</x:v>
      </x:c>
      <x:c r="E898" s="4" t="n">
        <x:v>2.18</x:v>
      </x:c>
      <x:c r="F898" s="4" t="n">
        <x:f>J898*1.02</x:f>
        <x:v>2.1583200000000002</x:v>
      </x:c>
      <x:c r="G898" s="4" t="n">
        <x:v>15</x:v>
      </x:c>
      <x:c r="H898" s="4" t="n">
        <x:v>103.34</x:v>
      </x:c>
      <x:c r="I898" s="5" t="n">
        <x:f t="shared" ref="I898:I961" si="14">F898*1000*H898</x:f>
        <x:v>223040.78880000004</x:v>
      </x:c>
      <x:c r="J898" t="n">
        <x:v>2.116</x:v>
      </x:c>
    </x:row>
    <x:row r="899">
      <x:c r="A899" s="3" t="n">
        <x:v>2023</x:v>
      </x:c>
      <x:c r="B899" s="2" t="str">
        <x:v>Octubre</x:v>
      </x:c>
      <x:c r="C899" s="2" t="str">
        <x:v>RE-005004-1</x:v>
      </x:c>
      <x:c r="D899" s="2" t="str">
        <x:v>P.E. ALABE-MAREIRO</x:v>
      </x:c>
      <x:c r="E899" s="4" t="n">
        <x:v>3.426</x:v>
      </x:c>
      <x:c r="F899" s="4" t="n">
        <x:f>J899*0.98</x:f>
        <x:v>3.29084</x:v>
      </x:c>
      <x:c r="G899" s="4" t="n">
        <x:v>15</x:v>
      </x:c>
      <x:c r="H899" s="4" t="n">
        <x:v>90.14</x:v>
      </x:c>
      <x:c r="I899" s="5" t="n">
        <x:f t="shared" si="14">F899*1000*H899</x:f>
        <x:v>296636.3176</x:v>
      </x:c>
      <x:c r="J899" t="n">
        <x:v>3.358</x:v>
      </x:c>
    </x:row>
    <x:row r="900">
      <x:c r="A900" s="3" t="n">
        <x:v>2023</x:v>
      </x:c>
      <x:c r="B900" s="2" t="str">
        <x:v>Noviembre</x:v>
      </x:c>
      <x:c r="C900" s="2" t="str">
        <x:v>RE-005004-1</x:v>
      </x:c>
      <x:c r="D900" s="2" t="str">
        <x:v>P.E. ALABE-MAREIRO</x:v>
      </x:c>
      <x:c r="E900" s="4" t="n">
        <x:v>3.401</x:v>
      </x:c>
      <x:c r="F900" s="4" t="n">
        <x:f>J900*0.94</x:f>
        <x:v>3.1189199999999997</x:v>
      </x:c>
      <x:c r="G900" s="4" t="n">
        <x:v>15</x:v>
      </x:c>
      <x:c r="H900" s="4" t="n">
        <x:v>63.45</x:v>
      </x:c>
      <x:c r="I900" s="5" t="n">
        <x:f t="shared" si="14">F900*1000*H900</x:f>
        <x:v>197895.474</x:v>
      </x:c>
      <x:c r="J900" t="n">
        <x:v>3.318</x:v>
      </x:c>
    </x:row>
    <x:row r="901">
      <x:c r="A901" s="3" t="n">
        <x:v>2023</x:v>
      </x:c>
      <x:c r="B901" s="2" t="str">
        <x:v>Diciembre</x:v>
      </x:c>
      <x:c r="C901" s="2" t="str">
        <x:v>RE-005004-1</x:v>
      </x:c>
      <x:c r="D901" s="2" t="str">
        <x:v>P.E. ALABE-MAREIRO</x:v>
      </x:c>
      <x:c r="E901" s="4" t="n">
        <x:v>3.839</x:v>
      </x:c>
      <x:c r="F901" s="4" t="n">
        <x:f>J901*1.01</x:f>
        <x:v>3.76528</x:v>
      </x:c>
      <x:c r="G901" s="4" t="n">
        <x:v>15</x:v>
      </x:c>
      <x:c r="H901" s="4" t="n">
        <x:v>72.17</x:v>
      </x:c>
      <x:c r="I901" s="5" t="n">
        <x:f t="shared" si="14">F901*1000*H901</x:f>
        <x:v>271740.2576</x:v>
      </x:c>
      <x:c r="J901" t="n">
        <x:v>3.728</x:v>
      </x:c>
    </x:row>
    <x:row r="902">
      <x:c r="A902" s="3" t="n">
        <x:v>2023</x:v>
      </x:c>
      <x:c r="B902" s="2" t="str">
        <x:v>Enero</x:v>
      </x:c>
      <x:c r="C902" s="2" t="str">
        <x:v>RE-005005-1</x:v>
      </x:c>
      <x:c r="D902" s="2" t="str">
        <x:v>P.E. ALABE-LESTE</x:v>
      </x:c>
      <x:c r="E902" s="4" t="n">
        <x:v>4.221</x:v>
      </x:c>
      <x:c r="F902" s="4" t="n">
        <x:f>J902*0.97</x:f>
        <x:v>3.9673</x:v>
      </x:c>
      <x:c r="G902" s="4" t="n">
        <x:v>14.25</x:v>
      </x:c>
      <x:c r="H902" s="4" t="n">
        <x:v>69.55</x:v>
      </x:c>
      <x:c r="I902" s="5" t="n">
        <x:f t="shared" si="14">F902*1000*H902</x:f>
        <x:v>275925.71499999997</x:v>
      </x:c>
      <x:c r="J902" t="n">
        <x:v>4.09</x:v>
      </x:c>
    </x:row>
    <x:row r="903">
      <x:c r="A903" s="3" t="n">
        <x:v>2023</x:v>
      </x:c>
      <x:c r="B903" s="2" t="str">
        <x:v>Febrero</x:v>
      </x:c>
      <x:c r="C903" s="2" t="str">
        <x:v>RE-005005-1</x:v>
      </x:c>
      <x:c r="D903" s="2" t="str">
        <x:v>P.E. ALABE-LESTE</x:v>
      </x:c>
      <x:c r="E903" s="4" t="n">
        <x:v>2.954</x:v>
      </x:c>
      <x:c r="F903" s="4" t="n">
        <x:f>J903*1.04</x:f>
        <x:v>2.99936</x:v>
      </x:c>
      <x:c r="G903" s="4" t="n">
        <x:v>14.25</x:v>
      </x:c>
      <x:c r="H903" s="4" t="n">
        <x:v>133.47</x:v>
      </x:c>
      <x:c r="I903" s="5" t="n">
        <x:f t="shared" si="14">F903*1000*H903</x:f>
        <x:v>400324.5792</x:v>
      </x:c>
      <x:c r="J903" t="n">
        <x:v>2.884</x:v>
      </x:c>
    </x:row>
    <x:row r="904">
      <x:c r="A904" s="3" t="n">
        <x:v>2023</x:v>
      </x:c>
      <x:c r="B904" s="2" t="str">
        <x:v>Marzo</x:v>
      </x:c>
      <x:c r="C904" s="2" t="str">
        <x:v>RE-005005-1</x:v>
      </x:c>
      <x:c r="D904" s="2" t="str">
        <x:v>P.E. ALABE-LESTE</x:v>
      </x:c>
      <x:c r="E904" s="4" t="n">
        <x:v>3.895</x:v>
      </x:c>
      <x:c r="F904" s="4" t="n">
        <x:f>J904*1</x:f>
        <x:v>3.778</x:v>
      </x:c>
      <x:c r="G904" s="4" t="n">
        <x:v>14.25</x:v>
      </x:c>
      <x:c r="H904" s="4" t="n">
        <x:v>89.61</x:v>
      </x:c>
      <x:c r="I904" s="5" t="n">
        <x:f t="shared" si="14">F904*1000*H904</x:f>
        <x:v>338546.58</x:v>
      </x:c>
      <x:c r="J904" t="n">
        <x:v>3.778</x:v>
      </x:c>
    </x:row>
    <x:row r="905">
      <x:c r="A905" s="3" t="n">
        <x:v>2023</x:v>
      </x:c>
      <x:c r="B905" s="2" t="str">
        <x:v>Abril</x:v>
      </x:c>
      <x:c r="C905" s="2" t="str">
        <x:v>RE-005005-1</x:v>
      </x:c>
      <x:c r="D905" s="2" t="str">
        <x:v>P.E. ALABE-LESTE</x:v>
      </x:c>
      <x:c r="E905" s="4" t="n">
        <x:v>2.871</x:v>
      </x:c>
      <x:c r="F905" s="4" t="n">
        <x:f>J905*0.96</x:f>
        <x:v>2.6755199999999997</x:v>
      </x:c>
      <x:c r="G905" s="4" t="n">
        <x:v>14.25</x:v>
      </x:c>
      <x:c r="H905" s="4" t="n">
        <x:v>73.73</x:v>
      </x:c>
      <x:c r="I905" s="5" t="n">
        <x:f t="shared" si="14">F905*1000*H905</x:f>
        <x:v>197266.08959999998</x:v>
      </x:c>
      <x:c r="J905" t="n">
        <x:v>2.787</x:v>
      </x:c>
    </x:row>
    <x:row r="906">
      <x:c r="A906" s="3" t="n">
        <x:v>2023</x:v>
      </x:c>
      <x:c r="B906" s="2" t="str">
        <x:v>Mayo</x:v>
      </x:c>
      <x:c r="C906" s="2" t="str">
        <x:v>RE-005005-1</x:v>
      </x:c>
      <x:c r="D906" s="2" t="str">
        <x:v>P.E. ALABE-LESTE</x:v>
      </x:c>
      <x:c r="E906" s="4" t="n">
        <x:v>2.361</x:v>
      </x:c>
      <x:c r="F906" s="4" t="n">
        <x:f>J906*1.03</x:f>
        <x:v>2.38548</x:v>
      </x:c>
      <x:c r="G906" s="4" t="n">
        <x:v>14.25</x:v>
      </x:c>
      <x:c r="H906" s="4" t="n">
        <x:v>74.21</x:v>
      </x:c>
      <x:c r="I906" s="5" t="n">
        <x:f t="shared" si="14">F906*1000*H906</x:f>
        <x:v>177026.47079999998</x:v>
      </x:c>
      <x:c r="J906" t="n">
        <x:v>2.316</x:v>
      </x:c>
    </x:row>
    <x:row r="907">
      <x:c r="A907" s="3" t="n">
        <x:v>2023</x:v>
      </x:c>
      <x:c r="B907" s="2" t="str">
        <x:v>Junio</x:v>
      </x:c>
      <x:c r="C907" s="2" t="str">
        <x:v>RE-005005-1</x:v>
      </x:c>
      <x:c r="D907" s="2" t="str">
        <x:v>P.E. ALABE-LESTE</x:v>
      </x:c>
      <x:c r="E907" s="4" t="n">
        <x:v>1.945</x:v>
      </x:c>
      <x:c r="F907" s="4" t="n">
        <x:f>J907*0.99</x:f>
        <x:v>1.87506</x:v>
      </x:c>
      <x:c r="G907" s="4" t="n">
        <x:v>14.25</x:v>
      </x:c>
      <x:c r="H907" s="4" t="n">
        <x:v>93.02</x:v>
      </x:c>
      <x:c r="I907" s="5" t="n">
        <x:f t="shared" si="14">F907*1000*H907</x:f>
        <x:v>174418.0812</x:v>
      </x:c>
      <x:c r="J907" t="n">
        <x:v>1.894</x:v>
      </x:c>
    </x:row>
    <x:row r="908">
      <x:c r="A908" s="3" t="n">
        <x:v>2023</x:v>
      </x:c>
      <x:c r="B908" s="2" t="str">
        <x:v>Julio</x:v>
      </x:c>
      <x:c r="C908" s="2" t="str">
        <x:v>RE-005005-1</x:v>
      </x:c>
      <x:c r="D908" s="2" t="str">
        <x:v>P.E. ALABE-LESTE</x:v>
      </x:c>
      <x:c r="E908" s="4" t="n">
        <x:v>2.117</x:v>
      </x:c>
      <x:c r="F908" s="4" t="n">
        <x:f>J908*0.95</x:f>
        <x:v>1.9588999999999996</x:v>
      </x:c>
      <x:c r="G908" s="4" t="n">
        <x:v>14.25</x:v>
      </x:c>
      <x:c r="H908" s="4" t="n">
        <x:v>90.47</x:v>
      </x:c>
      <x:c r="I908" s="5" t="n">
        <x:f t="shared" si="14">F908*1000*H908</x:f>
        <x:v>177221.68299999996</x:v>
      </x:c>
      <x:c r="J908" t="n">
        <x:v>2.062</x:v>
      </x:c>
    </x:row>
    <x:row r="909">
      <x:c r="A909" s="3" t="n">
        <x:v>2023</x:v>
      </x:c>
      <x:c r="B909" s="2" t="str">
        <x:v>Agosto</x:v>
      </x:c>
      <x:c r="C909" s="2" t="str">
        <x:v>RE-005005-1</x:v>
      </x:c>
      <x:c r="D909" s="2" t="str">
        <x:v>P.E. ALABE-LESTE</x:v>
      </x:c>
      <x:c r="E909" s="4" t="n">
        <x:v>2.149</x:v>
      </x:c>
      <x:c r="F909" s="4" t="n">
        <x:f>J909*1.02</x:f>
        <x:v>2.13078</x:v>
      </x:c>
      <x:c r="G909" s="4" t="n">
        <x:v>14.25</x:v>
      </x:c>
      <x:c r="H909" s="4" t="n">
        <x:v>96.05</x:v>
      </x:c>
      <x:c r="I909" s="5" t="n">
        <x:f t="shared" si="14">F909*1000*H909</x:f>
        <x:v>204661.41900000002</x:v>
      </x:c>
      <x:c r="J909" t="n">
        <x:v>2.089</x:v>
      </x:c>
    </x:row>
    <x:row r="910">
      <x:c r="A910" s="3" t="n">
        <x:v>2023</x:v>
      </x:c>
      <x:c r="B910" s="2" t="str">
        <x:v>Septiembre</x:v>
      </x:c>
      <x:c r="C910" s="2" t="str">
        <x:v>RE-005005-1</x:v>
      </x:c>
      <x:c r="D910" s="2" t="str">
        <x:v>P.E. ALABE-LESTE</x:v>
      </x:c>
      <x:c r="E910" s="4" t="n">
        <x:v>2.502</x:v>
      </x:c>
      <x:c r="F910" s="4" t="n">
        <x:f>J910*0.98</x:f>
        <x:v>2.37454</x:v>
      </x:c>
      <x:c r="G910" s="4" t="n">
        <x:v>14.25</x:v>
      </x:c>
      <x:c r="H910" s="4" t="n">
        <x:v>103.34</x:v>
      </x:c>
      <x:c r="I910" s="5" t="n">
        <x:f t="shared" si="14">F910*1000*H910</x:f>
        <x:v>245384.96360000002</x:v>
      </x:c>
      <x:c r="J910" t="n">
        <x:v>2.423</x:v>
      </x:c>
    </x:row>
    <x:row r="911">
      <x:c r="A911" s="3" t="n">
        <x:v>2023</x:v>
      </x:c>
      <x:c r="B911" s="2" t="str">
        <x:v>Octubre</x:v>
      </x:c>
      <x:c r="C911" s="2" t="str">
        <x:v>RE-005005-1</x:v>
      </x:c>
      <x:c r="D911" s="2" t="str">
        <x:v>P.E. ALABE-LESTE</x:v>
      </x:c>
      <x:c r="E911" s="4" t="n">
        <x:v>3.623</x:v>
      </x:c>
      <x:c r="F911" s="4" t="n">
        <x:f>J911*0.94</x:f>
        <x:v>3.3069199999999994</x:v>
      </x:c>
      <x:c r="G911" s="4" t="n">
        <x:v>14.25</x:v>
      </x:c>
      <x:c r="H911" s="4" t="n">
        <x:v>90.14</x:v>
      </x:c>
      <x:c r="I911" s="5" t="n">
        <x:f t="shared" si="14">F911*1000*H911</x:f>
        <x:v>298085.76879999996</x:v>
      </x:c>
      <x:c r="J911" t="n">
        <x:v>3.518</x:v>
      </x:c>
    </x:row>
    <x:row r="912">
      <x:c r="A912" s="3" t="n">
        <x:v>2023</x:v>
      </x:c>
      <x:c r="B912" s="2" t="str">
        <x:v>Noviembre</x:v>
      </x:c>
      <x:c r="C912" s="2" t="str">
        <x:v>RE-005005-1</x:v>
      </x:c>
      <x:c r="D912" s="2" t="str">
        <x:v>P.E. ALABE-LESTE</x:v>
      </x:c>
      <x:c r="E912" s="4" t="n">
        <x:v>3.172</x:v>
      </x:c>
      <x:c r="F912" s="4" t="n">
        <x:f>J912*1.01</x:f>
        <x:v>3.14817</x:v>
      </x:c>
      <x:c r="G912" s="4" t="n">
        <x:v>14.25</x:v>
      </x:c>
      <x:c r="H912" s="4" t="n">
        <x:v>63.45</x:v>
      </x:c>
      <x:c r="I912" s="5" t="n">
        <x:f t="shared" si="14">F912*1000*H912</x:f>
        <x:v>199751.38650000002</x:v>
      </x:c>
      <x:c r="J912" t="n">
        <x:v>3.117</x:v>
      </x:c>
    </x:row>
    <x:row r="913">
      <x:c r="A913" s="3" t="n">
        <x:v>2023</x:v>
      </x:c>
      <x:c r="B913" s="2" t="str">
        <x:v>Diciembre</x:v>
      </x:c>
      <x:c r="C913" s="2" t="str">
        <x:v>RE-005005-1</x:v>
      </x:c>
      <x:c r="D913" s="2" t="str">
        <x:v>P.E. ALABE-LESTE</x:v>
      </x:c>
      <x:c r="E913" s="4" t="n">
        <x:v>3.579</x:v>
      </x:c>
      <x:c r="F913" s="4" t="n">
        <x:f>J913*0.97</x:f>
        <x:v>3.3649299999999998</x:v>
      </x:c>
      <x:c r="G913" s="4" t="n">
        <x:v>14.25</x:v>
      </x:c>
      <x:c r="H913" s="4" t="n">
        <x:v>72.17</x:v>
      </x:c>
      <x:c r="I913" s="5" t="n">
        <x:f t="shared" si="14">F913*1000*H913</x:f>
        <x:v>242846.9981</x:v>
      </x:c>
      <x:c r="J913" t="n">
        <x:v>3.469</x:v>
      </x:c>
    </x:row>
    <x:row r="914">
      <x:c r="A914" s="3" t="n">
        <x:v>2023</x:v>
      </x:c>
      <x:c r="B914" s="2" t="str">
        <x:v>Enero</x:v>
      </x:c>
      <x:c r="C914" s="2" t="str">
        <x:v>RE-005667-1</x:v>
      </x:c>
      <x:c r="D914" s="2" t="str">
        <x:v>P.E. SERRA DE OUTES</x:v>
      </x:c>
      <x:c r="E914" s="4" t="n">
        <x:v>8.878</x:v>
      </x:c>
      <x:c r="F914" s="4" t="n">
        <x:f>J914*1.04</x:f>
        <x:v>9.03136</x:v>
      </x:c>
      <x:c r="G914" s="4" t="n">
        <x:v>33.6</x:v>
      </x:c>
      <x:c r="H914" s="4" t="n">
        <x:v>69.55</x:v>
      </x:c>
      <x:c r="I914" s="5" t="n">
        <x:f t="shared" si="14">F914*1000*H914</x:f>
        <x:v>628131.0879999999</x:v>
      </x:c>
      <x:c r="J914" t="n">
        <x:v>8.684</x:v>
      </x:c>
    </x:row>
    <x:row r="915">
      <x:c r="A915" s="3" t="n">
        <x:v>2023</x:v>
      </x:c>
      <x:c r="B915" s="2" t="str">
        <x:v>Febrero</x:v>
      </x:c>
      <x:c r="C915" s="2" t="str">
        <x:v>RE-005667-1</x:v>
      </x:c>
      <x:c r="D915" s="2" t="str">
        <x:v>P.E. SERRA DE OUTES</x:v>
      </x:c>
      <x:c r="E915" s="4" t="n">
        <x:v>8.545</x:v>
      </x:c>
      <x:c r="F915" s="4" t="n">
        <x:f>J915*1</x:f>
        <x:v>8.352</x:v>
      </x:c>
      <x:c r="G915" s="4" t="n">
        <x:v>33.6</x:v>
      </x:c>
      <x:c r="H915" s="4" t="n">
        <x:v>133.47</x:v>
      </x:c>
      <x:c r="I915" s="5" t="n">
        <x:f t="shared" si="14">F915*1000*H915</x:f>
        <x:v>1114741.44</x:v>
      </x:c>
      <x:c r="J915" t="n">
        <x:v>8.352</x:v>
      </x:c>
    </x:row>
    <x:row r="916">
      <x:c r="A916" s="3" t="n">
        <x:v>2023</x:v>
      </x:c>
      <x:c r="B916" s="2" t="str">
        <x:v>Marzo</x:v>
      </x:c>
      <x:c r="C916" s="2" t="str">
        <x:v>RE-005667-1</x:v>
      </x:c>
      <x:c r="D916" s="2" t="str">
        <x:v>P.E. SERRA DE OUTES</x:v>
      </x:c>
      <x:c r="E916" s="4" t="n">
        <x:v>9.208</x:v>
      </x:c>
      <x:c r="F916" s="4" t="n">
        <x:f>J916*0.96</x:f>
        <x:v>8.56896</x:v>
      </x:c>
      <x:c r="G916" s="4" t="n">
        <x:v>33.6</x:v>
      </x:c>
      <x:c r="H916" s="4" t="n">
        <x:v>89.61</x:v>
      </x:c>
      <x:c r="I916" s="5" t="n">
        <x:f t="shared" si="14">F916*1000*H916</x:f>
        <x:v>767864.5056</x:v>
      </x:c>
      <x:c r="J916" t="n">
        <x:v>8.926</x:v>
      </x:c>
    </x:row>
    <x:row r="917">
      <x:c r="A917" s="3" t="n">
        <x:v>2023</x:v>
      </x:c>
      <x:c r="B917" s="2" t="str">
        <x:v>Abril</x:v>
      </x:c>
      <x:c r="C917" s="2" t="str">
        <x:v>RE-005667-1</x:v>
      </x:c>
      <x:c r="D917" s="2" t="str">
        <x:v>P.E. SERRA DE OUTES</x:v>
      </x:c>
      <x:c r="E917" s="4" t="n">
        <x:v>6.573</x:v>
      </x:c>
      <x:c r="F917" s="4" t="n">
        <x:f>J917*1.03</x:f>
        <x:v>6.6332</x:v>
      </x:c>
      <x:c r="G917" s="4" t="n">
        <x:v>33.6</x:v>
      </x:c>
      <x:c r="H917" s="4" t="n">
        <x:v>73.73</x:v>
      </x:c>
      <x:c r="I917" s="5" t="n">
        <x:f t="shared" si="14">F917*1000*H917</x:f>
        <x:v>489065.83600000007</x:v>
      </x:c>
      <x:c r="J917" t="n">
        <x:v>6.44</x:v>
      </x:c>
    </x:row>
    <x:row r="918">
      <x:c r="A918" s="3" t="n">
        <x:v>2023</x:v>
      </x:c>
      <x:c r="B918" s="2" t="str">
        <x:v>Mayo</x:v>
      </x:c>
      <x:c r="C918" s="2" t="str">
        <x:v>RE-005667-1</x:v>
      </x:c>
      <x:c r="D918" s="2" t="str">
        <x:v>P.E. SERRA DE OUTES</x:v>
      </x:c>
      <x:c r="E918" s="4" t="n">
        <x:v>5.578</x:v>
      </x:c>
      <x:c r="F918" s="4" t="n">
        <x:f>J918*0.99</x:f>
        <x:v>5.377680000000001</x:v>
      </x:c>
      <x:c r="G918" s="4" t="n">
        <x:v>33.6</x:v>
      </x:c>
      <x:c r="H918" s="4" t="n">
        <x:v>74.21</x:v>
      </x:c>
      <x:c r="I918" s="5" t="n">
        <x:f t="shared" si="14">F918*1000*H918</x:f>
        <x:v>399077.63279999996</x:v>
      </x:c>
      <x:c r="J918" t="n">
        <x:v>5.432</x:v>
      </x:c>
    </x:row>
    <x:row r="919">
      <x:c r="A919" s="3" t="n">
        <x:v>2023</x:v>
      </x:c>
      <x:c r="B919" s="2" t="str">
        <x:v>Junio</x:v>
      </x:c>
      <x:c r="C919" s="2" t="str">
        <x:v>RE-005667-1</x:v>
      </x:c>
      <x:c r="D919" s="2" t="str">
        <x:v>P.E. SERRA DE OUTES</x:v>
      </x:c>
      <x:c r="E919" s="4" t="n">
        <x:v>4.948</x:v>
      </x:c>
      <x:c r="F919" s="4" t="n">
        <x:f>J919*0.95</x:f>
        <x:v>4.5999</x:v>
      </x:c>
      <x:c r="G919" s="4" t="n">
        <x:v>33.6</x:v>
      </x:c>
      <x:c r="H919" s="4" t="n">
        <x:v>93.02</x:v>
      </x:c>
      <x:c r="I919" s="5" t="n">
        <x:f t="shared" si="14">F919*1000*H919</x:f>
        <x:v>427882.698</x:v>
      </x:c>
      <x:c r="J919" t="n">
        <x:v>4.842</x:v>
      </x:c>
    </x:row>
    <x:row r="920">
      <x:c r="A920" s="3" t="n">
        <x:v>2023</x:v>
      </x:c>
      <x:c r="B920" s="2" t="str">
        <x:v>Julio</x:v>
      </x:c>
      <x:c r="C920" s="2" t="str">
        <x:v>RE-005667-1</x:v>
      </x:c>
      <x:c r="D920" s="2" t="str">
        <x:v>P.E. SERRA DE OUTES</x:v>
      </x:c>
      <x:c r="E920" s="4" t="n">
        <x:v>5.57</x:v>
      </x:c>
      <x:c r="F920" s="4" t="n">
        <x:f>J920*1.02</x:f>
        <x:v>5.58552</x:v>
      </x:c>
      <x:c r="G920" s="4" t="n">
        <x:v>33.6</x:v>
      </x:c>
      <x:c r="H920" s="4" t="n">
        <x:v>90.47</x:v>
      </x:c>
      <x:c r="I920" s="5" t="n">
        <x:f t="shared" si="14">F920*1000*H920</x:f>
        <x:v>505321.99439999997</x:v>
      </x:c>
      <x:c r="J920" t="n">
        <x:v>5.476</x:v>
      </x:c>
    </x:row>
    <x:row r="921">
      <x:c r="A921" s="3" t="n">
        <x:v>2023</x:v>
      </x:c>
      <x:c r="B921" s="2" t="str">
        <x:v>Agosto</x:v>
      </x:c>
      <x:c r="C921" s="2" t="str">
        <x:v>RE-005667-1</x:v>
      </x:c>
      <x:c r="D921" s="2" t="str">
        <x:v>P.E. SERRA DE OUTES</x:v>
      </x:c>
      <x:c r="E921" s="4" t="n">
        <x:v>5.007</x:v>
      </x:c>
      <x:c r="F921" s="4" t="n">
        <x:f>J921*0.98</x:f>
        <x:v>4.79514</x:v>
      </x:c>
      <x:c r="G921" s="4" t="n">
        <x:v>33.6</x:v>
      </x:c>
      <x:c r="H921" s="4" t="n">
        <x:v>96.05</x:v>
      </x:c>
      <x:c r="I921" s="5" t="n">
        <x:f t="shared" si="14">F921*1000*H921</x:f>
        <x:v>460573.19700000004</x:v>
      </x:c>
      <x:c r="J921" t="n">
        <x:v>4.893</x:v>
      </x:c>
    </x:row>
    <x:row r="922">
      <x:c r="A922" s="3" t="n">
        <x:v>2023</x:v>
      </x:c>
      <x:c r="B922" s="2" t="str">
        <x:v>Septiembre</x:v>
      </x:c>
      <x:c r="C922" s="2" t="str">
        <x:v>RE-005667-1</x:v>
      </x:c>
      <x:c r="D922" s="2" t="str">
        <x:v>P.E. SERRA DE OUTES</x:v>
      </x:c>
      <x:c r="E922" s="4" t="n">
        <x:v>6.479</x:v>
      </x:c>
      <x:c r="F922" s="4" t="n">
        <x:f>J922*0.94</x:f>
        <x:v>5.968999999999999</x:v>
      </x:c>
      <x:c r="G922" s="4" t="n">
        <x:v>33.6</x:v>
      </x:c>
      <x:c r="H922" s="4" t="n">
        <x:v>103.34</x:v>
      </x:c>
      <x:c r="I922" s="5" t="n">
        <x:f t="shared" si="14">F922*1000*H922</x:f>
        <x:v>616836.46</x:v>
      </x:c>
      <x:c r="J922" t="n">
        <x:v>6.35</x:v>
      </x:c>
    </x:row>
    <x:row r="923">
      <x:c r="A923" s="3" t="n">
        <x:v>2023</x:v>
      </x:c>
      <x:c r="B923" s="2" t="str">
        <x:v>Octubre</x:v>
      </x:c>
      <x:c r="C923" s="2" t="str">
        <x:v>RE-005667-1</x:v>
      </x:c>
      <x:c r="D923" s="2" t="str">
        <x:v>P.E. SERRA DE OUTES</x:v>
      </x:c>
      <x:c r="E923" s="4" t="n">
        <x:v>8.277</x:v>
      </x:c>
      <x:c r="F923" s="4" t="n">
        <x:f>J923*1.01</x:f>
        <x:v>8.221400000000001</x:v>
      </x:c>
      <x:c r="G923" s="4" t="n">
        <x:v>33.6</x:v>
      </x:c>
      <x:c r="H923" s="4" t="n">
        <x:v>90.14</x:v>
      </x:c>
      <x:c r="I923" s="5" t="n">
        <x:f t="shared" si="14">F923*1000*H923</x:f>
        <x:v>741076.9960000002</x:v>
      </x:c>
      <x:c r="J923" t="n">
        <x:v>8.14</x:v>
      </x:c>
    </x:row>
    <x:row r="924">
      <x:c r="A924" s="3" t="n">
        <x:v>2023</x:v>
      </x:c>
      <x:c r="B924" s="2" t="str">
        <x:v>Noviembre</x:v>
      </x:c>
      <x:c r="C924" s="2" t="str">
        <x:v>RE-005667-1</x:v>
      </x:c>
      <x:c r="D924" s="2" t="str">
        <x:v>P.E. SERRA DE OUTES</x:v>
      </x:c>
      <x:c r="E924" s="4" t="n">
        <x:v>8.517</x:v>
      </x:c>
      <x:c r="F924" s="4" t="n">
        <x:f>J924*0.97</x:f>
        <x:v>8.08689</x:v>
      </x:c>
      <x:c r="G924" s="4" t="n">
        <x:v>33.6</x:v>
      </x:c>
      <x:c r="H924" s="4" t="n">
        <x:v>63.45</x:v>
      </x:c>
      <x:c r="I924" s="5" t="n">
        <x:f t="shared" si="14">F924*1000*H924</x:f>
        <x:v>513113.17050000007</x:v>
      </x:c>
      <x:c r="J924" t="n">
        <x:v>8.337</x:v>
      </x:c>
    </x:row>
    <x:row r="925">
      <x:c r="A925" s="3" t="n">
        <x:v>2023</x:v>
      </x:c>
      <x:c r="B925" s="2" t="str">
        <x:v>Diciembre</x:v>
      </x:c>
      <x:c r="C925" s="2" t="str">
        <x:v>RE-005667-1</x:v>
      </x:c>
      <x:c r="D925" s="2" t="str">
        <x:v>P.E. SERRA DE OUTES</x:v>
      </x:c>
      <x:c r="E925" s="4" t="n">
        <x:v>9.209</x:v>
      </x:c>
      <x:c r="F925" s="4" t="n">
        <x:f>J925*1.04</x:f>
        <x:v>9.33296</x:v>
      </x:c>
      <x:c r="G925" s="4" t="n">
        <x:v>33.6</x:v>
      </x:c>
      <x:c r="H925" s="4" t="n">
        <x:v>72.17</x:v>
      </x:c>
      <x:c r="I925" s="5" t="n">
        <x:f t="shared" si="14">F925*1000*H925</x:f>
        <x:v>673559.7232</x:v>
      </x:c>
      <x:c r="J925" t="n">
        <x:v>8.974</x:v>
      </x:c>
    </x:row>
    <x:row r="926">
      <x:c r="A926" s="3" t="n">
        <x:v>2023</x:v>
      </x:c>
      <x:c r="B926" s="2" t="str">
        <x:v>Enero</x:v>
      </x:c>
      <x:c r="C926" s="2" t="str">
        <x:v>RE-005870-1</x:v>
      </x:c>
      <x:c r="D926" s="2" t="str">
        <x:v>P.E. SINGULAR DE PONTECESO (MONTE DA BARDA)</x:v>
      </x:c>
      <x:c r="E926" s="4" t="n">
        <x:v>0.841</x:v>
      </x:c>
      <x:c r="F926" s="4" t="n">
        <x:f>J926*1</x:f>
        <x:v>0.822</x:v>
      </x:c>
      <x:c r="G926" s="4" t="n">
        <x:v>3</x:v>
      </x:c>
      <x:c r="H926" s="4" t="n">
        <x:v>69.55</x:v>
      </x:c>
      <x:c r="I926" s="5" t="n">
        <x:f t="shared" si="14">F926*1000*H926</x:f>
        <x:v>57170.1</x:v>
      </x:c>
      <x:c r="J926" t="n">
        <x:v>0.822</x:v>
      </x:c>
    </x:row>
    <x:row r="927">
      <x:c r="A927" s="3" t="n">
        <x:v>2023</x:v>
      </x:c>
      <x:c r="B927" s="2" t="str">
        <x:v>Febrero</x:v>
      </x:c>
      <x:c r="C927" s="2" t="str">
        <x:v>RE-005870-1</x:v>
      </x:c>
      <x:c r="D927" s="2" t="str">
        <x:v>P.E. SINGULAR DE PONTECESO (MONTE DA BARDA)</x:v>
      </x:c>
      <x:c r="E927" s="4" t="n">
        <x:v>0.73</x:v>
      </x:c>
      <x:c r="F927" s="4" t="n">
        <x:f>J927*0.96</x:f>
        <x:v>0.6806399999999999</x:v>
      </x:c>
      <x:c r="G927" s="4" t="n">
        <x:v>3</x:v>
      </x:c>
      <x:c r="H927" s="4" t="n">
        <x:v>133.47</x:v>
      </x:c>
      <x:c r="I927" s="5" t="n">
        <x:f t="shared" si="14">F927*1000*H927</x:f>
        <x:v>90845.02079999998</x:v>
      </x:c>
      <x:c r="J927" t="n">
        <x:v>0.709</x:v>
      </x:c>
    </x:row>
    <x:row r="928">
      <x:c r="A928" s="3" t="n">
        <x:v>2023</x:v>
      </x:c>
      <x:c r="B928" s="2" t="str">
        <x:v>Marzo</x:v>
      </x:c>
      <x:c r="C928" s="2" t="str">
        <x:v>RE-005870-1</x:v>
      </x:c>
      <x:c r="D928" s="2" t="str">
        <x:v>P.E. SINGULAR DE PONTECESO (MONTE DA BARDA)</x:v>
      </x:c>
      <x:c r="E928" s="4" t="n">
        <x:v>0.848</x:v>
      </x:c>
      <x:c r="F928" s="4" t="n">
        <x:f>J928*1.03</x:f>
        <x:v>0.8476899999999999</x:v>
      </x:c>
      <x:c r="G928" s="4" t="n">
        <x:v>3</x:v>
      </x:c>
      <x:c r="H928" s="4" t="n">
        <x:v>89.61</x:v>
      </x:c>
      <x:c r="I928" s="5" t="n">
        <x:f t="shared" si="14">F928*1000*H928</x:f>
        <x:v>75961.5009</x:v>
      </x:c>
      <x:c r="J928" t="n">
        <x:v>0.823</x:v>
      </x:c>
    </x:row>
    <x:row r="929">
      <x:c r="A929" s="3" t="n">
        <x:v>2023</x:v>
      </x:c>
      <x:c r="B929" s="2" t="str">
        <x:v>Abril</x:v>
      </x:c>
      <x:c r="C929" s="2" t="str">
        <x:v>RE-005870-1</x:v>
      </x:c>
      <x:c r="D929" s="2" t="str">
        <x:v>P.E. SINGULAR DE PONTECESO (MONTE DA BARDA)</x:v>
      </x:c>
      <x:c r="E929" s="4" t="n">
        <x:v>0.626</x:v>
      </x:c>
      <x:c r="F929" s="4" t="n">
        <x:f>J929*0.99</x:f>
        <x:v>0.6039</x:v>
      </x:c>
      <x:c r="G929" s="4" t="n">
        <x:v>3</x:v>
      </x:c>
      <x:c r="H929" s="4" t="n">
        <x:v>73.73</x:v>
      </x:c>
      <x:c r="I929" s="5" t="n">
        <x:f t="shared" si="14">F929*1000*H929</x:f>
        <x:v>44525.547</x:v>
      </x:c>
      <x:c r="J929" t="n">
        <x:v>0.61</x:v>
      </x:c>
    </x:row>
    <x:row r="930">
      <x:c r="A930" s="3" t="n">
        <x:v>2023</x:v>
      </x:c>
      <x:c r="B930" s="2" t="str">
        <x:v>Mayo</x:v>
      </x:c>
      <x:c r="C930" s="2" t="str">
        <x:v>RE-005870-1</x:v>
      </x:c>
      <x:c r="D930" s="2" t="str">
        <x:v>P.E. SINGULAR DE PONTECESO (MONTE DA BARDA)</x:v>
      </x:c>
      <x:c r="E930" s="4" t="n">
        <x:v>0.57</x:v>
      </x:c>
      <x:c r="F930" s="4" t="n">
        <x:f>J930*0.95</x:f>
        <x:v>0.53105</x:v>
      </x:c>
      <x:c r="G930" s="4" t="n">
        <x:v>3</x:v>
      </x:c>
      <x:c r="H930" s="4" t="n">
        <x:v>74.21</x:v>
      </x:c>
      <x:c r="I930" s="5" t="n">
        <x:f t="shared" si="14">F930*1000*H930</x:f>
        <x:v>39409.2205</x:v>
      </x:c>
      <x:c r="J930" t="n">
        <x:v>0.559</x:v>
      </x:c>
    </x:row>
    <x:row r="931">
      <x:c r="A931" s="3" t="n">
        <x:v>2023</x:v>
      </x:c>
      <x:c r="B931" s="2" t="str">
        <x:v>Junio</x:v>
      </x:c>
      <x:c r="C931" s="2" t="str">
        <x:v>RE-005870-1</x:v>
      </x:c>
      <x:c r="D931" s="2" t="str">
        <x:v>P.E. SINGULAR DE PONTECESO (MONTE DA BARDA)</x:v>
      </x:c>
      <x:c r="E931" s="4" t="n">
        <x:v>0.526</x:v>
      </x:c>
      <x:c r="F931" s="4" t="n">
        <x:f>J931*1.02</x:f>
        <x:v>0.52224</x:v>
      </x:c>
      <x:c r="G931" s="4" t="n">
        <x:v>3</x:v>
      </x:c>
      <x:c r="H931" s="4" t="n">
        <x:v>93.02</x:v>
      </x:c>
      <x:c r="I931" s="5" t="n">
        <x:f t="shared" si="14">F931*1000*H931</x:f>
        <x:v>48578.7648</x:v>
      </x:c>
      <x:c r="J931" t="n">
        <x:v>0.512</x:v>
      </x:c>
    </x:row>
    <x:row r="932">
      <x:c r="A932" s="3" t="n">
        <x:v>2023</x:v>
      </x:c>
      <x:c r="B932" s="2" t="str">
        <x:v>Julio</x:v>
      </x:c>
      <x:c r="C932" s="2" t="str">
        <x:v>RE-005870-1</x:v>
      </x:c>
      <x:c r="D932" s="2" t="str">
        <x:v>P.E. SINGULAR DE PONTECESO (MONTE DA BARDA)</x:v>
      </x:c>
      <x:c r="E932" s="4" t="n">
        <x:v>0.524</x:v>
      </x:c>
      <x:c r="F932" s="4" t="n">
        <x:f>J932*0.98</x:f>
        <x:v>0.49686</x:v>
      </x:c>
      <x:c r="G932" s="4" t="n">
        <x:v>3</x:v>
      </x:c>
      <x:c r="H932" s="4" t="n">
        <x:v>90.47</x:v>
      </x:c>
      <x:c r="I932" s="5" t="n">
        <x:f t="shared" si="14">F932*1000*H932</x:f>
        <x:v>44950.9242</x:v>
      </x:c>
      <x:c r="J932" t="n">
        <x:v>0.507</x:v>
      </x:c>
    </x:row>
    <x:row r="933">
      <x:c r="A933" s="3" t="n">
        <x:v>2023</x:v>
      </x:c>
      <x:c r="B933" s="2" t="str">
        <x:v>Agosto</x:v>
      </x:c>
      <x:c r="C933" s="2" t="str">
        <x:v>RE-005870-1</x:v>
      </x:c>
      <x:c r="D933" s="2" t="str">
        <x:v>P.E. SINGULAR DE PONTECESO (MONTE DA BARDA)</x:v>
      </x:c>
      <x:c r="E933" s="4" t="n">
        <x:v>0.529</x:v>
      </x:c>
      <x:c r="F933" s="4" t="n">
        <x:f>J933*0.94</x:f>
        <x:v>0.48128</x:v>
      </x:c>
      <x:c r="G933" s="4" t="n">
        <x:v>3</x:v>
      </x:c>
      <x:c r="H933" s="4" t="n">
        <x:v>96.05</x:v>
      </x:c>
      <x:c r="I933" s="5" t="n">
        <x:f t="shared" si="14">F933*1000*H933</x:f>
        <x:v>46226.943999999996</x:v>
      </x:c>
      <x:c r="J933" t="n">
        <x:v>0.512</x:v>
      </x:c>
    </x:row>
    <x:row r="934">
      <x:c r="A934" s="3" t="n">
        <x:v>2023</x:v>
      </x:c>
      <x:c r="B934" s="2" t="str">
        <x:v>Septiembre</x:v>
      </x:c>
      <x:c r="C934" s="2" t="str">
        <x:v>RE-005870-1</x:v>
      </x:c>
      <x:c r="D934" s="2" t="str">
        <x:v>P.E. SINGULAR DE PONTECESO (MONTE DA BARDA)</x:v>
      </x:c>
      <x:c r="E934" s="4" t="n">
        <x:v>0.605</x:v>
      </x:c>
      <x:c r="F934" s="4" t="n">
        <x:f>J934*1.01</x:f>
        <x:v>0.59388</x:v>
      </x:c>
      <x:c r="G934" s="4" t="n">
        <x:v>3</x:v>
      </x:c>
      <x:c r="H934" s="4" t="n">
        <x:v>103.34</x:v>
      </x:c>
      <x:c r="I934" s="5" t="n">
        <x:f t="shared" si="14">F934*1000*H934</x:f>
        <x:v>61371.5592</x:v>
      </x:c>
      <x:c r="J934" t="n">
        <x:v>0.588</x:v>
      </x:c>
    </x:row>
    <x:row r="935">
      <x:c r="A935" s="3" t="n">
        <x:v>2023</x:v>
      </x:c>
      <x:c r="B935" s="2" t="str">
        <x:v>Octubre</x:v>
      </x:c>
      <x:c r="C935" s="2" t="str">
        <x:v>RE-005870-1</x:v>
      </x:c>
      <x:c r="D935" s="2" t="str">
        <x:v>P.E. SINGULAR DE PONTECESO (MONTE DA BARDA)</x:v>
      </x:c>
      <x:c r="E935" s="4" t="n">
        <x:v>0.78</x:v>
      </x:c>
      <x:c r="F935" s="4" t="n">
        <x:f>J935*0.97</x:f>
        <x:v>0.74205</x:v>
      </x:c>
      <x:c r="G935" s="4" t="n">
        <x:v>3</x:v>
      </x:c>
      <x:c r="H935" s="4" t="n">
        <x:v>90.14</x:v>
      </x:c>
      <x:c r="I935" s="5" t="n">
        <x:f t="shared" si="14">F935*1000*H935</x:f>
        <x:v>66888.387</x:v>
      </x:c>
      <x:c r="J935" t="n">
        <x:v>0.765</x:v>
      </x:c>
    </x:row>
    <x:row r="936">
      <x:c r="A936" s="3" t="n">
        <x:v>2023</x:v>
      </x:c>
      <x:c r="B936" s="2" t="str">
        <x:v>Noviembre</x:v>
      </x:c>
      <x:c r="C936" s="2" t="str">
        <x:v>RE-005870-1</x:v>
      </x:c>
      <x:c r="D936" s="2" t="str">
        <x:v>P.E. SINGULAR DE PONTECESO (MONTE DA BARDA)</x:v>
      </x:c>
      <x:c r="E936" s="4" t="n">
        <x:v>0.79</x:v>
      </x:c>
      <x:c r="F936" s="4" t="n">
        <x:f>J936*1.04</x:f>
        <x:v>0.8008000000000001</x:v>
      </x:c>
      <x:c r="G936" s="4" t="n">
        <x:v>3</x:v>
      </x:c>
      <x:c r="H936" s="4" t="n">
        <x:v>63.45</x:v>
      </x:c>
      <x:c r="I936" s="5" t="n">
        <x:f t="shared" si="14">F936*1000*H936</x:f>
        <x:v>50810.76000000001</x:v>
      </x:c>
      <x:c r="J936" t="n">
        <x:v>0.77</x:v>
      </x:c>
    </x:row>
    <x:row r="937">
      <x:c r="A937" s="3" t="n">
        <x:v>2023</x:v>
      </x:c>
      <x:c r="B937" s="2" t="str">
        <x:v>Diciembre</x:v>
      </x:c>
      <x:c r="C937" s="2" t="str">
        <x:v>RE-005870-1</x:v>
      </x:c>
      <x:c r="D937" s="2" t="str">
        <x:v>P.E. SINGULAR DE PONTECESO (MONTE DA BARDA)</x:v>
      </x:c>
      <x:c r="E937" s="4" t="n">
        <x:v>0.99</x:v>
      </x:c>
      <x:c r="F937" s="4" t="n">
        <x:f>J937*1</x:f>
        <x:v>0.961</x:v>
      </x:c>
      <x:c r="G937" s="4" t="n">
        <x:v>3</x:v>
      </x:c>
      <x:c r="H937" s="4" t="n">
        <x:v>72.17</x:v>
      </x:c>
      <x:c r="I937" s="5" t="n">
        <x:f t="shared" si="14">F937*1000*H937</x:f>
        <x:v>69355.37</x:v>
      </x:c>
      <x:c r="J937" t="n">
        <x:v>0.961</x:v>
      </x:c>
    </x:row>
    <x:row r="938">
      <x:c r="A938" s="3" t="n">
        <x:v>2023</x:v>
      </x:c>
      <x:c r="B938" s="2" t="str">
        <x:v>Enero</x:v>
      </x:c>
      <x:c r="C938" s="2" t="str">
        <x:v>RE-005874-1</x:v>
      </x:c>
      <x:c r="D938" s="2" t="str">
        <x:v>P.E. PENAS GRANDES</x:v>
      </x:c>
      <x:c r="E938" s="4" t="n">
        <x:v>3.466</x:v>
      </x:c>
      <x:c r="F938" s="4" t="n">
        <x:f>J938*0.96</x:f>
        <x:v>3.2207999999999997</x:v>
      </x:c>
      <x:c r="G938" s="4" t="n">
        <x:v>14.4</x:v>
      </x:c>
      <x:c r="H938" s="4" t="n">
        <x:v>69.55</x:v>
      </x:c>
      <x:c r="I938" s="5" t="n">
        <x:f t="shared" si="14">F938*1000*H938</x:f>
        <x:v>224006.63999999998</x:v>
      </x:c>
      <x:c r="J938" t="n">
        <x:v>3.355</x:v>
      </x:c>
    </x:row>
    <x:row r="939">
      <x:c r="A939" s="3" t="n">
        <x:v>2023</x:v>
      </x:c>
      <x:c r="B939" s="2" t="str">
        <x:v>Febrero</x:v>
      </x:c>
      <x:c r="C939" s="2" t="str">
        <x:v>RE-005874-1</x:v>
      </x:c>
      <x:c r="D939" s="2" t="str">
        <x:v>P.E. PENAS GRANDES</x:v>
      </x:c>
      <x:c r="E939" s="4" t="n">
        <x:v>3.254</x:v>
      </x:c>
      <x:c r="F939" s="4" t="n">
        <x:f>J939*1.03</x:f>
        <x:v>3.29909</x:v>
      </x:c>
      <x:c r="G939" s="4" t="n">
        <x:v>14.4</x:v>
      </x:c>
      <x:c r="H939" s="4" t="n">
        <x:v>133.47</x:v>
      </x:c>
      <x:c r="I939" s="5" t="n">
        <x:f t="shared" si="14">F939*1000*H939</x:f>
        <x:v>440329.54230000003</x:v>
      </x:c>
      <x:c r="J939" t="n">
        <x:v>3.203</x:v>
      </x:c>
    </x:row>
    <x:row r="940">
      <x:c r="A940" s="3" t="n">
        <x:v>2023</x:v>
      </x:c>
      <x:c r="B940" s="2" t="str">
        <x:v>Marzo</x:v>
      </x:c>
      <x:c r="C940" s="2" t="str">
        <x:v>RE-005874-1</x:v>
      </x:c>
      <x:c r="D940" s="2" t="str">
        <x:v>P.E. PENAS GRANDES</x:v>
      </x:c>
      <x:c r="E940" s="4" t="n">
        <x:v>3.053</x:v>
      </x:c>
      <x:c r="F940" s="4" t="n">
        <x:f>J940*0.99</x:f>
        <x:v>2.95812</x:v>
      </x:c>
      <x:c r="G940" s="4" t="n">
        <x:v>14.4</x:v>
      </x:c>
      <x:c r="H940" s="4" t="n">
        <x:v>89.61</x:v>
      </x:c>
      <x:c r="I940" s="5" t="n">
        <x:f t="shared" si="14">F940*1000*H940</x:f>
        <x:v>265077.1332</x:v>
      </x:c>
      <x:c r="J940" t="n">
        <x:v>2.988</x:v>
      </x:c>
    </x:row>
    <x:row r="941">
      <x:c r="A941" s="3" t="n">
        <x:v>2023</x:v>
      </x:c>
      <x:c r="B941" s="2" t="str">
        <x:v>Abril</x:v>
      </x:c>
      <x:c r="C941" s="2" t="str">
        <x:v>RE-005874-1</x:v>
      </x:c>
      <x:c r="D941" s="2" t="str">
        <x:v>P.E. PENAS GRANDES</x:v>
      </x:c>
      <x:c r="E941" s="4" t="n">
        <x:v>2.612</x:v>
      </x:c>
      <x:c r="F941" s="4" t="n">
        <x:f>J941*0.95</x:f>
        <x:v>2.4063499999999998</x:v>
      </x:c>
      <x:c r="G941" s="4" t="n">
        <x:v>14.4</x:v>
      </x:c>
      <x:c r="H941" s="4" t="n">
        <x:v>73.73</x:v>
      </x:c>
      <x:c r="I941" s="5" t="n">
        <x:f t="shared" si="14">F941*1000*H941</x:f>
        <x:v>177420.1855</x:v>
      </x:c>
      <x:c r="J941" t="n">
        <x:v>2.533</x:v>
      </x:c>
    </x:row>
    <x:row r="942">
      <x:c r="A942" s="3" t="n">
        <x:v>2023</x:v>
      </x:c>
      <x:c r="B942" s="2" t="str">
        <x:v>Mayo</x:v>
      </x:c>
      <x:c r="C942" s="2" t="str">
        <x:v>RE-005874-1</x:v>
      </x:c>
      <x:c r="D942" s="2" t="str">
        <x:v>P.E. PENAS GRANDES</x:v>
      </x:c>
      <x:c r="E942" s="4" t="n">
        <x:v>2.809</x:v>
      </x:c>
      <x:c r="F942" s="4" t="n">
        <x:f>J942*1.02</x:f>
        <x:v>2.80092</x:v>
      </x:c>
      <x:c r="G942" s="4" t="n">
        <x:v>14.4</x:v>
      </x:c>
      <x:c r="H942" s="4" t="n">
        <x:v>74.21</x:v>
      </x:c>
      <x:c r="I942" s="5" t="n">
        <x:f t="shared" si="14">F942*1000*H942</x:f>
        <x:v>207856.2732</x:v>
      </x:c>
      <x:c r="J942" t="n">
        <x:v>2.746</x:v>
      </x:c>
    </x:row>
    <x:row r="943">
      <x:c r="A943" s="3" t="n">
        <x:v>2023</x:v>
      </x:c>
      <x:c r="B943" s="2" t="str">
        <x:v>Junio</x:v>
      </x:c>
      <x:c r="C943" s="2" t="str">
        <x:v>RE-005874-1</x:v>
      </x:c>
      <x:c r="D943" s="2" t="str">
        <x:v>P.E. PENAS GRANDES</x:v>
      </x:c>
      <x:c r="E943" s="4" t="n">
        <x:v>2.176</x:v>
      </x:c>
      <x:c r="F943" s="4" t="n">
        <x:f>J943*0.98</x:f>
        <x:v>2.08054</x:v>
      </x:c>
      <x:c r="G943" s="4" t="n">
        <x:v>14.4</x:v>
      </x:c>
      <x:c r="H943" s="4" t="n">
        <x:v>93.02</x:v>
      </x:c>
      <x:c r="I943" s="5" t="n">
        <x:f t="shared" si="14">F943*1000*H943</x:f>
        <x:v>193531.8308</x:v>
      </x:c>
      <x:c r="J943" t="n">
        <x:v>2.123</x:v>
      </x:c>
    </x:row>
    <x:row r="944">
      <x:c r="A944" s="3" t="n">
        <x:v>2023</x:v>
      </x:c>
      <x:c r="B944" s="2" t="str">
        <x:v>Julio</x:v>
      </x:c>
      <x:c r="C944" s="2" t="str">
        <x:v>RE-005874-1</x:v>
      </x:c>
      <x:c r="D944" s="2" t="str">
        <x:v>P.E. PENAS GRANDES</x:v>
      </x:c>
      <x:c r="E944" s="4" t="n">
        <x:v>2.019</x:v>
      </x:c>
      <x:c r="F944" s="4" t="n">
        <x:f>J944*0.94</x:f>
        <x:v>1.8471</x:v>
      </x:c>
      <x:c r="G944" s="4" t="n">
        <x:v>14.4</x:v>
      </x:c>
      <x:c r="H944" s="4" t="n">
        <x:v>90.47</x:v>
      </x:c>
      <x:c r="I944" s="5" t="n">
        <x:f t="shared" si="14">F944*1000*H944</x:f>
        <x:v>167107.137</x:v>
      </x:c>
      <x:c r="J944" t="n">
        <x:v>1.965</x:v>
      </x:c>
    </x:row>
    <x:row r="945">
      <x:c r="A945" s="3" t="n">
        <x:v>2023</x:v>
      </x:c>
      <x:c r="B945" s="2" t="str">
        <x:v>Agosto</x:v>
      </x:c>
      <x:c r="C945" s="2" t="str">
        <x:v>RE-005874-1</x:v>
      </x:c>
      <x:c r="D945" s="2" t="str">
        <x:v>P.E. PENAS GRANDES</x:v>
      </x:c>
      <x:c r="E945" s="4" t="n">
        <x:v>2.345</x:v>
      </x:c>
      <x:c r="F945" s="4" t="n">
        <x:f>J945*1.01</x:f>
        <x:v>2.2977499999999997</x:v>
      </x:c>
      <x:c r="G945" s="4" t="n">
        <x:v>14.4</x:v>
      </x:c>
      <x:c r="H945" s="4" t="n">
        <x:v>96.05</x:v>
      </x:c>
      <x:c r="I945" s="5" t="n">
        <x:f t="shared" si="14">F945*1000*H945</x:f>
        <x:v>220698.88749999995</x:v>
      </x:c>
      <x:c r="J945" t="n">
        <x:v>2.275</x:v>
      </x:c>
    </x:row>
    <x:row r="946">
      <x:c r="A946" s="3" t="n">
        <x:v>2023</x:v>
      </x:c>
      <x:c r="B946" s="2" t="str">
        <x:v>Septiembre</x:v>
      </x:c>
      <x:c r="C946" s="2" t="str">
        <x:v>RE-005874-1</x:v>
      </x:c>
      <x:c r="D946" s="2" t="str">
        <x:v>P.E. PENAS GRANDES</x:v>
      </x:c>
      <x:c r="E946" s="4" t="n">
        <x:v>2.212</x:v>
      </x:c>
      <x:c r="F946" s="4" t="n">
        <x:f>J946*0.97</x:f>
        <x:v>2.10296</x:v>
      </x:c>
      <x:c r="G946" s="4" t="n">
        <x:v>14.4</x:v>
      </x:c>
      <x:c r="H946" s="4" t="n">
        <x:v>103.34</x:v>
      </x:c>
      <x:c r="I946" s="5" t="n">
        <x:f t="shared" si="14">F946*1000*H946</x:f>
        <x:v>217319.88640000002</x:v>
      </x:c>
      <x:c r="J946" t="n">
        <x:v>2.168</x:v>
      </x:c>
    </x:row>
    <x:row r="947">
      <x:c r="A947" s="3" t="n">
        <x:v>2023</x:v>
      </x:c>
      <x:c r="B947" s="2" t="str">
        <x:v>Octubre</x:v>
      </x:c>
      <x:c r="C947" s="2" t="str">
        <x:v>RE-005874-1</x:v>
      </x:c>
      <x:c r="D947" s="2" t="str">
        <x:v>P.E. PENAS GRANDES</x:v>
      </x:c>
      <x:c r="E947" s="4" t="n">
        <x:v>3.201</x:v>
      </x:c>
      <x:c r="F947" s="4" t="n">
        <x:f>J947*1.04</x:f>
        <x:v>3.27288</x:v>
      </x:c>
      <x:c r="G947" s="4" t="n">
        <x:v>14.4</x:v>
      </x:c>
      <x:c r="H947" s="4" t="n">
        <x:v>90.14</x:v>
      </x:c>
      <x:c r="I947" s="5" t="n">
        <x:f t="shared" si="14">F947*1000*H947</x:f>
        <x:v>295017.40319999994</x:v>
      </x:c>
      <x:c r="J947" t="n">
        <x:v>3.147</x:v>
      </x:c>
    </x:row>
    <x:row r="948">
      <x:c r="A948" s="3" t="n">
        <x:v>2023</x:v>
      </x:c>
      <x:c r="B948" s="2" t="str">
        <x:v>Noviembre</x:v>
      </x:c>
      <x:c r="C948" s="2" t="str">
        <x:v>RE-005874-1</x:v>
      </x:c>
      <x:c r="D948" s="2" t="str">
        <x:v>P.E. PENAS GRANDES</x:v>
      </x:c>
      <x:c r="E948" s="4" t="n">
        <x:v>4.02</x:v>
      </x:c>
      <x:c r="F948" s="4" t="n">
        <x:f>J948*1</x:f>
        <x:v>3.892</x:v>
      </x:c>
      <x:c r="G948" s="4" t="n">
        <x:v>14.4</x:v>
      </x:c>
      <x:c r="H948" s="4" t="n">
        <x:v>63.45</x:v>
      </x:c>
      <x:c r="I948" s="5" t="n">
        <x:f t="shared" si="14">F948*1000*H948</x:f>
        <x:v>246947.40000000002</x:v>
      </x:c>
      <x:c r="J948" t="n">
        <x:v>3.892</x:v>
      </x:c>
    </x:row>
    <x:row r="949">
      <x:c r="A949" s="3" t="n">
        <x:v>2023</x:v>
      </x:c>
      <x:c r="B949" s="2" t="str">
        <x:v>Diciembre</x:v>
      </x:c>
      <x:c r="C949" s="2" t="str">
        <x:v>RE-005874-1</x:v>
      </x:c>
      <x:c r="D949" s="2" t="str">
        <x:v>P.E. PENAS GRANDES</x:v>
      </x:c>
      <x:c r="E949" s="4" t="n">
        <x:v>3.889</x:v>
      </x:c>
      <x:c r="F949" s="4" t="n">
        <x:f>J949*0.96</x:f>
        <x:v>3.6287999999999996</x:v>
      </x:c>
      <x:c r="G949" s="4" t="n">
        <x:v>14.4</x:v>
      </x:c>
      <x:c r="H949" s="4" t="n">
        <x:v>72.17</x:v>
      </x:c>
      <x:c r="I949" s="5" t="n">
        <x:f t="shared" si="14">F949*1000*H949</x:f>
        <x:v>261890.49599999998</x:v>
      </x:c>
      <x:c r="J949" t="n">
        <x:v>3.78</x:v>
      </x:c>
    </x:row>
    <x:row r="950">
      <x:c r="A950" s="3" t="n">
        <x:v>2023</x:v>
      </x:c>
      <x:c r="B950" s="2" t="str">
        <x:v>Enero</x:v>
      </x:c>
      <x:c r="C950" s="2" t="str">
        <x:v>RE-005875-1</x:v>
      </x:c>
      <x:c r="D950" s="2" t="str">
        <x:v>P.E. MONTE CABEZA</x:v>
      </x:c>
      <x:c r="E950" s="4" t="n">
        <x:v>11.68</x:v>
      </x:c>
      <x:c r="F950" s="4" t="n">
        <x:f>J950*1.03</x:f>
        <x:v>11.7111</x:v>
      </x:c>
      <x:c r="G950" s="4" t="n">
        <x:v>36.8</x:v>
      </x:c>
      <x:c r="H950" s="4" t="n">
        <x:v>69.55</x:v>
      </x:c>
      <x:c r="I950" s="5" t="n">
        <x:f t="shared" si="14">F950*1000*H950</x:f>
        <x:v>814507.005</x:v>
      </x:c>
      <x:c r="J950" t="n">
        <x:v>11.37</x:v>
      </x:c>
    </x:row>
    <x:row r="951">
      <x:c r="A951" s="3" t="n">
        <x:v>2023</x:v>
      </x:c>
      <x:c r="B951" s="2" t="str">
        <x:v>Febrero</x:v>
      </x:c>
      <x:c r="C951" s="2" t="str">
        <x:v>RE-005875-1</x:v>
      </x:c>
      <x:c r="D951" s="2" t="str">
        <x:v>P.E. MONTE CABEZA</x:v>
      </x:c>
      <x:c r="E951" s="4" t="n">
        <x:v>8</x:v>
      </x:c>
      <x:c r="F951" s="4" t="n">
        <x:f>J951*0.99</x:f>
        <x:v>7.76754</x:v>
      </x:c>
      <x:c r="G951" s="4" t="n">
        <x:v>36.8</x:v>
      </x:c>
      <x:c r="H951" s="4" t="n">
        <x:v>133.47</x:v>
      </x:c>
      <x:c r="I951" s="5" t="n">
        <x:f t="shared" si="14">F951*1000*H951</x:f>
        <x:v>1036733.5638</x:v>
      </x:c>
      <x:c r="J951" t="n">
        <x:v>7.846</x:v>
      </x:c>
    </x:row>
    <x:row r="952">
      <x:c r="A952" s="3" t="n">
        <x:v>2023</x:v>
      </x:c>
      <x:c r="B952" s="2" t="str">
        <x:v>Marzo</x:v>
      </x:c>
      <x:c r="C952" s="2" t="str">
        <x:v>RE-005875-1</x:v>
      </x:c>
      <x:c r="D952" s="2" t="str">
        <x:v>P.E. MONTE CABEZA</x:v>
      </x:c>
      <x:c r="E952" s="4" t="n">
        <x:v>9.494</x:v>
      </x:c>
      <x:c r="F952" s="4" t="n">
        <x:f>J952*0.95</x:f>
        <x:v>8.7609</x:v>
      </x:c>
      <x:c r="G952" s="4" t="n">
        <x:v>36.8</x:v>
      </x:c>
      <x:c r="H952" s="4" t="n">
        <x:v>89.61</x:v>
      </x:c>
      <x:c r="I952" s="5" t="n">
        <x:f t="shared" si="14">F952*1000*H952</x:f>
        <x:v>785064.249</x:v>
      </x:c>
      <x:c r="J952" t="n">
        <x:v>9.222</x:v>
      </x:c>
    </x:row>
    <x:row r="953">
      <x:c r="A953" s="3" t="n">
        <x:v>2023</x:v>
      </x:c>
      <x:c r="B953" s="2" t="str">
        <x:v>Abril</x:v>
      </x:c>
      <x:c r="C953" s="2" t="str">
        <x:v>RE-005875-1</x:v>
      </x:c>
      <x:c r="D953" s="2" t="str">
        <x:v>P.E. MONTE CABEZA</x:v>
      </x:c>
      <x:c r="E953" s="4" t="n">
        <x:v>8.237</x:v>
      </x:c>
      <x:c r="F953" s="4" t="n">
        <x:f>J953*1.02</x:f>
        <x:v>8.1957</x:v>
      </x:c>
      <x:c r="G953" s="4" t="n">
        <x:v>36.8</x:v>
      </x:c>
      <x:c r="H953" s="4" t="n">
        <x:v>73.73</x:v>
      </x:c>
      <x:c r="I953" s="5" t="n">
        <x:f t="shared" si="14">F953*1000*H953</x:f>
        <x:v>604268.9610000001</x:v>
      </x:c>
      <x:c r="J953" t="n">
        <x:v>8.035</x:v>
      </x:c>
    </x:row>
    <x:row r="954">
      <x:c r="A954" s="3" t="n">
        <x:v>2023</x:v>
      </x:c>
      <x:c r="B954" s="2" t="str">
        <x:v>Mayo</x:v>
      </x:c>
      <x:c r="C954" s="2" t="str">
        <x:v>RE-005875-1</x:v>
      </x:c>
      <x:c r="D954" s="2" t="str">
        <x:v>P.E. MONTE CABEZA</x:v>
      </x:c>
      <x:c r="E954" s="4" t="n">
        <x:v>6.356</x:v>
      </x:c>
      <x:c r="F954" s="4" t="n">
        <x:f>J954*0.98</x:f>
        <x:v>6.10736</x:v>
      </x:c>
      <x:c r="G954" s="4" t="n">
        <x:v>36.8</x:v>
      </x:c>
      <x:c r="H954" s="4" t="n">
        <x:v>74.21</x:v>
      </x:c>
      <x:c r="I954" s="5" t="n">
        <x:f t="shared" si="14">F954*1000*H954</x:f>
        <x:v>453227.1855999999</x:v>
      </x:c>
      <x:c r="J954" t="n">
        <x:v>6.232</x:v>
      </x:c>
    </x:row>
    <x:row r="955">
      <x:c r="A955" s="3" t="n">
        <x:v>2023</x:v>
      </x:c>
      <x:c r="B955" s="2" t="str">
        <x:v>Junio</x:v>
      </x:c>
      <x:c r="C955" s="2" t="str">
        <x:v>RE-005875-1</x:v>
      </x:c>
      <x:c r="D955" s="2" t="str">
        <x:v>P.E. MONTE CABEZA</x:v>
      </x:c>
      <x:c r="E955" s="4" t="n">
        <x:v>5.356</x:v>
      </x:c>
      <x:c r="F955" s="4" t="n">
        <x:f>J955*0.94</x:f>
        <x:v>4.91338</x:v>
      </x:c>
      <x:c r="G955" s="4" t="n">
        <x:v>36.8</x:v>
      </x:c>
      <x:c r="H955" s="4" t="n">
        <x:v>93.02</x:v>
      </x:c>
      <x:c r="I955" s="5" t="n">
        <x:f t="shared" si="14">F955*1000*H955</x:f>
        <x:v>457042.6076</x:v>
      </x:c>
      <x:c r="J955" t="n">
        <x:v>5.227</x:v>
      </x:c>
    </x:row>
    <x:row r="956">
      <x:c r="A956" s="3" t="n">
        <x:v>2023</x:v>
      </x:c>
      <x:c r="B956" s="2" t="str">
        <x:v>Julio</x:v>
      </x:c>
      <x:c r="C956" s="2" t="str">
        <x:v>RE-005875-1</x:v>
      </x:c>
      <x:c r="D956" s="2" t="str">
        <x:v>P.E. MONTE CABEZA</x:v>
      </x:c>
      <x:c r="E956" s="4" t="n">
        <x:v>5.516</x:v>
      </x:c>
      <x:c r="F956" s="4" t="n">
        <x:f>J956*1.01</x:f>
        <x:v>5.43077</x:v>
      </x:c>
      <x:c r="G956" s="4" t="n">
        <x:v>36.8</x:v>
      </x:c>
      <x:c r="H956" s="4" t="n">
        <x:v>90.47</x:v>
      </x:c>
      <x:c r="I956" s="5" t="n">
        <x:f t="shared" si="14">F956*1000*H956</x:f>
        <x:v>491321.7618999999</x:v>
      </x:c>
      <x:c r="J956" t="n">
        <x:v>5.377</x:v>
      </x:c>
    </x:row>
    <x:row r="957">
      <x:c r="A957" s="3" t="n">
        <x:v>2023</x:v>
      </x:c>
      <x:c r="B957" s="2" t="str">
        <x:v>Agosto</x:v>
      </x:c>
      <x:c r="C957" s="2" t="str">
        <x:v>RE-005875-1</x:v>
      </x:c>
      <x:c r="D957" s="2" t="str">
        <x:v>P.E. MONTE CABEZA</x:v>
      </x:c>
      <x:c r="E957" s="4" t="n">
        <x:v>6.487</x:v>
      </x:c>
      <x:c r="F957" s="4" t="n">
        <x:f>J957*0.97</x:f>
        <x:v>6.18084</x:v>
      </x:c>
      <x:c r="G957" s="4" t="n">
        <x:v>36.8</x:v>
      </x:c>
      <x:c r="H957" s="4" t="n">
        <x:v>96.05</x:v>
      </x:c>
      <x:c r="I957" s="5" t="n">
        <x:f t="shared" si="14">F957*1000*H957</x:f>
        <x:v>593669.682</x:v>
      </x:c>
      <x:c r="J957" t="n">
        <x:v>6.372</x:v>
      </x:c>
    </x:row>
    <x:row r="958">
      <x:c r="A958" s="3" t="n">
        <x:v>2023</x:v>
      </x:c>
      <x:c r="B958" s="2" t="str">
        <x:v>Septiembre</x:v>
      </x:c>
      <x:c r="C958" s="2" t="str">
        <x:v>RE-005875-1</x:v>
      </x:c>
      <x:c r="D958" s="2" t="str">
        <x:v>P.E. MONTE CABEZA</x:v>
      </x:c>
      <x:c r="E958" s="4" t="n">
        <x:v>7.349</x:v>
      </x:c>
      <x:c r="F958" s="4" t="n">
        <x:f>J958*1.04</x:f>
        <x:v>7.493200000000001</x:v>
      </x:c>
      <x:c r="G958" s="4" t="n">
        <x:v>36.8</x:v>
      </x:c>
      <x:c r="H958" s="4" t="n">
        <x:v>103.34</x:v>
      </x:c>
      <x:c r="I958" s="5" t="n">
        <x:f t="shared" si="14">F958*1000*H958</x:f>
        <x:v>774347.2880000001</x:v>
      </x:c>
      <x:c r="J958" t="n">
        <x:v>7.205</x:v>
      </x:c>
    </x:row>
    <x:row r="959">
      <x:c r="A959" s="3" t="n">
        <x:v>2023</x:v>
      </x:c>
      <x:c r="B959" s="2" t="str">
        <x:v>Octubre</x:v>
      </x:c>
      <x:c r="C959" s="2" t="str">
        <x:v>RE-005875-1</x:v>
      </x:c>
      <x:c r="D959" s="2" t="str">
        <x:v>P.E. MONTE CABEZA</x:v>
      </x:c>
      <x:c r="E959" s="4" t="n">
        <x:v>9.354</x:v>
      </x:c>
      <x:c r="F959" s="4" t="n">
        <x:f>J959*1</x:f>
        <x:v>9.147</x:v>
      </x:c>
      <x:c r="G959" s="4" t="n">
        <x:v>36.8</x:v>
      </x:c>
      <x:c r="H959" s="4" t="n">
        <x:v>90.14</x:v>
      </x:c>
      <x:c r="I959" s="5" t="n">
        <x:f t="shared" si="14">F959*1000*H959</x:f>
        <x:v>824510.58</x:v>
      </x:c>
      <x:c r="J959" t="n">
        <x:v>9.147</x:v>
      </x:c>
    </x:row>
    <x:row r="960">
      <x:c r="A960" s="3" t="n">
        <x:v>2023</x:v>
      </x:c>
      <x:c r="B960" s="2" t="str">
        <x:v>Noviembre</x:v>
      </x:c>
      <x:c r="C960" s="2" t="str">
        <x:v>RE-005875-1</x:v>
      </x:c>
      <x:c r="D960" s="2" t="str">
        <x:v>P.E. MONTE CABEZA</x:v>
      </x:c>
      <x:c r="E960" s="4" t="n">
        <x:v>11.158</x:v>
      </x:c>
      <x:c r="F960" s="4" t="n">
        <x:f>J960*0.96</x:f>
        <x:v>10.51488</x:v>
      </x:c>
      <x:c r="G960" s="4" t="n">
        <x:v>36.8</x:v>
      </x:c>
      <x:c r="H960" s="4" t="n">
        <x:v>63.45</x:v>
      </x:c>
      <x:c r="I960" s="5" t="n">
        <x:f t="shared" si="14">F960*1000*H960</x:f>
        <x:v>667169.1359999999</x:v>
      </x:c>
      <x:c r="J960" t="n">
        <x:v>10.953</x:v>
      </x:c>
    </x:row>
    <x:row r="961">
      <x:c r="A961" s="3" t="n">
        <x:v>2023</x:v>
      </x:c>
      <x:c r="B961" s="2" t="str">
        <x:v>Diciembre</x:v>
      </x:c>
      <x:c r="C961" s="2" t="str">
        <x:v>RE-005875-1</x:v>
      </x:c>
      <x:c r="D961" s="2" t="str">
        <x:v>P.E. MONTE CABEZA</x:v>
      </x:c>
      <x:c r="E961" s="4" t="n">
        <x:v>10.168</x:v>
      </x:c>
      <x:c r="F961" s="4" t="n">
        <x:f>J961*1.03</x:f>
        <x:v>10.305150000000001</x:v>
      </x:c>
      <x:c r="G961" s="4" t="n">
        <x:v>36.8</x:v>
      </x:c>
      <x:c r="H961" s="4" t="n">
        <x:v>72.17</x:v>
      </x:c>
      <x:c r="I961" s="5" t="n">
        <x:f t="shared" si="14">F961*1000*H961</x:f>
        <x:v>743722.6755000001</x:v>
      </x:c>
      <x:c r="J961" t="n">
        <x:v>10.005</x:v>
      </x:c>
    </x:row>
    <x:row r="962">
      <x:c r="A962" s="3" t="n">
        <x:v>2023</x:v>
      </x:c>
      <x:c r="B962" s="2" t="str">
        <x:v>Enero</x:v>
      </x:c>
      <x:c r="C962" s="2" t="str">
        <x:v>RE-005876-1</x:v>
      </x:c>
      <x:c r="D962" s="2" t="str">
        <x:v>P.E. CHANTADA</x:v>
      </x:c>
      <x:c r="E962" s="4" t="n">
        <x:v>10.964</x:v>
      </x:c>
      <x:c r="F962" s="4" t="n">
        <x:f>J962*0.99</x:f>
        <x:v>10.5732</x:v>
      </x:c>
      <x:c r="G962" s="4" t="n">
        <x:v>48</x:v>
      </x:c>
      <x:c r="H962" s="4" t="n">
        <x:v>69.55</x:v>
      </x:c>
      <x:c r="I962" s="5" t="n">
        <x:f t="shared" ref="I962:I1025" si="15">F962*1000*H962</x:f>
        <x:v>735366.06</x:v>
      </x:c>
      <x:c r="J962" t="n">
        <x:v>10.68</x:v>
      </x:c>
    </x:row>
    <x:row r="963">
      <x:c r="A963" s="3" t="n">
        <x:v>2023</x:v>
      </x:c>
      <x:c r="B963" s="2" t="str">
        <x:v>Febrero</x:v>
      </x:c>
      <x:c r="C963" s="2" t="str">
        <x:v>RE-005876-1</x:v>
      </x:c>
      <x:c r="D963" s="2" t="str">
        <x:v>P.E. CHANTADA</x:v>
      </x:c>
      <x:c r="E963" s="4" t="n">
        <x:v>9.697</x:v>
      </x:c>
      <x:c r="F963" s="4" t="n">
        <x:f>J963*0.95</x:f>
        <x:v>9.0516</x:v>
      </x:c>
      <x:c r="G963" s="4" t="n">
        <x:v>48</x:v>
      </x:c>
      <x:c r="H963" s="4" t="n">
        <x:v>133.47</x:v>
      </x:c>
      <x:c r="I963" s="5" t="n">
        <x:f t="shared" si="15">F963*1000*H963</x:f>
        <x:v>1208117.0520000001</x:v>
      </x:c>
      <x:c r="J963" t="n">
        <x:v>9.528</x:v>
      </x:c>
    </x:row>
    <x:row r="964">
      <x:c r="A964" s="3" t="n">
        <x:v>2023</x:v>
      </x:c>
      <x:c r="B964" s="2" t="str">
        <x:v>Marzo</x:v>
      </x:c>
      <x:c r="C964" s="2" t="str">
        <x:v>RE-005876-1</x:v>
      </x:c>
      <x:c r="D964" s="2" t="str">
        <x:v>P.E. CHANTADA</x:v>
      </x:c>
      <x:c r="E964" s="4" t="n">
        <x:v>10.297</x:v>
      </x:c>
      <x:c r="F964" s="4" t="n">
        <x:f>J964*1.02</x:f>
        <x:v>10.31628</x:v>
      </x:c>
      <x:c r="G964" s="4" t="n">
        <x:v>48</x:v>
      </x:c>
      <x:c r="H964" s="4" t="n">
        <x:v>89.61</x:v>
      </x:c>
      <x:c r="I964" s="5" t="n">
        <x:f t="shared" si="15">F964*1000*H964</x:f>
        <x:v>924441.8508</x:v>
      </x:c>
      <x:c r="J964" t="n">
        <x:v>10.114</x:v>
      </x:c>
    </x:row>
    <x:row r="965">
      <x:c r="A965" s="3" t="n">
        <x:v>2023</x:v>
      </x:c>
      <x:c r="B965" s="2" t="str">
        <x:v>Abril</x:v>
      </x:c>
      <x:c r="C965" s="2" t="str">
        <x:v>RE-005876-1</x:v>
      </x:c>
      <x:c r="D965" s="2" t="str">
        <x:v>P.E. CHANTADA</x:v>
      </x:c>
      <x:c r="E965" s="4" t="n">
        <x:v>8.703</x:v>
      </x:c>
      <x:c r="F965" s="4" t="n">
        <x:f>J965*0.98</x:f>
        <x:v>8.29374</x:v>
      </x:c>
      <x:c r="G965" s="4" t="n">
        <x:v>48</x:v>
      </x:c>
      <x:c r="H965" s="4" t="n">
        <x:v>73.73</x:v>
      </x:c>
      <x:c r="I965" s="5" t="n">
        <x:f t="shared" si="15">F965*1000*H965</x:f>
        <x:v>611497.4502</x:v>
      </x:c>
      <x:c r="J965" t="n">
        <x:v>8.463</x:v>
      </x:c>
    </x:row>
    <x:row r="966">
      <x:c r="A966" s="3" t="n">
        <x:v>2023</x:v>
      </x:c>
      <x:c r="B966" s="2" t="str">
        <x:v>Mayo</x:v>
      </x:c>
      <x:c r="C966" s="2" t="str">
        <x:v>RE-005876-1</x:v>
      </x:c>
      <x:c r="D966" s="2" t="str">
        <x:v>P.E. CHANTADA</x:v>
      </x:c>
      <x:c r="E966" s="4" t="n">
        <x:v>8.177</x:v>
      </x:c>
      <x:c r="F966" s="4" t="n">
        <x:f>J966*0.94</x:f>
        <x:v>7.46078</x:v>
      </x:c>
      <x:c r="G966" s="4" t="n">
        <x:v>48</x:v>
      </x:c>
      <x:c r="H966" s="4" t="n">
        <x:v>74.21</x:v>
      </x:c>
      <x:c r="I966" s="5" t="n">
        <x:f t="shared" si="15">F966*1000*H966</x:f>
        <x:v>553664.4837999999</x:v>
      </x:c>
      <x:c r="J966" t="n">
        <x:v>7.937</x:v>
      </x:c>
    </x:row>
    <x:row r="967">
      <x:c r="A967" s="3" t="n">
        <x:v>2023</x:v>
      </x:c>
      <x:c r="B967" s="2" t="str">
        <x:v>Junio</x:v>
      </x:c>
      <x:c r="C967" s="2" t="str">
        <x:v>RE-005876-1</x:v>
      </x:c>
      <x:c r="D967" s="2" t="str">
        <x:v>P.E. CHANTADA</x:v>
      </x:c>
      <x:c r="E967" s="4" t="n">
        <x:v>7.313</x:v>
      </x:c>
      <x:c r="F967" s="4" t="n">
        <x:f>J967*1.01</x:f>
        <x:v>7.181100000000001</x:v>
      </x:c>
      <x:c r="G967" s="4" t="n">
        <x:v>48</x:v>
      </x:c>
      <x:c r="H967" s="4" t="n">
        <x:v>93.02</x:v>
      </x:c>
      <x:c r="I967" s="5" t="n">
        <x:f t="shared" si="15">F967*1000*H967</x:f>
        <x:v>667985.922</x:v>
      </x:c>
      <x:c r="J967" t="n">
        <x:v>7.11</x:v>
      </x:c>
    </x:row>
    <x:row r="968">
      <x:c r="A968" s="3" t="n">
        <x:v>2023</x:v>
      </x:c>
      <x:c r="B968" s="2" t="str">
        <x:v>Julio</x:v>
      </x:c>
      <x:c r="C968" s="2" t="str">
        <x:v>RE-005876-1</x:v>
      </x:c>
      <x:c r="D968" s="2" t="str">
        <x:v>P.E. CHANTADA</x:v>
      </x:c>
      <x:c r="E968" s="4" t="n">
        <x:v>6.934</x:v>
      </x:c>
      <x:c r="F968" s="4" t="n">
        <x:f>J968*0.97</x:f>
        <x:v>6.5329500000000005</x:v>
      </x:c>
      <x:c r="G968" s="4" t="n">
        <x:v>48</x:v>
      </x:c>
      <x:c r="H968" s="4" t="n">
        <x:v>90.47</x:v>
      </x:c>
      <x:c r="I968" s="5" t="n">
        <x:f t="shared" si="15">F968*1000*H968</x:f>
        <x:v>591035.9865000001</x:v>
      </x:c>
      <x:c r="J968" t="n">
        <x:v>6.735</x:v>
      </x:c>
    </x:row>
    <x:row r="969">
      <x:c r="A969" s="3" t="n">
        <x:v>2023</x:v>
      </x:c>
      <x:c r="B969" s="2" t="str">
        <x:v>Agosto</x:v>
      </x:c>
      <x:c r="C969" s="2" t="str">
        <x:v>RE-005876-1</x:v>
      </x:c>
      <x:c r="D969" s="2" t="str">
        <x:v>P.E. CHANTADA</x:v>
      </x:c>
      <x:c r="E969" s="4" t="n">
        <x:v>7.81</x:v>
      </x:c>
      <x:c r="F969" s="4" t="n">
        <x:f>J969*1.04</x:f>
        <x:v>7.9591199999999995</x:v>
      </x:c>
      <x:c r="G969" s="4" t="n">
        <x:v>48</x:v>
      </x:c>
      <x:c r="H969" s="4" t="n">
        <x:v>96.05</x:v>
      </x:c>
      <x:c r="I969" s="5" t="n">
        <x:f t="shared" si="15">F969*1000*H969</x:f>
        <x:v>764473.476</x:v>
      </x:c>
      <x:c r="J969" t="n">
        <x:v>7.653</x:v>
      </x:c>
    </x:row>
    <x:row r="970">
      <x:c r="A970" s="3" t="n">
        <x:v>2023</x:v>
      </x:c>
      <x:c r="B970" s="2" t="str">
        <x:v>Septiembre</x:v>
      </x:c>
      <x:c r="C970" s="2" t="str">
        <x:v>RE-005876-1</x:v>
      </x:c>
      <x:c r="D970" s="2" t="str">
        <x:v>P.E. CHANTADA</x:v>
      </x:c>
      <x:c r="E970" s="4" t="n">
        <x:v>8.737</x:v>
      </x:c>
      <x:c r="F970" s="4" t="n">
        <x:f>J970*1</x:f>
        <x:v>8.568</x:v>
      </x:c>
      <x:c r="G970" s="4" t="n">
        <x:v>48</x:v>
      </x:c>
      <x:c r="H970" s="4" t="n">
        <x:v>103.34</x:v>
      </x:c>
      <x:c r="I970" s="5" t="n">
        <x:f t="shared" si="15">F970*1000*H970</x:f>
        <x:v>885417.12</x:v>
      </x:c>
      <x:c r="J970" t="n">
        <x:v>8.568</x:v>
      </x:c>
    </x:row>
    <x:row r="971">
      <x:c r="A971" s="3" t="n">
        <x:v>2023</x:v>
      </x:c>
      <x:c r="B971" s="2" t="str">
        <x:v>Octubre</x:v>
      </x:c>
      <x:c r="C971" s="2" t="str">
        <x:v>RE-005876-1</x:v>
      </x:c>
      <x:c r="D971" s="2" t="str">
        <x:v>P.E. CHANTADA</x:v>
      </x:c>
      <x:c r="E971" s="4" t="n">
        <x:v>9.599</x:v>
      </x:c>
      <x:c r="F971" s="4" t="n">
        <x:f>J971*0.96</x:f>
        <x:v>9.01824</x:v>
      </x:c>
      <x:c r="G971" s="4" t="n">
        <x:v>48</x:v>
      </x:c>
      <x:c r="H971" s="4" t="n">
        <x:v>90.14</x:v>
      </x:c>
      <x:c r="I971" s="5" t="n">
        <x:f t="shared" si="15">F971*1000*H971</x:f>
        <x:v>812904.1536</x:v>
      </x:c>
      <x:c r="J971" t="n">
        <x:v>9.394</x:v>
      </x:c>
    </x:row>
    <x:row r="972">
      <x:c r="A972" s="3" t="n">
        <x:v>2023</x:v>
      </x:c>
      <x:c r="B972" s="2" t="str">
        <x:v>Noviembre</x:v>
      </x:c>
      <x:c r="C972" s="2" t="str">
        <x:v>RE-005876-1</x:v>
      </x:c>
      <x:c r="D972" s="2" t="str">
        <x:v>P.E. CHANTADA</x:v>
      </x:c>
      <x:c r="E972" s="4" t="n">
        <x:v>10.334</x:v>
      </x:c>
      <x:c r="F972" s="4" t="n">
        <x:f>J972*1.03</x:f>
        <x:v>10.31236</x:v>
      </x:c>
      <x:c r="G972" s="4" t="n">
        <x:v>48</x:v>
      </x:c>
      <x:c r="H972" s="4" t="n">
        <x:v>63.45</x:v>
      </x:c>
      <x:c r="I972" s="5" t="n">
        <x:f t="shared" si="15">F972*1000*H972</x:f>
        <x:v>654319.2420000001</x:v>
      </x:c>
      <x:c r="J972" t="n">
        <x:v>10.012</x:v>
      </x:c>
    </x:row>
    <x:row r="973">
      <x:c r="A973" s="3" t="n">
        <x:v>2023</x:v>
      </x:c>
      <x:c r="B973" s="2" t="str">
        <x:v>Diciembre</x:v>
      </x:c>
      <x:c r="C973" s="2" t="str">
        <x:v>RE-005876-1</x:v>
      </x:c>
      <x:c r="D973" s="2" t="str">
        <x:v>P.E. CHANTADA</x:v>
      </x:c>
      <x:c r="E973" s="4" t="n">
        <x:v>13.815</x:v>
      </x:c>
      <x:c r="F973" s="4" t="n">
        <x:f>J973*0.99</x:f>
        <x:v>13.39074</x:v>
      </x:c>
      <x:c r="G973" s="4" t="n">
        <x:v>48</x:v>
      </x:c>
      <x:c r="H973" s="4" t="n">
        <x:v>72.17</x:v>
      </x:c>
      <x:c r="I973" s="5" t="n">
        <x:f t="shared" si="15">F973*1000*H973</x:f>
        <x:v>966409.7058</x:v>
      </x:c>
      <x:c r="J973" t="n">
        <x:v>13.526</x:v>
      </x:c>
    </x:row>
    <x:row r="974">
      <x:c r="A974" s="3" t="n">
        <x:v>2023</x:v>
      </x:c>
      <x:c r="B974" s="2" t="str">
        <x:v>Enero</x:v>
      </x:c>
      <x:c r="C974" s="2" t="str">
        <x:v>RE-005946-1</x:v>
      </x:c>
      <x:c r="D974" s="2" t="str">
        <x:v>P.E. ALABE-MONTEMAYOR SUR</x:v>
      </x:c>
      <x:c r="E974" s="4" t="n">
        <x:v>3.57</x:v>
      </x:c>
      <x:c r="F974" s="4" t="n">
        <x:f>J974*0.95</x:f>
        <x:v>3.3211999999999997</x:v>
      </x:c>
      <x:c r="G974" s="4" t="n">
        <x:v>12.75</x:v>
      </x:c>
      <x:c r="H974" s="4" t="n">
        <x:v>69.55</x:v>
      </x:c>
      <x:c r="I974" s="5" t="n">
        <x:f t="shared" si="15">F974*1000*H974</x:f>
        <x:v>230989.46</x:v>
      </x:c>
      <x:c r="J974" t="n">
        <x:v>3.496</x:v>
      </x:c>
    </x:row>
    <x:row r="975">
      <x:c r="A975" s="3" t="n">
        <x:v>2023</x:v>
      </x:c>
      <x:c r="B975" s="2" t="str">
        <x:v>Febrero</x:v>
      </x:c>
      <x:c r="C975" s="2" t="str">
        <x:v>RE-005946-1</x:v>
      </x:c>
      <x:c r="D975" s="2" t="str">
        <x:v>P.E. ALABE-MONTEMAYOR SUR</x:v>
      </x:c>
      <x:c r="E975" s="4" t="n">
        <x:v>3.073</x:v>
      </x:c>
      <x:c r="F975" s="4" t="n">
        <x:f>J975*1.02</x:f>
        <x:v>3.08754</x:v>
      </x:c>
      <x:c r="G975" s="4" t="n">
        <x:v>12.75</x:v>
      </x:c>
      <x:c r="H975" s="4" t="n">
        <x:v>133.47</x:v>
      </x:c>
      <x:c r="I975" s="5" t="n">
        <x:f t="shared" si="15">F975*1000*H975</x:f>
        <x:v>412093.96379999997</x:v>
      </x:c>
      <x:c r="J975" t="n">
        <x:v>3.027</x:v>
      </x:c>
    </x:row>
    <x:row r="976">
      <x:c r="A976" s="3" t="n">
        <x:v>2023</x:v>
      </x:c>
      <x:c r="B976" s="2" t="str">
        <x:v>Marzo</x:v>
      </x:c>
      <x:c r="C976" s="2" t="str">
        <x:v>RE-005946-1</x:v>
      </x:c>
      <x:c r="D976" s="2" t="str">
        <x:v>P.E. ALABE-MONTEMAYOR SUR</x:v>
      </x:c>
      <x:c r="E976" s="4" t="n">
        <x:v>2.928</x:v>
      </x:c>
      <x:c r="F976" s="4" t="n">
        <x:f>J976*0.98</x:f>
        <x:v>2.78026</x:v>
      </x:c>
      <x:c r="G976" s="4" t="n">
        <x:v>12.75</x:v>
      </x:c>
      <x:c r="H976" s="4" t="n">
        <x:v>89.61</x:v>
      </x:c>
      <x:c r="I976" s="5" t="n">
        <x:f t="shared" si="15">F976*1000*H976</x:f>
        <x:v>249139.09860000003</x:v>
      </x:c>
      <x:c r="J976" t="n">
        <x:v>2.837</x:v>
      </x:c>
    </x:row>
    <x:row r="977">
      <x:c r="A977" s="3" t="n">
        <x:v>2023</x:v>
      </x:c>
      <x:c r="B977" s="2" t="str">
        <x:v>Abril</x:v>
      </x:c>
      <x:c r="C977" s="2" t="str">
        <x:v>RE-005946-1</x:v>
      </x:c>
      <x:c r="D977" s="2" t="str">
        <x:v>P.E. ALABE-MONTEMAYOR SUR</x:v>
      </x:c>
      <x:c r="E977" s="4" t="n">
        <x:v>2.233</x:v>
      </x:c>
      <x:c r="F977" s="4" t="n">
        <x:f>J977*0.94</x:f>
        <x:v>2.06236</x:v>
      </x:c>
      <x:c r="G977" s="4" t="n">
        <x:v>12.75</x:v>
      </x:c>
      <x:c r="H977" s="4" t="n">
        <x:v>73.73</x:v>
      </x:c>
      <x:c r="I977" s="5" t="n">
        <x:f t="shared" si="15">F977*1000*H977</x:f>
        <x:v>152057.8028</x:v>
      </x:c>
      <x:c r="J977" t="n">
        <x:v>2.194</x:v>
      </x:c>
    </x:row>
    <x:row r="978">
      <x:c r="A978" s="3" t="n">
        <x:v>2023</x:v>
      </x:c>
      <x:c r="B978" s="2" t="str">
        <x:v>Mayo</x:v>
      </x:c>
      <x:c r="C978" s="2" t="str">
        <x:v>RE-005946-1</x:v>
      </x:c>
      <x:c r="D978" s="2" t="str">
        <x:v>P.E. ALABE-MONTEMAYOR SUR</x:v>
      </x:c>
      <x:c r="E978" s="4" t="n">
        <x:v>2.442</x:v>
      </x:c>
      <x:c r="F978" s="4" t="n">
        <x:f>J978*1.01</x:f>
        <x:v>2.4280399999999998</x:v>
      </x:c>
      <x:c r="G978" s="4" t="n">
        <x:v>12.75</x:v>
      </x:c>
      <x:c r="H978" s="4" t="n">
        <x:v>74.21</x:v>
      </x:c>
      <x:c r="I978" s="5" t="n">
        <x:f t="shared" si="15">F978*1000*H978</x:f>
        <x:v>180184.8484</x:v>
      </x:c>
      <x:c r="J978" t="n">
        <x:v>2.404</x:v>
      </x:c>
    </x:row>
    <x:row r="979">
      <x:c r="A979" s="3" t="n">
        <x:v>2023</x:v>
      </x:c>
      <x:c r="B979" s="2" t="str">
        <x:v>Junio</x:v>
      </x:c>
      <x:c r="C979" s="2" t="str">
        <x:v>RE-005946-1</x:v>
      </x:c>
      <x:c r="D979" s="2" t="str">
        <x:v>P.E. ALABE-MONTEMAYOR SUR</x:v>
      </x:c>
      <x:c r="E979" s="4" t="n">
        <x:v>1.875</x:v>
      </x:c>
      <x:c r="F979" s="4" t="n">
        <x:f>J979*0.97</x:f>
        <x:v>1.76346</x:v>
      </x:c>
      <x:c r="G979" s="4" t="n">
        <x:v>12.75</x:v>
      </x:c>
      <x:c r="H979" s="4" t="n">
        <x:v>93.02</x:v>
      </x:c>
      <x:c r="I979" s="5" t="n">
        <x:f t="shared" si="15">F979*1000*H979</x:f>
        <x:v>164037.0492</x:v>
      </x:c>
      <x:c r="J979" t="n">
        <x:v>1.818</x:v>
      </x:c>
    </x:row>
    <x:row r="980">
      <x:c r="A980" s="3" t="n">
        <x:v>2023</x:v>
      </x:c>
      <x:c r="B980" s="2" t="str">
        <x:v>Julio</x:v>
      </x:c>
      <x:c r="C980" s="2" t="str">
        <x:v>RE-005946-1</x:v>
      </x:c>
      <x:c r="D980" s="2" t="str">
        <x:v>P.E. ALABE-MONTEMAYOR SUR</x:v>
      </x:c>
      <x:c r="E980" s="4" t="n">
        <x:v>1.671</x:v>
      </x:c>
      <x:c r="F980" s="4" t="n">
        <x:f>J980*1.04</x:f>
        <x:v>1.70248</x:v>
      </x:c>
      <x:c r="G980" s="4" t="n">
        <x:v>12.75</x:v>
      </x:c>
      <x:c r="H980" s="4" t="n">
        <x:v>90.47</x:v>
      </x:c>
      <x:c r="I980" s="5" t="n">
        <x:f t="shared" si="15">F980*1000*H980</x:f>
        <x:v>154023.3656</x:v>
      </x:c>
      <x:c r="J980" t="n">
        <x:v>1.637</x:v>
      </x:c>
    </x:row>
    <x:row r="981">
      <x:c r="A981" s="3" t="n">
        <x:v>2023</x:v>
      </x:c>
      <x:c r="B981" s="2" t="str">
        <x:v>Agosto</x:v>
      </x:c>
      <x:c r="C981" s="2" t="str">
        <x:v>RE-005946-1</x:v>
      </x:c>
      <x:c r="D981" s="2" t="str">
        <x:v>P.E. ALABE-MONTEMAYOR SUR</x:v>
      </x:c>
      <x:c r="E981" s="4" t="n">
        <x:v>1.801</x:v>
      </x:c>
      <x:c r="F981" s="4" t="n">
        <x:f>J981*1</x:f>
        <x:v>1.76</x:v>
      </x:c>
      <x:c r="G981" s="4" t="n">
        <x:v>12.75</x:v>
      </x:c>
      <x:c r="H981" s="4" t="n">
        <x:v>96.05</x:v>
      </x:c>
      <x:c r="I981" s="5" t="n">
        <x:f t="shared" si="15">F981*1000*H981</x:f>
        <x:v>169048</x:v>
      </x:c>
      <x:c r="J981" t="n">
        <x:v>1.76</x:v>
      </x:c>
    </x:row>
    <x:row r="982">
      <x:c r="A982" s="3" t="n">
        <x:v>2023</x:v>
      </x:c>
      <x:c r="B982" s="2" t="str">
        <x:v>Septiembre</x:v>
      </x:c>
      <x:c r="C982" s="2" t="str">
        <x:v>RE-005946-1</x:v>
      </x:c>
      <x:c r="D982" s="2" t="str">
        <x:v>P.E. ALABE-MONTEMAYOR SUR</x:v>
      </x:c>
      <x:c r="E982" s="4" t="n">
        <x:v>2.025</x:v>
      </x:c>
      <x:c r="F982" s="4" t="n">
        <x:f>J982*0.96</x:f>
        <x:v>1.9007999999999998</x:v>
      </x:c>
      <x:c r="G982" s="4" t="n">
        <x:v>12.75</x:v>
      </x:c>
      <x:c r="H982" s="4" t="n">
        <x:v>103.34</x:v>
      </x:c>
      <x:c r="I982" s="5" t="n">
        <x:f t="shared" si="15">F982*1000*H982</x:f>
        <x:v>196428.672</x:v>
      </x:c>
      <x:c r="J982" t="n">
        <x:v>1.98</x:v>
      </x:c>
    </x:row>
    <x:row r="983">
      <x:c r="A983" s="3" t="n">
        <x:v>2023</x:v>
      </x:c>
      <x:c r="B983" s="2" t="str">
        <x:v>Octubre</x:v>
      </x:c>
      <x:c r="C983" s="2" t="str">
        <x:v>RE-005946-1</x:v>
      </x:c>
      <x:c r="D983" s="2" t="str">
        <x:v>P.E. ALABE-MONTEMAYOR SUR</x:v>
      </x:c>
      <x:c r="E983" s="4" t="n">
        <x:v>2.79</x:v>
      </x:c>
      <x:c r="F983" s="4" t="n">
        <x:f>J983*1.03</x:f>
        <x:v>2.78615</x:v>
      </x:c>
      <x:c r="G983" s="4" t="n">
        <x:v>12.75</x:v>
      </x:c>
      <x:c r="H983" s="4" t="n">
        <x:v>90.14</x:v>
      </x:c>
      <x:c r="I983" s="5" t="n">
        <x:f t="shared" si="15">F983*1000*H983</x:f>
        <x:v>251143.56100000002</x:v>
      </x:c>
      <x:c r="J983" t="n">
        <x:v>2.705</x:v>
      </x:c>
    </x:row>
    <x:row r="984">
      <x:c r="A984" s="3" t="n">
        <x:v>2023</x:v>
      </x:c>
      <x:c r="B984" s="2" t="str">
        <x:v>Noviembre</x:v>
      </x:c>
      <x:c r="C984" s="2" t="str">
        <x:v>RE-005946-1</x:v>
      </x:c>
      <x:c r="D984" s="2" t="str">
        <x:v>P.E. ALABE-MONTEMAYOR SUR</x:v>
      </x:c>
      <x:c r="E984" s="4" t="n">
        <x:v>3.331</x:v>
      </x:c>
      <x:c r="F984" s="4" t="n">
        <x:f>J984*0.99</x:f>
        <x:v>3.2274</x:v>
      </x:c>
      <x:c r="G984" s="4" t="n">
        <x:v>12.75</x:v>
      </x:c>
      <x:c r="H984" s="4" t="n">
        <x:v>63.45</x:v>
      </x:c>
      <x:c r="I984" s="5" t="n">
        <x:f t="shared" si="15">F984*1000*H984</x:f>
        <x:v>204778.53</x:v>
      </x:c>
      <x:c r="J984" t="n">
        <x:v>3.26</x:v>
      </x:c>
    </x:row>
    <x:row r="985">
      <x:c r="A985" s="3" t="n">
        <x:v>2023</x:v>
      </x:c>
      <x:c r="B985" s="2" t="str">
        <x:v>Diciembre</x:v>
      </x:c>
      <x:c r="C985" s="2" t="str">
        <x:v>RE-005946-1</x:v>
      </x:c>
      <x:c r="D985" s="2" t="str">
        <x:v>P.E. ALABE-MONTEMAYOR SUR</x:v>
      </x:c>
      <x:c r="E985" s="4" t="n">
        <x:v>3.074</x:v>
      </x:c>
      <x:c r="F985" s="4" t="n">
        <x:f>J985*0.95</x:f>
        <x:v>2.86995</x:v>
      </x:c>
      <x:c r="G985" s="4" t="n">
        <x:v>12.75</x:v>
      </x:c>
      <x:c r="H985" s="4" t="n">
        <x:v>72.17</x:v>
      </x:c>
      <x:c r="I985" s="5" t="n">
        <x:f t="shared" si="15">F985*1000*H985</x:f>
        <x:v>207124.2915</x:v>
      </x:c>
      <x:c r="J985" t="n">
        <x:v>3.021</x:v>
      </x:c>
    </x:row>
    <x:row r="986">
      <x:c r="A986" s="3" t="n">
        <x:v>2023</x:v>
      </x:c>
      <x:c r="B986" s="2" t="str">
        <x:v>Enero</x:v>
      </x:c>
      <x:c r="C986" s="2" t="str">
        <x:v>RE-005947-1</x:v>
      </x:c>
      <x:c r="D986" s="2" t="str">
        <x:v>P.E. ALABE-TERRAL</x:v>
      </x:c>
      <x:c r="E986" s="4" t="n">
        <x:v>7.212</x:v>
      </x:c>
      <x:c r="F986" s="4" t="n">
        <x:f>J986*1.02</x:f>
        <x:v>7.1552999999999995</x:v>
      </x:c>
      <x:c r="G986" s="4" t="n">
        <x:v>27</x:v>
      </x:c>
      <x:c r="H986" s="4" t="n">
        <x:v>69.55</x:v>
      </x:c>
      <x:c r="I986" s="5" t="n">
        <x:f t="shared" si="15">F986*1000*H986</x:f>
        <x:v>497651.11499999993</x:v>
      </x:c>
      <x:c r="J986" t="n">
        <x:v>7.015</x:v>
      </x:c>
    </x:row>
    <x:row r="987">
      <x:c r="A987" s="3" t="n">
        <x:v>2023</x:v>
      </x:c>
      <x:c r="B987" s="2" t="str">
        <x:v>Febrero</x:v>
      </x:c>
      <x:c r="C987" s="2" t="str">
        <x:v>RE-005947-1</x:v>
      </x:c>
      <x:c r="D987" s="2" t="str">
        <x:v>P.E. ALABE-TERRAL</x:v>
      </x:c>
      <x:c r="E987" s="4" t="n">
        <x:v>7.101</x:v>
      </x:c>
      <x:c r="F987" s="4" t="n">
        <x:f>J987*0.98</x:f>
        <x:v>6.772779999999999</x:v>
      </x:c>
      <x:c r="G987" s="4" t="n">
        <x:v>27</x:v>
      </x:c>
      <x:c r="H987" s="4" t="n">
        <x:v>133.47</x:v>
      </x:c>
      <x:c r="I987" s="5" t="n">
        <x:f t="shared" si="15">F987*1000*H987</x:f>
        <x:v>903962.9465999998</x:v>
      </x:c>
      <x:c r="J987" t="n">
        <x:v>6.911</x:v>
      </x:c>
    </x:row>
    <x:row r="988">
      <x:c r="A988" s="3" t="n">
        <x:v>2023</x:v>
      </x:c>
      <x:c r="B988" s="2" t="str">
        <x:v>Marzo</x:v>
      </x:c>
      <x:c r="C988" s="2" t="str">
        <x:v>RE-005947-1</x:v>
      </x:c>
      <x:c r="D988" s="2" t="str">
        <x:v>P.E. ALABE-TERRAL</x:v>
      </x:c>
      <x:c r="E988" s="4" t="n">
        <x:v>7.225</x:v>
      </x:c>
      <x:c r="F988" s="4" t="n">
        <x:f>J988*0.94</x:f>
        <x:v>6.61478</x:v>
      </x:c>
      <x:c r="G988" s="4" t="n">
        <x:v>27</x:v>
      </x:c>
      <x:c r="H988" s="4" t="n">
        <x:v>89.61</x:v>
      </x:c>
      <x:c r="I988" s="5" t="n">
        <x:f t="shared" si="15">F988*1000*H988</x:f>
        <x:v>592750.4358</x:v>
      </x:c>
      <x:c r="J988" t="n">
        <x:v>7.037</x:v>
      </x:c>
    </x:row>
    <x:row r="989">
      <x:c r="A989" s="3" t="n">
        <x:v>2023</x:v>
      </x:c>
      <x:c r="B989" s="2" t="str">
        <x:v>Abril</x:v>
      </x:c>
      <x:c r="C989" s="2" t="str">
        <x:v>RE-005947-1</x:v>
      </x:c>
      <x:c r="D989" s="2" t="str">
        <x:v>P.E. ALABE-TERRAL</x:v>
      </x:c>
      <x:c r="E989" s="4" t="n">
        <x:v>5.234</x:v>
      </x:c>
      <x:c r="F989" s="4" t="n">
        <x:f>J989*1.01</x:f>
        <x:v>5.13888</x:v>
      </x:c>
      <x:c r="G989" s="4" t="n">
        <x:v>27</x:v>
      </x:c>
      <x:c r="H989" s="4" t="n">
        <x:v>73.73</x:v>
      </x:c>
      <x:c r="I989" s="5" t="n">
        <x:f t="shared" si="15">F989*1000*H989</x:f>
        <x:v>378889.62240000005</x:v>
      </x:c>
      <x:c r="J989" t="n">
        <x:v>5.088</x:v>
      </x:c>
    </x:row>
    <x:row r="990">
      <x:c r="A990" s="3" t="n">
        <x:v>2023</x:v>
      </x:c>
      <x:c r="B990" s="2" t="str">
        <x:v>Mayo</x:v>
      </x:c>
      <x:c r="C990" s="2" t="str">
        <x:v>RE-005947-1</x:v>
      </x:c>
      <x:c r="D990" s="2" t="str">
        <x:v>P.E. ALABE-TERRAL</x:v>
      </x:c>
      <x:c r="E990" s="4" t="n">
        <x:v>5.149</x:v>
      </x:c>
      <x:c r="F990" s="4" t="n">
        <x:f>J990*0.97</x:f>
        <x:v>4.86843</x:v>
      </x:c>
      <x:c r="G990" s="4" t="n">
        <x:v>27</x:v>
      </x:c>
      <x:c r="H990" s="4" t="n">
        <x:v>74.21</x:v>
      </x:c>
      <x:c r="I990" s="5" t="n">
        <x:f t="shared" si="15">F990*1000*H990</x:f>
        <x:v>361286.1903</x:v>
      </x:c>
      <x:c r="J990" t="n">
        <x:v>5.019</x:v>
      </x:c>
    </x:row>
    <x:row r="991">
      <x:c r="A991" s="3" t="n">
        <x:v>2023</x:v>
      </x:c>
      <x:c r="B991" s="2" t="str">
        <x:v>Junio</x:v>
      </x:c>
      <x:c r="C991" s="2" t="str">
        <x:v>RE-005947-1</x:v>
      </x:c>
      <x:c r="D991" s="2" t="str">
        <x:v>P.E. ALABE-TERRAL</x:v>
      </x:c>
      <x:c r="E991" s="4" t="n">
        <x:v>5.046</x:v>
      </x:c>
      <x:c r="F991" s="4" t="n">
        <x:f>J991*1.04</x:f>
        <x:v>5.13656</x:v>
      </x:c>
      <x:c r="G991" s="4" t="n">
        <x:v>27</x:v>
      </x:c>
      <x:c r="H991" s="4" t="n">
        <x:v>93.02</x:v>
      </x:c>
      <x:c r="I991" s="5" t="n">
        <x:f t="shared" si="15">F991*1000*H991</x:f>
        <x:v>477802.8112</x:v>
      </x:c>
      <x:c r="J991" t="n">
        <x:v>4.939</x:v>
      </x:c>
    </x:row>
    <x:row r="992">
      <x:c r="A992" s="3" t="n">
        <x:v>2023</x:v>
      </x:c>
      <x:c r="B992" s="2" t="str">
        <x:v>Julio</x:v>
      </x:c>
      <x:c r="C992" s="2" t="str">
        <x:v>RE-005947-1</x:v>
      </x:c>
      <x:c r="D992" s="2" t="str">
        <x:v>P.E. ALABE-TERRAL</x:v>
      </x:c>
      <x:c r="E992" s="4" t="n">
        <x:v>3.966</x:v>
      </x:c>
      <x:c r="F992" s="4" t="n">
        <x:f>J992*1</x:f>
        <x:v>3.879</x:v>
      </x:c>
      <x:c r="G992" s="4" t="n">
        <x:v>27</x:v>
      </x:c>
      <x:c r="H992" s="4" t="n">
        <x:v>90.47</x:v>
      </x:c>
      <x:c r="I992" s="5" t="n">
        <x:f t="shared" si="15">F992*1000*H992</x:f>
        <x:v>350933.13</x:v>
      </x:c>
      <x:c r="J992" t="n">
        <x:v>3.879</x:v>
      </x:c>
    </x:row>
    <x:row r="993">
      <x:c r="A993" s="3" t="n">
        <x:v>2023</x:v>
      </x:c>
      <x:c r="B993" s="2" t="str">
        <x:v>Agosto</x:v>
      </x:c>
      <x:c r="C993" s="2" t="str">
        <x:v>RE-005947-1</x:v>
      </x:c>
      <x:c r="D993" s="2" t="str">
        <x:v>P.E. ALABE-TERRAL</x:v>
      </x:c>
      <x:c r="E993" s="4" t="n">
        <x:v>5.107</x:v>
      </x:c>
      <x:c r="F993" s="4" t="n">
        <x:f>J993*0.96</x:f>
        <x:v>4.77984</x:v>
      </x:c>
      <x:c r="G993" s="4" t="n">
        <x:v>27</x:v>
      </x:c>
      <x:c r="H993" s="4" t="n">
        <x:v>96.05</x:v>
      </x:c>
      <x:c r="I993" s="5" t="n">
        <x:f t="shared" si="15">F993*1000*H993</x:f>
        <x:v>459103.632</x:v>
      </x:c>
      <x:c r="J993" t="n">
        <x:v>4.979</x:v>
      </x:c>
    </x:row>
    <x:row r="994">
      <x:c r="A994" s="3" t="n">
        <x:v>2023</x:v>
      </x:c>
      <x:c r="B994" s="2" t="str">
        <x:v>Septiembre</x:v>
      </x:c>
      <x:c r="C994" s="2" t="str">
        <x:v>RE-005947-1</x:v>
      </x:c>
      <x:c r="D994" s="2" t="str">
        <x:v>P.E. ALABE-TERRAL</x:v>
      </x:c>
      <x:c r="E994" s="4" t="n">
        <x:v>4.804</x:v>
      </x:c>
      <x:c r="F994" s="4" t="n">
        <x:f>J994*1.03</x:f>
        <x:v>4.83276</x:v>
      </x:c>
      <x:c r="G994" s="4" t="n">
        <x:v>27</x:v>
      </x:c>
      <x:c r="H994" s="4" t="n">
        <x:v>103.34</x:v>
      </x:c>
      <x:c r="I994" s="5" t="n">
        <x:f t="shared" si="15">F994*1000*H994</x:f>
        <x:v>499417.4184</x:v>
      </x:c>
      <x:c r="J994" t="n">
        <x:v>4.692</x:v>
      </x:c>
    </x:row>
    <x:row r="995">
      <x:c r="A995" s="3" t="n">
        <x:v>2023</x:v>
      </x:c>
      <x:c r="B995" s="2" t="str">
        <x:v>Octubre</x:v>
      </x:c>
      <x:c r="C995" s="2" t="str">
        <x:v>RE-005947-1</x:v>
      </x:c>
      <x:c r="D995" s="2" t="str">
        <x:v>P.E. ALABE-TERRAL</x:v>
      </x:c>
      <x:c r="E995" s="4" t="n">
        <x:v>6.452</x:v>
      </x:c>
      <x:c r="F995" s="4" t="n">
        <x:f>J995*0.99</x:f>
        <x:v>6.28947</x:v>
      </x:c>
      <x:c r="G995" s="4" t="n">
        <x:v>27</x:v>
      </x:c>
      <x:c r="H995" s="4" t="n">
        <x:v>90.14</x:v>
      </x:c>
      <x:c r="I995" s="5" t="n">
        <x:f t="shared" si="15">F995*1000*H995</x:f>
        <x:v>566932.8258</x:v>
      </x:c>
      <x:c r="J995" t="n">
        <x:v>6.353</x:v>
      </x:c>
    </x:row>
    <x:row r="996">
      <x:c r="A996" s="3" t="n">
        <x:v>2023</x:v>
      </x:c>
      <x:c r="B996" s="2" t="str">
        <x:v>Noviembre</x:v>
      </x:c>
      <x:c r="C996" s="2" t="str">
        <x:v>RE-005947-1</x:v>
      </x:c>
      <x:c r="D996" s="2" t="str">
        <x:v>P.E. ALABE-TERRAL</x:v>
      </x:c>
      <x:c r="E996" s="4" t="n">
        <x:v>7.281</x:v>
      </x:c>
      <x:c r="F996" s="4" t="n">
        <x:f>J996*0.95</x:f>
        <x:v>6.7545</x:v>
      </x:c>
      <x:c r="G996" s="4" t="n">
        <x:v>27</x:v>
      </x:c>
      <x:c r="H996" s="4" t="n">
        <x:v>63.45</x:v>
      </x:c>
      <x:c r="I996" s="5" t="n">
        <x:f t="shared" si="15">F996*1000*H996</x:f>
        <x:v>428573.025</x:v>
      </x:c>
      <x:c r="J996" t="n">
        <x:v>7.11</x:v>
      </x:c>
    </x:row>
    <x:row r="997">
      <x:c r="A997" s="3" t="n">
        <x:v>2023</x:v>
      </x:c>
      <x:c r="B997" s="2" t="str">
        <x:v>Diciembre</x:v>
      </x:c>
      <x:c r="C997" s="2" t="str">
        <x:v>RE-005947-1</x:v>
      </x:c>
      <x:c r="D997" s="2" t="str">
        <x:v>P.E. ALABE-TERRAL</x:v>
      </x:c>
      <x:c r="E997" s="4" t="n">
        <x:v>9.605</x:v>
      </x:c>
      <x:c r="F997" s="4" t="n">
        <x:f>J997*1.02</x:f>
        <x:v>9.623700000000001</x:v>
      </x:c>
      <x:c r="G997" s="4" t="n">
        <x:v>27</x:v>
      </x:c>
      <x:c r="H997" s="4" t="n">
        <x:v>72.17</x:v>
      </x:c>
      <x:c r="I997" s="5" t="n">
        <x:f t="shared" si="15">F997*1000*H997</x:f>
        <x:v>694542.4290000001</x:v>
      </x:c>
      <x:c r="J997" t="n">
        <x:v>9.435</x:v>
      </x:c>
    </x:row>
    <x:row r="998">
      <x:c r="A998" s="3" t="n">
        <x:v>2023</x:v>
      </x:c>
      <x:c r="B998" s="2" t="str">
        <x:v>Enero</x:v>
      </x:c>
      <x:c r="C998" s="2" t="str">
        <x:v>RE-005979-1</x:v>
      </x:c>
      <x:c r="D998" s="2" t="str">
        <x:v>P.E. FONSAGRADA</x:v>
      </x:c>
      <x:c r="E998" s="4" t="n">
        <x:v>10.608</x:v>
      </x:c>
      <x:c r="F998" s="4" t="n">
        <x:f>J998*0.98</x:f>
        <x:v>10.16358</x:v>
      </x:c>
      <x:c r="G998" s="4" t="n">
        <x:v>45.54</x:v>
      </x:c>
      <x:c r="H998" s="4" t="n">
        <x:v>69.55</x:v>
      </x:c>
      <x:c r="I998" s="5" t="n">
        <x:f t="shared" si="15">F998*1000*H998</x:f>
        <x:v>706876.989</x:v>
      </x:c>
      <x:c r="J998" t="n">
        <x:v>10.371</x:v>
      </x:c>
    </x:row>
    <x:row r="999">
      <x:c r="A999" s="3" t="n">
        <x:v>2023</x:v>
      </x:c>
      <x:c r="B999" s="2" t="str">
        <x:v>Febrero</x:v>
      </x:c>
      <x:c r="C999" s="2" t="str">
        <x:v>RE-005979-1</x:v>
      </x:c>
      <x:c r="D999" s="2" t="str">
        <x:v>P.E. FONSAGRADA</x:v>
      </x:c>
      <x:c r="E999" s="4" t="n">
        <x:v>8.968</x:v>
      </x:c>
      <x:c r="F999" s="4" t="n">
        <x:f>J999*0.94</x:f>
        <x:v>8.22406</x:v>
      </x:c>
      <x:c r="G999" s="4" t="n">
        <x:v>45.54</x:v>
      </x:c>
      <x:c r="H999" s="4" t="n">
        <x:v>133.47</x:v>
      </x:c>
      <x:c r="I999" s="5" t="n">
        <x:f t="shared" si="15">F999*1000*H999</x:f>
        <x:v>1097665.2881999998</x:v>
      </x:c>
      <x:c r="J999" t="n">
        <x:v>8.749</x:v>
      </x:c>
    </x:row>
    <x:row r="1000">
      <x:c r="A1000" s="3" t="n">
        <x:v>2023</x:v>
      </x:c>
      <x:c r="B1000" s="2" t="str">
        <x:v>Marzo</x:v>
      </x:c>
      <x:c r="C1000" s="2" t="str">
        <x:v>RE-005979-1</x:v>
      </x:c>
      <x:c r="D1000" s="2" t="str">
        <x:v>P.E. FONSAGRADA</x:v>
      </x:c>
      <x:c r="E1000" s="4" t="n">
        <x:v>9.486</x:v>
      </x:c>
      <x:c r="F1000" s="4" t="n">
        <x:f>J1000*1.01</x:f>
        <x:v>9.35967</x:v>
      </x:c>
      <x:c r="G1000" s="4" t="n">
        <x:v>45.54</x:v>
      </x:c>
      <x:c r="H1000" s="4" t="n">
        <x:v>89.61</x:v>
      </x:c>
      <x:c r="I1000" s="5" t="n">
        <x:f t="shared" si="15">F1000*1000*H1000</x:f>
        <x:v>838720.0287</x:v>
      </x:c>
      <x:c r="J1000" t="n">
        <x:v>9.267</x:v>
      </x:c>
    </x:row>
    <x:row r="1001">
      <x:c r="A1001" s="3" t="n">
        <x:v>2023</x:v>
      </x:c>
      <x:c r="B1001" s="2" t="str">
        <x:v>Abril</x:v>
      </x:c>
      <x:c r="C1001" s="2" t="str">
        <x:v>RE-005979-1</x:v>
      </x:c>
      <x:c r="D1001" s="2" t="str">
        <x:v>P.E. FONSAGRADA</x:v>
      </x:c>
      <x:c r="E1001" s="4" t="n">
        <x:v>9.304</x:v>
      </x:c>
      <x:c r="F1001" s="4" t="n">
        <x:f>J1001*0.97</x:f>
        <x:v>8.858039999999999</x:v>
      </x:c>
      <x:c r="G1001" s="4" t="n">
        <x:v>45.54</x:v>
      </x:c>
      <x:c r="H1001" s="4" t="n">
        <x:v>73.73</x:v>
      </x:c>
      <x:c r="I1001" s="5" t="n">
        <x:f t="shared" si="15">F1001*1000*H1001</x:f>
        <x:v>653103.2892</x:v>
      </x:c>
      <x:c r="J1001" t="n">
        <x:v>9.132</x:v>
      </x:c>
    </x:row>
    <x:row r="1002">
      <x:c r="A1002" s="3" t="n">
        <x:v>2023</x:v>
      </x:c>
      <x:c r="B1002" s="2" t="str">
        <x:v>Mayo</x:v>
      </x:c>
      <x:c r="C1002" s="2" t="str">
        <x:v>RE-005979-1</x:v>
      </x:c>
      <x:c r="D1002" s="2" t="str">
        <x:v>P.E. FONSAGRADA</x:v>
      </x:c>
      <x:c r="E1002" s="4" t="n">
        <x:v>7.021</x:v>
      </x:c>
      <x:c r="F1002" s="4" t="n">
        <x:f>J1002*1.04</x:f>
        <x:v>7.06784</x:v>
      </x:c>
      <x:c r="G1002" s="4" t="n">
        <x:v>45.54</x:v>
      </x:c>
      <x:c r="H1002" s="4" t="n">
        <x:v>74.21</x:v>
      </x:c>
      <x:c r="I1002" s="5" t="n">
        <x:f t="shared" si="15">F1002*1000*H1002</x:f>
        <x:v>524504.4064</x:v>
      </x:c>
      <x:c r="J1002" t="n">
        <x:v>6.796</x:v>
      </x:c>
    </x:row>
    <x:row r="1003">
      <x:c r="A1003" s="3" t="n">
        <x:v>2023</x:v>
      </x:c>
      <x:c r="B1003" s="2" t="str">
        <x:v>Junio</x:v>
      </x:c>
      <x:c r="C1003" s="2" t="str">
        <x:v>RE-005979-1</x:v>
      </x:c>
      <x:c r="D1003" s="2" t="str">
        <x:v>P.E. FONSAGRADA</x:v>
      </x:c>
      <x:c r="E1003" s="4" t="n">
        <x:v>6.201</x:v>
      </x:c>
      <x:c r="F1003" s="4" t="n">
        <x:f>J1003*1</x:f>
        <x:v>6.02</x:v>
      </x:c>
      <x:c r="G1003" s="4" t="n">
        <x:v>45.54</x:v>
      </x:c>
      <x:c r="H1003" s="4" t="n">
        <x:v>93.02</x:v>
      </x:c>
      <x:c r="I1003" s="5" t="n">
        <x:f t="shared" si="15">F1003*1000*H1003</x:f>
        <x:v>559980.4</x:v>
      </x:c>
      <x:c r="J1003" t="n">
        <x:v>6.02</x:v>
      </x:c>
    </x:row>
    <x:row r="1004">
      <x:c r="A1004" s="3" t="n">
        <x:v>2023</x:v>
      </x:c>
      <x:c r="B1004" s="2" t="str">
        <x:v>Julio</x:v>
      </x:c>
      <x:c r="C1004" s="2" t="str">
        <x:v>RE-005979-1</x:v>
      </x:c>
      <x:c r="D1004" s="2" t="str">
        <x:v>P.E. FONSAGRADA</x:v>
      </x:c>
      <x:c r="E1004" s="4" t="n">
        <x:v>6.238</x:v>
      </x:c>
      <x:c r="F1004" s="4" t="n">
        <x:f>J1004*0.96</x:f>
        <x:v>5.85504</x:v>
      </x:c>
      <x:c r="G1004" s="4" t="n">
        <x:v>45.54</x:v>
      </x:c>
      <x:c r="H1004" s="4" t="n">
        <x:v>90.47</x:v>
      </x:c>
      <x:c r="I1004" s="5" t="n">
        <x:f t="shared" si="15">F1004*1000*H1004</x:f>
        <x:v>529705.4688</x:v>
      </x:c>
      <x:c r="J1004" t="n">
        <x:v>6.099</x:v>
      </x:c>
    </x:row>
    <x:row r="1005">
      <x:c r="A1005" s="3" t="n">
        <x:v>2023</x:v>
      </x:c>
      <x:c r="B1005" s="2" t="str">
        <x:v>Agosto</x:v>
      </x:c>
      <x:c r="C1005" s="2" t="str">
        <x:v>RE-005979-1</x:v>
      </x:c>
      <x:c r="D1005" s="2" t="str">
        <x:v>P.E. FONSAGRADA</x:v>
      </x:c>
      <x:c r="E1005" s="4" t="n">
        <x:v>5.83</x:v>
      </x:c>
      <x:c r="F1005" s="4" t="n">
        <x:f>J1005*1.03</x:f>
        <x:v>5.86482</x:v>
      </x:c>
      <x:c r="G1005" s="4" t="n">
        <x:v>45.54</x:v>
      </x:c>
      <x:c r="H1005" s="4" t="n">
        <x:v>96.05</x:v>
      </x:c>
      <x:c r="I1005" s="5" t="n">
        <x:f t="shared" si="15">F1005*1000*H1005</x:f>
        <x:v>563315.961</x:v>
      </x:c>
      <x:c r="J1005" t="n">
        <x:v>5.694</x:v>
      </x:c>
    </x:row>
    <x:row r="1006">
      <x:c r="A1006" s="3" t="n">
        <x:v>2023</x:v>
      </x:c>
      <x:c r="B1006" s="2" t="str">
        <x:v>Septiembre</x:v>
      </x:c>
      <x:c r="C1006" s="2" t="str">
        <x:v>RE-005979-1</x:v>
      </x:c>
      <x:c r="D1006" s="2" t="str">
        <x:v>P.E. FONSAGRADA</x:v>
      </x:c>
      <x:c r="E1006" s="4" t="n">
        <x:v>7.586</x:v>
      </x:c>
      <x:c r="F1006" s="4" t="n">
        <x:f>J1006*0.99</x:f>
        <x:v>7.29036</x:v>
      </x:c>
      <x:c r="G1006" s="4" t="n">
        <x:v>45.54</x:v>
      </x:c>
      <x:c r="H1006" s="4" t="n">
        <x:v>103.34</x:v>
      </x:c>
      <x:c r="I1006" s="5" t="n">
        <x:f t="shared" si="15">F1006*1000*H1006</x:f>
        <x:v>753385.8024</x:v>
      </x:c>
      <x:c r="J1006" t="n">
        <x:v>7.364</x:v>
      </x:c>
    </x:row>
    <x:row r="1007">
      <x:c r="A1007" s="3" t="n">
        <x:v>2023</x:v>
      </x:c>
      <x:c r="B1007" s="2" t="str">
        <x:v>Octubre</x:v>
      </x:c>
      <x:c r="C1007" s="2" t="str">
        <x:v>RE-005979-1</x:v>
      </x:c>
      <x:c r="D1007" s="2" t="str">
        <x:v>P.E. FONSAGRADA</x:v>
      </x:c>
      <x:c r="E1007" s="4" t="n">
        <x:v>10.456</x:v>
      </x:c>
      <x:c r="F1007" s="4" t="n">
        <x:f>J1007*0.95</x:f>
        <x:v>9.7204</x:v>
      </x:c>
      <x:c r="G1007" s="4" t="n">
        <x:v>45.54</x:v>
      </x:c>
      <x:c r="H1007" s="4" t="n">
        <x:v>90.14</x:v>
      </x:c>
      <x:c r="I1007" s="5" t="n">
        <x:f t="shared" si="15">F1007*1000*H1007</x:f>
        <x:v>876196.856</x:v>
      </x:c>
      <x:c r="J1007" t="n">
        <x:v>10.232</x:v>
      </x:c>
    </x:row>
    <x:row r="1008">
      <x:c r="A1008" s="3" t="n">
        <x:v>2023</x:v>
      </x:c>
      <x:c r="B1008" s="2" t="str">
        <x:v>Noviembre</x:v>
      </x:c>
      <x:c r="C1008" s="2" t="str">
        <x:v>RE-005979-1</x:v>
      </x:c>
      <x:c r="D1008" s="2" t="str">
        <x:v>P.E. FONSAGRADA</x:v>
      </x:c>
      <x:c r="E1008" s="4" t="n">
        <x:v>11.267</x:v>
      </x:c>
      <x:c r="F1008" s="4" t="n">
        <x:f>J1008*1.02</x:f>
        <x:v>11.15778</x:v>
      </x:c>
      <x:c r="G1008" s="4" t="n">
        <x:v>45.54</x:v>
      </x:c>
      <x:c r="H1008" s="4" t="n">
        <x:v>63.45</x:v>
      </x:c>
      <x:c r="I1008" s="5" t="n">
        <x:f t="shared" si="15">F1008*1000*H1008</x:f>
        <x:v>707961.1410000001</x:v>
      </x:c>
      <x:c r="J1008" t="n">
        <x:v>10.939</x:v>
      </x:c>
    </x:row>
    <x:row r="1009">
      <x:c r="A1009" s="3" t="n">
        <x:v>2023</x:v>
      </x:c>
      <x:c r="B1009" s="2" t="str">
        <x:v>Diciembre</x:v>
      </x:c>
      <x:c r="C1009" s="2" t="str">
        <x:v>RE-005979-1</x:v>
      </x:c>
      <x:c r="D1009" s="2" t="str">
        <x:v>P.E. FONSAGRADA</x:v>
      </x:c>
      <x:c r="E1009" s="4" t="n">
        <x:v>10.585</x:v>
      </x:c>
      <x:c r="F1009" s="4" t="n">
        <x:f>J1009*0.98</x:f>
        <x:v>10.17044</x:v>
      </x:c>
      <x:c r="G1009" s="4" t="n">
        <x:v>45.54</x:v>
      </x:c>
      <x:c r="H1009" s="4" t="n">
        <x:v>72.17</x:v>
      </x:c>
      <x:c r="I1009" s="5" t="n">
        <x:f t="shared" si="15">F1009*1000*H1009</x:f>
        <x:v>734000.6547999999</x:v>
      </x:c>
      <x:c r="J1009" t="n">
        <x:v>10.378</x:v>
      </x:c>
    </x:row>
    <x:row r="1010">
      <x:c r="A1010" s="3" t="n">
        <x:v>2023</x:v>
      </x:c>
      <x:c r="B1010" s="2" t="str">
        <x:v>Enero</x:v>
      </x:c>
      <x:c r="C1010" s="2" t="str">
        <x:v>RE-005980-1</x:v>
      </x:c>
      <x:c r="D1010" s="2" t="str">
        <x:v>P.E. PUNAGO</x:v>
      </x:c>
      <x:c r="E1010" s="4" t="n">
        <x:v>6.655</x:v>
      </x:c>
      <x:c r="F1010" s="4" t="n">
        <x:f>J1010*0.94</x:f>
        <x:v>6.1194</x:v>
      </x:c>
      <x:c r="G1010" s="4" t="n">
        <x:v>30.36</x:v>
      </x:c>
      <x:c r="H1010" s="4" t="n">
        <x:v>69.55</x:v>
      </x:c>
      <x:c r="I1010" s="5" t="n">
        <x:f t="shared" si="15">F1010*1000*H1010</x:f>
        <x:v>425604.26999999996</x:v>
      </x:c>
      <x:c r="J1010" t="n">
        <x:v>6.51</x:v>
      </x:c>
    </x:row>
    <x:row r="1011">
      <x:c r="A1011" s="3" t="n">
        <x:v>2023</x:v>
      </x:c>
      <x:c r="B1011" s="2" t="str">
        <x:v>Febrero</x:v>
      </x:c>
      <x:c r="C1011" s="2" t="str">
        <x:v>RE-005980-1</x:v>
      </x:c>
      <x:c r="D1011" s="2" t="str">
        <x:v>P.E. PUNAGO</x:v>
      </x:c>
      <x:c r="E1011" s="4" t="n">
        <x:v>7.096</x:v>
      </x:c>
      <x:c r="F1011" s="4" t="n">
        <x:f>J1011*1.01</x:f>
        <x:v>7.012429999999999</x:v>
      </x:c>
      <x:c r="G1011" s="4" t="n">
        <x:v>30.36</x:v>
      </x:c>
      <x:c r="H1011" s="4" t="n">
        <x:v>133.47</x:v>
      </x:c>
      <x:c r="I1011" s="5" t="n">
        <x:f t="shared" si="15">F1011*1000*H1011</x:f>
        <x:v>935949.0321</x:v>
      </x:c>
      <x:c r="J1011" t="n">
        <x:v>6.943</x:v>
      </x:c>
    </x:row>
    <x:row r="1012">
      <x:c r="A1012" s="3" t="n">
        <x:v>2023</x:v>
      </x:c>
      <x:c r="B1012" s="2" t="str">
        <x:v>Marzo</x:v>
      </x:c>
      <x:c r="C1012" s="2" t="str">
        <x:v>RE-005980-1</x:v>
      </x:c>
      <x:c r="D1012" s="2" t="str">
        <x:v>P.E. PUNAGO</x:v>
      </x:c>
      <x:c r="E1012" s="4" t="n">
        <x:v>6.531</x:v>
      </x:c>
      <x:c r="F1012" s="4" t="n">
        <x:f>J1012*0.97</x:f>
        <x:v>6.1498</x:v>
      </x:c>
      <x:c r="G1012" s="4" t="n">
        <x:v>30.36</x:v>
      </x:c>
      <x:c r="H1012" s="4" t="n">
        <x:v>89.61</x:v>
      </x:c>
      <x:c r="I1012" s="5" t="n">
        <x:f t="shared" si="15">F1012*1000*H1012</x:f>
        <x:v>551083.578</x:v>
      </x:c>
      <x:c r="J1012" t="n">
        <x:v>6.34</x:v>
      </x:c>
    </x:row>
    <x:row r="1013">
      <x:c r="A1013" s="3" t="n">
        <x:v>2023</x:v>
      </x:c>
      <x:c r="B1013" s="2" t="str">
        <x:v>Abril</x:v>
      </x:c>
      <x:c r="C1013" s="2" t="str">
        <x:v>RE-005980-1</x:v>
      </x:c>
      <x:c r="D1013" s="2" t="str">
        <x:v>P.E. PUNAGO</x:v>
      </x:c>
      <x:c r="E1013" s="4" t="n">
        <x:v>5.222</x:v>
      </x:c>
      <x:c r="F1013" s="4" t="n">
        <x:f>J1013*1.04</x:f>
        <x:v>5.2832</x:v>
      </x:c>
      <x:c r="G1013" s="4" t="n">
        <x:v>30.36</x:v>
      </x:c>
      <x:c r="H1013" s="4" t="n">
        <x:v>73.73</x:v>
      </x:c>
      <x:c r="I1013" s="5" t="n">
        <x:f t="shared" si="15">F1013*1000*H1013</x:f>
        <x:v>389530.336</x:v>
      </x:c>
      <x:c r="J1013" t="n">
        <x:v>5.08</x:v>
      </x:c>
    </x:row>
    <x:row r="1014">
      <x:c r="A1014" s="3" t="n">
        <x:v>2023</x:v>
      </x:c>
      <x:c r="B1014" s="2" t="str">
        <x:v>Mayo</x:v>
      </x:c>
      <x:c r="C1014" s="2" t="str">
        <x:v>RE-005980-1</x:v>
      </x:c>
      <x:c r="D1014" s="2" t="str">
        <x:v>P.E. PUNAGO</x:v>
      </x:c>
      <x:c r="E1014" s="4" t="n">
        <x:v>5.237</x:v>
      </x:c>
      <x:c r="F1014" s="4" t="n">
        <x:f>J1014*1</x:f>
        <x:v>5.103</x:v>
      </x:c>
      <x:c r="G1014" s="4" t="n">
        <x:v>30.36</x:v>
      </x:c>
      <x:c r="H1014" s="4" t="n">
        <x:v>74.21</x:v>
      </x:c>
      <x:c r="I1014" s="5" t="n">
        <x:f t="shared" si="15">F1014*1000*H1014</x:f>
        <x:v>378693.62999999995</x:v>
      </x:c>
      <x:c r="J1014" t="n">
        <x:v>5.103</x:v>
      </x:c>
    </x:row>
    <x:row r="1015">
      <x:c r="A1015" s="3" t="n">
        <x:v>2023</x:v>
      </x:c>
      <x:c r="B1015" s="2" t="str">
        <x:v>Junio</x:v>
      </x:c>
      <x:c r="C1015" s="2" t="str">
        <x:v>RE-005980-1</x:v>
      </x:c>
      <x:c r="D1015" s="2" t="str">
        <x:v>P.E. PUNAGO</x:v>
      </x:c>
      <x:c r="E1015" s="4" t="n">
        <x:v>4.8</x:v>
      </x:c>
      <x:c r="F1015" s="4" t="n">
        <x:f>J1015*0.96</x:f>
        <x:v>4.52736</x:v>
      </x:c>
      <x:c r="G1015" s="4" t="n">
        <x:v>30.36</x:v>
      </x:c>
      <x:c r="H1015" s="4" t="n">
        <x:v>93.02</x:v>
      </x:c>
      <x:c r="I1015" s="5" t="n">
        <x:f t="shared" si="15">F1015*1000*H1015</x:f>
        <x:v>421135.02719999995</x:v>
      </x:c>
      <x:c r="J1015" t="n">
        <x:v>4.716</x:v>
      </x:c>
    </x:row>
    <x:row r="1016">
      <x:c r="A1016" s="3" t="n">
        <x:v>2023</x:v>
      </x:c>
      <x:c r="B1016" s="2" t="str">
        <x:v>Julio</x:v>
      </x:c>
      <x:c r="C1016" s="2" t="str">
        <x:v>RE-005980-1</x:v>
      </x:c>
      <x:c r="D1016" s="2" t="str">
        <x:v>P.E. PUNAGO</x:v>
      </x:c>
      <x:c r="E1016" s="4" t="n">
        <x:v>4.22</x:v>
      </x:c>
      <x:c r="F1016" s="4" t="n">
        <x:f>J1016*1.03</x:f>
        <x:v>4.22815</x:v>
      </x:c>
      <x:c r="G1016" s="4" t="n">
        <x:v>30.36</x:v>
      </x:c>
      <x:c r="H1016" s="4" t="n">
        <x:v>90.47</x:v>
      </x:c>
      <x:c r="I1016" s="5" t="n">
        <x:f t="shared" si="15">F1016*1000*H1016</x:f>
        <x:v>382520.73050000006</x:v>
      </x:c>
      <x:c r="J1016" t="n">
        <x:v>4.105</x:v>
      </x:c>
    </x:row>
    <x:row r="1017">
      <x:c r="A1017" s="3" t="n">
        <x:v>2023</x:v>
      </x:c>
      <x:c r="B1017" s="2" t="str">
        <x:v>Agosto</x:v>
      </x:c>
      <x:c r="C1017" s="2" t="str">
        <x:v>RE-005980-1</x:v>
      </x:c>
      <x:c r="D1017" s="2" t="str">
        <x:v>P.E. PUNAGO</x:v>
      </x:c>
      <x:c r="E1017" s="4" t="n">
        <x:v>3.659</x:v>
      </x:c>
      <x:c r="F1017" s="4" t="n">
        <x:f>J1017*0.99</x:f>
        <x:v>3.5135099999999997</x:v>
      </x:c>
      <x:c r="G1017" s="4" t="n">
        <x:v>30.36</x:v>
      </x:c>
      <x:c r="H1017" s="4" t="n">
        <x:v>96.05</x:v>
      </x:c>
      <x:c r="I1017" s="5" t="n">
        <x:f t="shared" si="15">F1017*1000*H1017</x:f>
        <x:v>337472.6355</x:v>
      </x:c>
      <x:c r="J1017" t="n">
        <x:v>3.549</x:v>
      </x:c>
    </x:row>
    <x:row r="1018">
      <x:c r="A1018" s="3" t="n">
        <x:v>2023</x:v>
      </x:c>
      <x:c r="B1018" s="2" t="str">
        <x:v>Septiembre</x:v>
      </x:c>
      <x:c r="C1018" s="2" t="str">
        <x:v>RE-005980-1</x:v>
      </x:c>
      <x:c r="D1018" s="2" t="str">
        <x:v>P.E. PUNAGO</x:v>
      </x:c>
      <x:c r="E1018" s="4" t="n">
        <x:v>5.303</x:v>
      </x:c>
      <x:c r="F1018" s="4" t="n">
        <x:f>J1018*0.95</x:f>
        <x:v>4.882999999999999</x:v>
      </x:c>
      <x:c r="G1018" s="4" t="n">
        <x:v>30.36</x:v>
      </x:c>
      <x:c r="H1018" s="4" t="n">
        <x:v>103.34</x:v>
      </x:c>
      <x:c r="I1018" s="5" t="n">
        <x:f t="shared" si="15">F1018*1000*H1018</x:f>
        <x:v>504609.2199999999</x:v>
      </x:c>
      <x:c r="J1018" t="n">
        <x:v>5.14</x:v>
      </x:c>
    </x:row>
    <x:row r="1019">
      <x:c r="A1019" s="3" t="n">
        <x:v>2023</x:v>
      </x:c>
      <x:c r="B1019" s="2" t="str">
        <x:v>Octubre</x:v>
      </x:c>
      <x:c r="C1019" s="2" t="str">
        <x:v>RE-005980-1</x:v>
      </x:c>
      <x:c r="D1019" s="2" t="str">
        <x:v>P.E. PUNAGO</x:v>
      </x:c>
      <x:c r="E1019" s="4" t="n">
        <x:v>6.053</x:v>
      </x:c>
      <x:c r="F1019" s="4" t="n">
        <x:f>J1019*1.02</x:f>
        <x:v>6.0282</x:v>
      </x:c>
      <x:c r="G1019" s="4" t="n">
        <x:v>30.36</x:v>
      </x:c>
      <x:c r="H1019" s="4" t="n">
        <x:v>90.14</x:v>
      </x:c>
      <x:c r="I1019" s="5" t="n">
        <x:f t="shared" si="15">F1019*1000*H1019</x:f>
        <x:v>543381.948</x:v>
      </x:c>
      <x:c r="J1019" t="n">
        <x:v>5.91</x:v>
      </x:c>
    </x:row>
    <x:row r="1020">
      <x:c r="A1020" s="3" t="n">
        <x:v>2023</x:v>
      </x:c>
      <x:c r="B1020" s="2" t="str">
        <x:v>Noviembre</x:v>
      </x:c>
      <x:c r="C1020" s="2" t="str">
        <x:v>RE-005980-1</x:v>
      </x:c>
      <x:c r="D1020" s="2" t="str">
        <x:v>P.E. PUNAGO</x:v>
      </x:c>
      <x:c r="E1020" s="4" t="n">
        <x:v>6.787</x:v>
      </x:c>
      <x:c r="F1020" s="4" t="n">
        <x:f>J1020*0.98</x:f>
        <x:v>6.54444</x:v>
      </x:c>
      <x:c r="G1020" s="4" t="n">
        <x:v>30.36</x:v>
      </x:c>
      <x:c r="H1020" s="4" t="n">
        <x:v>63.45</x:v>
      </x:c>
      <x:c r="I1020" s="5" t="n">
        <x:f t="shared" si="15">F1020*1000*H1020</x:f>
        <x:v>415244.718</x:v>
      </x:c>
      <x:c r="J1020" t="n">
        <x:v>6.678</x:v>
      </x:c>
    </x:row>
    <x:row r="1021">
      <x:c r="A1021" s="3" t="n">
        <x:v>2023</x:v>
      </x:c>
      <x:c r="B1021" s="2" t="str">
        <x:v>Diciembre</x:v>
      </x:c>
      <x:c r="C1021" s="2" t="str">
        <x:v>RE-005980-1</x:v>
      </x:c>
      <x:c r="D1021" s="2" t="str">
        <x:v>P.E. PUNAGO</x:v>
      </x:c>
      <x:c r="E1021" s="4" t="n">
        <x:v>7.777</x:v>
      </x:c>
      <x:c r="F1021" s="4" t="n">
        <x:f>J1021*0.94</x:f>
        <x:v>7.170319999999999</x:v>
      </x:c>
      <x:c r="G1021" s="4" t="n">
        <x:v>30.36</x:v>
      </x:c>
      <x:c r="H1021" s="4" t="n">
        <x:v>72.17</x:v>
      </x:c>
      <x:c r="I1021" s="5" t="n">
        <x:f t="shared" si="15">F1021*1000*H1021</x:f>
        <x:v>517481.99439999997</x:v>
      </x:c>
      <x:c r="J1021" t="n">
        <x:v>7.628</x:v>
      </x:c>
    </x:row>
    <x:row r="1022">
      <x:c r="A1022" s="3" t="n">
        <x:v>2023</x:v>
      </x:c>
      <x:c r="B1022" s="2" t="str">
        <x:v>Enero</x:v>
      </x:c>
      <x:c r="C1022" s="2" t="str">
        <x:v>RE-005981-1</x:v>
      </x:c>
      <x:c r="D1022" s="2" t="str">
        <x:v>P.E. LEBOREIRO</x:v>
      </x:c>
      <x:c r="E1022" s="4" t="n">
        <x:v>5.895</x:v>
      </x:c>
      <x:c r="F1022" s="4" t="n">
        <x:f>J1022*1.01</x:f>
        <x:v>5.84891</x:v>
      </x:c>
      <x:c r="G1022" s="4" t="n">
        <x:v>21.12</x:v>
      </x:c>
      <x:c r="H1022" s="4" t="n">
        <x:v>69.55</x:v>
      </x:c>
      <x:c r="I1022" s="5" t="n">
        <x:f t="shared" si="15">F1022*1000*H1022</x:f>
        <x:v>406791.69049999997</x:v>
      </x:c>
      <x:c r="J1022" t="n">
        <x:v>5.791</x:v>
      </x:c>
    </x:row>
    <x:row r="1023">
      <x:c r="A1023" s="3" t="n">
        <x:v>2023</x:v>
      </x:c>
      <x:c r="B1023" s="2" t="str">
        <x:v>Febrero</x:v>
      </x:c>
      <x:c r="C1023" s="2" t="str">
        <x:v>RE-005981-1</x:v>
      </x:c>
      <x:c r="D1023" s="2" t="str">
        <x:v>P.E. LEBOREIRO</x:v>
      </x:c>
      <x:c r="E1023" s="4" t="n">
        <x:v>4.19</x:v>
      </x:c>
      <x:c r="F1023" s="4" t="n">
        <x:f>J1023*0.97</x:f>
        <x:v>3.9876699999999996</x:v>
      </x:c>
      <x:c r="G1023" s="4" t="n">
        <x:v>21.12</x:v>
      </x:c>
      <x:c r="H1023" s="4" t="n">
        <x:v>133.47</x:v>
      </x:c>
      <x:c r="I1023" s="5" t="n">
        <x:f t="shared" si="15">F1023*1000*H1023</x:f>
        <x:v>532234.3149</x:v>
      </x:c>
      <x:c r="J1023" t="n">
        <x:v>4.111</x:v>
      </x:c>
    </x:row>
    <x:row r="1024">
      <x:c r="A1024" s="3" t="n">
        <x:v>2023</x:v>
      </x:c>
      <x:c r="B1024" s="2" t="str">
        <x:v>Marzo</x:v>
      </x:c>
      <x:c r="C1024" s="2" t="str">
        <x:v>RE-005981-1</x:v>
      </x:c>
      <x:c r="D1024" s="2" t="str">
        <x:v>P.E. LEBOREIRO</x:v>
      </x:c>
      <x:c r="E1024" s="4" t="n">
        <x:v>4.952</x:v>
      </x:c>
      <x:c r="F1024" s="4" t="n">
        <x:f>J1024*1.04</x:f>
        <x:v>5.01384</x:v>
      </x:c>
      <x:c r="G1024" s="4" t="n">
        <x:v>21.12</x:v>
      </x:c>
      <x:c r="H1024" s="4" t="n">
        <x:v>89.61</x:v>
      </x:c>
      <x:c r="I1024" s="5" t="n">
        <x:f t="shared" si="15">F1024*1000*H1024</x:f>
        <x:v>449290.2024</x:v>
      </x:c>
      <x:c r="J1024" t="n">
        <x:v>4.821</x:v>
      </x:c>
    </x:row>
    <x:row r="1025">
      <x:c r="A1025" s="3" t="n">
        <x:v>2023</x:v>
      </x:c>
      <x:c r="B1025" s="2" t="str">
        <x:v>Abril</x:v>
      </x:c>
      <x:c r="C1025" s="2" t="str">
        <x:v>RE-005981-1</x:v>
      </x:c>
      <x:c r="D1025" s="2" t="str">
        <x:v>P.E. LEBOREIRO</x:v>
      </x:c>
      <x:c r="E1025" s="4" t="n">
        <x:v>4.219</x:v>
      </x:c>
      <x:c r="F1025" s="4" t="n">
        <x:f>J1025*1</x:f>
        <x:v>4.084</x:v>
      </x:c>
      <x:c r="G1025" s="4" t="n">
        <x:v>21.12</x:v>
      </x:c>
      <x:c r="H1025" s="4" t="n">
        <x:v>73.73</x:v>
      </x:c>
      <x:c r="I1025" s="5" t="n">
        <x:f t="shared" si="15">F1025*1000*H1025</x:f>
        <x:v>301113.32</x:v>
      </x:c>
      <x:c r="J1025" t="n">
        <x:v>4.084</x:v>
      </x:c>
    </x:row>
    <x:row r="1026">
      <x:c r="A1026" s="3" t="n">
        <x:v>2023</x:v>
      </x:c>
      <x:c r="B1026" s="2" t="str">
        <x:v>Mayo</x:v>
      </x:c>
      <x:c r="C1026" s="2" t="str">
        <x:v>RE-005981-1</x:v>
      </x:c>
      <x:c r="D1026" s="2" t="str">
        <x:v>P.E. LEBOREIRO</x:v>
      </x:c>
      <x:c r="E1026" s="4" t="n">
        <x:v>3.998</x:v>
      </x:c>
      <x:c r="F1026" s="4" t="n">
        <x:f>J1026*0.96</x:f>
        <x:v>3.75648</x:v>
      </x:c>
      <x:c r="G1026" s="4" t="n">
        <x:v>21.12</x:v>
      </x:c>
      <x:c r="H1026" s="4" t="n">
        <x:v>74.21</x:v>
      </x:c>
      <x:c r="I1026" s="5" t="n">
        <x:f t="shared" ref="I1026:I1089" si="16">F1026*1000*H1026</x:f>
        <x:v>278768.3808</x:v>
      </x:c>
      <x:c r="J1026" t="n">
        <x:v>3.913</x:v>
      </x:c>
    </x:row>
    <x:row r="1027">
      <x:c r="A1027" s="3" t="n">
        <x:v>2023</x:v>
      </x:c>
      <x:c r="B1027" s="2" t="str">
        <x:v>Junio</x:v>
      </x:c>
      <x:c r="C1027" s="2" t="str">
        <x:v>RE-005981-1</x:v>
      </x:c>
      <x:c r="D1027" s="2" t="str">
        <x:v>P.E. LEBOREIRO</x:v>
      </x:c>
      <x:c r="E1027" s="4" t="n">
        <x:v>2.904</x:v>
      </x:c>
      <x:c r="F1027" s="4" t="n">
        <x:f>J1027*1.03</x:f>
        <x:v>2.9221100000000004</x:v>
      </x:c>
      <x:c r="G1027" s="4" t="n">
        <x:v>21.12</x:v>
      </x:c>
      <x:c r="H1027" s="4" t="n">
        <x:v>93.02</x:v>
      </x:c>
      <x:c r="I1027" s="5" t="n">
        <x:f t="shared" si="16">F1027*1000*H1027</x:f>
        <x:v>271814.67220000003</x:v>
      </x:c>
      <x:c r="J1027" t="n">
        <x:v>2.837</x:v>
      </x:c>
    </x:row>
    <x:row r="1028">
      <x:c r="A1028" s="3" t="n">
        <x:v>2023</x:v>
      </x:c>
      <x:c r="B1028" s="2" t="str">
        <x:v>Julio</x:v>
      </x:c>
      <x:c r="C1028" s="2" t="str">
        <x:v>RE-005981-1</x:v>
      </x:c>
      <x:c r="D1028" s="2" t="str">
        <x:v>P.E. LEBOREIRO</x:v>
      </x:c>
      <x:c r="E1028" s="4" t="n">
        <x:v>3.209</x:v>
      </x:c>
      <x:c r="F1028" s="4" t="n">
        <x:f>J1028*0.99</x:f>
        <x:v>3.12048</x:v>
      </x:c>
      <x:c r="G1028" s="4" t="n">
        <x:v>21.12</x:v>
      </x:c>
      <x:c r="H1028" s="4" t="n">
        <x:v>90.47</x:v>
      </x:c>
      <x:c r="I1028" s="5" t="n">
        <x:f t="shared" si="16">F1028*1000*H1028</x:f>
        <x:v>282309.8256</x:v>
      </x:c>
      <x:c r="J1028" t="n">
        <x:v>3.152</x:v>
      </x:c>
    </x:row>
    <x:row r="1029">
      <x:c r="A1029" s="3" t="n">
        <x:v>2023</x:v>
      </x:c>
      <x:c r="B1029" s="2" t="str">
        <x:v>Agosto</x:v>
      </x:c>
      <x:c r="C1029" s="2" t="str">
        <x:v>RE-005981-1</x:v>
      </x:c>
      <x:c r="D1029" s="2" t="str">
        <x:v>P.E. LEBOREIRO</x:v>
      </x:c>
      <x:c r="E1029" s="4" t="n">
        <x:v>2.781</x:v>
      </x:c>
      <x:c r="F1029" s="4" t="n">
        <x:f>J1029*0.95</x:f>
        <x:v>2.5631</x:v>
      </x:c>
      <x:c r="G1029" s="4" t="n">
        <x:v>21.12</x:v>
      </x:c>
      <x:c r="H1029" s="4" t="n">
        <x:v>96.05</x:v>
      </x:c>
      <x:c r="I1029" s="5" t="n">
        <x:f t="shared" si="16">F1029*1000*H1029</x:f>
        <x:v>246185.75499999998</x:v>
      </x:c>
      <x:c r="J1029" t="n">
        <x:v>2.698</x:v>
      </x:c>
    </x:row>
    <x:row r="1030">
      <x:c r="A1030" s="3" t="n">
        <x:v>2023</x:v>
      </x:c>
      <x:c r="B1030" s="2" t="str">
        <x:v>Septiembre</x:v>
      </x:c>
      <x:c r="C1030" s="2" t="str">
        <x:v>RE-005981-1</x:v>
      </x:c>
      <x:c r="D1030" s="2" t="str">
        <x:v>P.E. LEBOREIRO</x:v>
      </x:c>
      <x:c r="E1030" s="4" t="n">
        <x:v>3.916</x:v>
      </x:c>
      <x:c r="F1030" s="4" t="n">
        <x:f>J1030*1.02</x:f>
        <x:v>3.87498</x:v>
      </x:c>
      <x:c r="G1030" s="4" t="n">
        <x:v>21.12</x:v>
      </x:c>
      <x:c r="H1030" s="4" t="n">
        <x:v>103.34</x:v>
      </x:c>
      <x:c r="I1030" s="5" t="n">
        <x:f t="shared" si="16">F1030*1000*H1030</x:f>
        <x:v>400440.4332</x:v>
      </x:c>
      <x:c r="J1030" t="n">
        <x:v>3.799</x:v>
      </x:c>
    </x:row>
    <x:row r="1031">
      <x:c r="A1031" s="3" t="n">
        <x:v>2023</x:v>
      </x:c>
      <x:c r="B1031" s="2" t="str">
        <x:v>Octubre</x:v>
      </x:c>
      <x:c r="C1031" s="2" t="str">
        <x:v>RE-005981-1</x:v>
      </x:c>
      <x:c r="D1031" s="2" t="str">
        <x:v>P.E. LEBOREIRO</x:v>
      </x:c>
      <x:c r="E1031" s="4" t="n">
        <x:v>4.407</x:v>
      </x:c>
      <x:c r="F1031" s="4" t="n">
        <x:f>J1031*0.98</x:f>
        <x:v>4.21302</x:v>
      </x:c>
      <x:c r="G1031" s="4" t="n">
        <x:v>21.12</x:v>
      </x:c>
      <x:c r="H1031" s="4" t="n">
        <x:v>90.14</x:v>
      </x:c>
      <x:c r="I1031" s="5" t="n">
        <x:f t="shared" si="16">F1031*1000*H1031</x:f>
        <x:v>379761.62280000007</x:v>
      </x:c>
      <x:c r="J1031" t="n">
        <x:v>4.299</x:v>
      </x:c>
    </x:row>
    <x:row r="1032">
      <x:c r="A1032" s="3" t="n">
        <x:v>2023</x:v>
      </x:c>
      <x:c r="B1032" s="2" t="str">
        <x:v>Noviembre</x:v>
      </x:c>
      <x:c r="C1032" s="2" t="str">
        <x:v>RE-005981-1</x:v>
      </x:c>
      <x:c r="D1032" s="2" t="str">
        <x:v>P.E. LEBOREIRO</x:v>
      </x:c>
      <x:c r="E1032" s="4" t="n">
        <x:v>5.556</x:v>
      </x:c>
      <x:c r="F1032" s="4" t="n">
        <x:f>J1032*0.94</x:f>
        <x:v>5.05908</x:v>
      </x:c>
      <x:c r="G1032" s="4" t="n">
        <x:v>21.12</x:v>
      </x:c>
      <x:c r="H1032" s="4" t="n">
        <x:v>63.45</x:v>
      </x:c>
      <x:c r="I1032" s="5" t="n">
        <x:f t="shared" si="16">F1032*1000*H1032</x:f>
        <x:v>320998.626</x:v>
      </x:c>
      <x:c r="J1032" t="n">
        <x:v>5.382</x:v>
      </x:c>
    </x:row>
    <x:row r="1033">
      <x:c r="A1033" s="3" t="n">
        <x:v>2023</x:v>
      </x:c>
      <x:c r="B1033" s="2" t="str">
        <x:v>Diciembre</x:v>
      </x:c>
      <x:c r="C1033" s="2" t="str">
        <x:v>RE-005981-1</x:v>
      </x:c>
      <x:c r="D1033" s="2" t="str">
        <x:v>P.E. LEBOREIRO</x:v>
      </x:c>
      <x:c r="E1033" s="4" t="n">
        <x:v>6.237</x:v>
      </x:c>
      <x:c r="F1033" s="4" t="n">
        <x:f>J1033*1.01</x:f>
        <x:v>6.14383</x:v>
      </x:c>
      <x:c r="G1033" s="4" t="n">
        <x:v>21.12</x:v>
      </x:c>
      <x:c r="H1033" s="4" t="n">
        <x:v>72.17</x:v>
      </x:c>
      <x:c r="I1033" s="5" t="n">
        <x:f t="shared" si="16">F1033*1000*H1033</x:f>
        <x:v>443400.2111</x:v>
      </x:c>
      <x:c r="J1033" t="n">
        <x:v>6.083</x:v>
      </x:c>
    </x:row>
    <x:row r="1034">
      <x:c r="A1034" s="3" t="n">
        <x:v>2023</x:v>
      </x:c>
      <x:c r="B1034" s="2" t="str">
        <x:v>Enero</x:v>
      </x:c>
      <x:c r="C1034" s="2" t="str">
        <x:v>RE-005982-1</x:v>
      </x:c>
      <x:c r="D1034" s="2" t="str">
        <x:v>P.E. GOIA-PEÑOTE</x:v>
      </x:c>
      <x:c r="E1034" s="4" t="n">
        <x:v>11.056</x:v>
      </x:c>
      <x:c r="F1034" s="4" t="n">
        <x:f>J1034*0.97</x:f>
        <x:v>10.491520000000001</x:v>
      </x:c>
      <x:c r="G1034" s="4" t="n">
        <x:v>40</x:v>
      </x:c>
      <x:c r="H1034" s="4" t="n">
        <x:v>69.55</x:v>
      </x:c>
      <x:c r="I1034" s="5" t="n">
        <x:f t="shared" si="16">F1034*1000*H1034</x:f>
        <x:v>729685.216</x:v>
      </x:c>
      <x:c r="J1034" t="n">
        <x:v>10.816</x:v>
      </x:c>
    </x:row>
    <x:row r="1035">
      <x:c r="A1035" s="3" t="n">
        <x:v>2023</x:v>
      </x:c>
      <x:c r="B1035" s="2" t="str">
        <x:v>Febrero</x:v>
      </x:c>
      <x:c r="C1035" s="2" t="str">
        <x:v>RE-005982-1</x:v>
      </x:c>
      <x:c r="D1035" s="2" t="str">
        <x:v>P.E. GOIA-PEÑOTE</x:v>
      </x:c>
      <x:c r="E1035" s="4" t="n">
        <x:v>10.327</x:v>
      </x:c>
      <x:c r="F1035" s="4" t="n">
        <x:f>J1035*1.04</x:f>
        <x:v>10.40416</x:v>
      </x:c>
      <x:c r="G1035" s="4" t="n">
        <x:v>40</x:v>
      </x:c>
      <x:c r="H1035" s="4" t="n">
        <x:v>133.47</x:v>
      </x:c>
      <x:c r="I1035" s="5" t="n">
        <x:f t="shared" si="16">F1035*1000*H1035</x:f>
        <x:v>1388643.2352</x:v>
      </x:c>
      <x:c r="J1035" t="n">
        <x:v>10.004</x:v>
      </x:c>
    </x:row>
    <x:row r="1036">
      <x:c r="A1036" s="3" t="n">
        <x:v>2023</x:v>
      </x:c>
      <x:c r="B1036" s="2" t="str">
        <x:v>Marzo</x:v>
      </x:c>
      <x:c r="C1036" s="2" t="str">
        <x:v>RE-005982-1</x:v>
      </x:c>
      <x:c r="D1036" s="2" t="str">
        <x:v>P.E. GOIA-PEÑOTE</x:v>
      </x:c>
      <x:c r="E1036" s="4" t="n">
        <x:v>8.952</x:v>
      </x:c>
      <x:c r="F1036" s="4" t="n">
        <x:f>J1036*1</x:f>
        <x:v>8.717</x:v>
      </x:c>
      <x:c r="G1036" s="4" t="n">
        <x:v>40</x:v>
      </x:c>
      <x:c r="H1036" s="4" t="n">
        <x:v>89.61</x:v>
      </x:c>
      <x:c r="I1036" s="5" t="n">
        <x:f t="shared" si="16">F1036*1000*H1036</x:f>
        <x:v>781130.37</x:v>
      </x:c>
      <x:c r="J1036" t="n">
        <x:v>8.717</x:v>
      </x:c>
    </x:row>
    <x:row r="1037">
      <x:c r="A1037" s="3" t="n">
        <x:v>2023</x:v>
      </x:c>
      <x:c r="B1037" s="2" t="str">
        <x:v>Abril</x:v>
      </x:c>
      <x:c r="C1037" s="2" t="str">
        <x:v>RE-005982-1</x:v>
      </x:c>
      <x:c r="D1037" s="2" t="str">
        <x:v>P.E. GOIA-PEÑOTE</x:v>
      </x:c>
      <x:c r="E1037" s="4" t="n">
        <x:v>6.968</x:v>
      </x:c>
      <x:c r="F1037" s="4" t="n">
        <x:f>J1037*0.96</x:f>
        <x:v>6.49824</x:v>
      </x:c>
      <x:c r="G1037" s="4" t="n">
        <x:v>40</x:v>
      </x:c>
      <x:c r="H1037" s="4" t="n">
        <x:v>73.73</x:v>
      </x:c>
      <x:c r="I1037" s="5" t="n">
        <x:f t="shared" si="16">F1037*1000*H1037</x:f>
        <x:v>479115.2352</x:v>
      </x:c>
      <x:c r="J1037" t="n">
        <x:v>6.769</x:v>
      </x:c>
    </x:row>
    <x:row r="1038">
      <x:c r="A1038" s="3" t="n">
        <x:v>2023</x:v>
      </x:c>
      <x:c r="B1038" s="2" t="str">
        <x:v>Mayo</x:v>
      </x:c>
      <x:c r="C1038" s="2" t="str">
        <x:v>RE-005982-1</x:v>
      </x:c>
      <x:c r="D1038" s="2" t="str">
        <x:v>P.E. GOIA-PEÑOTE</x:v>
      </x:c>
      <x:c r="E1038" s="4" t="n">
        <x:v>7.794</x:v>
      </x:c>
      <x:c r="F1038" s="4" t="n">
        <x:f>J1038*1.03</x:f>
        <x:v>7.83624</x:v>
      </x:c>
      <x:c r="G1038" s="4" t="n">
        <x:v>40</x:v>
      </x:c>
      <x:c r="H1038" s="4" t="n">
        <x:v>74.21</x:v>
      </x:c>
      <x:c r="I1038" s="5" t="n">
        <x:f t="shared" si="16">F1038*1000*H1038</x:f>
        <x:v>581527.3703999999</x:v>
      </x:c>
      <x:c r="J1038" t="n">
        <x:v>7.608</x:v>
      </x:c>
    </x:row>
    <x:row r="1039">
      <x:c r="A1039" s="3" t="n">
        <x:v>2023</x:v>
      </x:c>
      <x:c r="B1039" s="2" t="str">
        <x:v>Junio</x:v>
      </x:c>
      <x:c r="C1039" s="2" t="str">
        <x:v>RE-005982-1</x:v>
      </x:c>
      <x:c r="D1039" s="2" t="str">
        <x:v>P.E. GOIA-PEÑOTE</x:v>
      </x:c>
      <x:c r="E1039" s="4" t="n">
        <x:v>6.743</x:v>
      </x:c>
      <x:c r="F1039" s="4" t="n">
        <x:f>J1039*0.99</x:f>
        <x:v>6.53499</x:v>
      </x:c>
      <x:c r="G1039" s="4" t="n">
        <x:v>40</x:v>
      </x:c>
      <x:c r="H1039" s="4" t="n">
        <x:v>93.02</x:v>
      </x:c>
      <x:c r="I1039" s="5" t="n">
        <x:f t="shared" si="16">F1039*1000*H1039</x:f>
        <x:v>607884.7698</x:v>
      </x:c>
      <x:c r="J1039" t="n">
        <x:v>6.601</x:v>
      </x:c>
    </x:row>
    <x:row r="1040">
      <x:c r="A1040" s="3" t="n">
        <x:v>2023</x:v>
      </x:c>
      <x:c r="B1040" s="2" t="str">
        <x:v>Julio</x:v>
      </x:c>
      <x:c r="C1040" s="2" t="str">
        <x:v>RE-005982-1</x:v>
      </x:c>
      <x:c r="D1040" s="2" t="str">
        <x:v>P.E. GOIA-PEÑOTE</x:v>
      </x:c>
      <x:c r="E1040" s="4" t="n">
        <x:v>5.359</x:v>
      </x:c>
      <x:c r="F1040" s="4" t="n">
        <x:f>J1040*0.95</x:f>
        <x:v>4.9723</x:v>
      </x:c>
      <x:c r="G1040" s="4" t="n">
        <x:v>40</x:v>
      </x:c>
      <x:c r="H1040" s="4" t="n">
        <x:v>90.47</x:v>
      </x:c>
      <x:c r="I1040" s="5" t="n">
        <x:f t="shared" si="16">F1040*1000*H1040</x:f>
        <x:v>449843.9809999999</x:v>
      </x:c>
      <x:c r="J1040" t="n">
        <x:v>5.234</x:v>
      </x:c>
    </x:row>
    <x:row r="1041">
      <x:c r="A1041" s="3" t="n">
        <x:v>2023</x:v>
      </x:c>
      <x:c r="B1041" s="2" t="str">
        <x:v>Agosto</x:v>
      </x:c>
      <x:c r="C1041" s="2" t="str">
        <x:v>RE-005982-1</x:v>
      </x:c>
      <x:c r="D1041" s="2" t="str">
        <x:v>P.E. GOIA-PEÑOTE</x:v>
      </x:c>
      <x:c r="E1041" s="4" t="n">
        <x:v>6.578</x:v>
      </x:c>
      <x:c r="F1041" s="4" t="n">
        <x:f>J1041*1.02</x:f>
        <x:v>6.565740000000001</x:v>
      </x:c>
      <x:c r="G1041" s="4" t="n">
        <x:v>40</x:v>
      </x:c>
      <x:c r="H1041" s="4" t="n">
        <x:v>96.05</x:v>
      </x:c>
      <x:c r="I1041" s="5" t="n">
        <x:f t="shared" si="16">F1041*1000*H1041</x:f>
        <x:v>630639.327</x:v>
      </x:c>
      <x:c r="J1041" t="n">
        <x:v>6.437</x:v>
      </x:c>
    </x:row>
    <x:row r="1042">
      <x:c r="A1042" s="3" t="n">
        <x:v>2023</x:v>
      </x:c>
      <x:c r="B1042" s="2" t="str">
        <x:v>Septiembre</x:v>
      </x:c>
      <x:c r="C1042" s="2" t="str">
        <x:v>RE-005982-1</x:v>
      </x:c>
      <x:c r="D1042" s="2" t="str">
        <x:v>P.E. GOIA-PEÑOTE</x:v>
      </x:c>
      <x:c r="E1042" s="4" t="n">
        <x:v>6.226</x:v>
      </x:c>
      <x:c r="F1042" s="4" t="n">
        <x:f>J1042*0.98</x:f>
        <x:v>5.9976</x:v>
      </x:c>
      <x:c r="G1042" s="4" t="n">
        <x:v>40</x:v>
      </x:c>
      <x:c r="H1042" s="4" t="n">
        <x:v>103.34</x:v>
      </x:c>
      <x:c r="I1042" s="5" t="n">
        <x:f t="shared" si="16">F1042*1000*H1042</x:f>
        <x:v>619791.984</x:v>
      </x:c>
      <x:c r="J1042" t="n">
        <x:v>6.12</x:v>
      </x:c>
    </x:row>
    <x:row r="1043">
      <x:c r="A1043" s="3" t="n">
        <x:v>2023</x:v>
      </x:c>
      <x:c r="B1043" s="2" t="str">
        <x:v>Octubre</x:v>
      </x:c>
      <x:c r="C1043" s="2" t="str">
        <x:v>RE-005982-1</x:v>
      </x:c>
      <x:c r="D1043" s="2" t="str">
        <x:v>P.E. GOIA-PEÑOTE</x:v>
      </x:c>
      <x:c r="E1043" s="4" t="n">
        <x:v>8.864</x:v>
      </x:c>
      <x:c r="F1043" s="4" t="n">
        <x:f>J1043*0.94</x:f>
        <x:v>8.186459999999999</x:v>
      </x:c>
      <x:c r="G1043" s="4" t="n">
        <x:v>40</x:v>
      </x:c>
      <x:c r="H1043" s="4" t="n">
        <x:v>90.14</x:v>
      </x:c>
      <x:c r="I1043" s="5" t="n">
        <x:f t="shared" si="16">F1043*1000*H1043</x:f>
        <x:v>737927.5043999999</x:v>
      </x:c>
      <x:c r="J1043" t="n">
        <x:v>8.709</x:v>
      </x:c>
    </x:row>
    <x:row r="1044">
      <x:c r="A1044" s="3" t="n">
        <x:v>2023</x:v>
      </x:c>
      <x:c r="B1044" s="2" t="str">
        <x:v>Noviembre</x:v>
      </x:c>
      <x:c r="C1044" s="2" t="str">
        <x:v>RE-005982-1</x:v>
      </x:c>
      <x:c r="D1044" s="2" t="str">
        <x:v>P.E. GOIA-PEÑOTE</x:v>
      </x:c>
      <x:c r="E1044" s="4" t="n">
        <x:v>10.534</x:v>
      </x:c>
      <x:c r="F1044" s="4" t="n">
        <x:f>J1044*1.01</x:f>
        <x:v>10.390880000000001</x:v>
      </x:c>
      <x:c r="G1044" s="4" t="n">
        <x:v>40</x:v>
      </x:c>
      <x:c r="H1044" s="4" t="n">
        <x:v>63.45</x:v>
      </x:c>
      <x:c r="I1044" s="5" t="n">
        <x:f t="shared" si="16">F1044*1000*H1044</x:f>
        <x:v>659301.3360000001</x:v>
      </x:c>
      <x:c r="J1044" t="n">
        <x:v>10.288</x:v>
      </x:c>
    </x:row>
    <x:row r="1045">
      <x:c r="A1045" s="3" t="n">
        <x:v>2023</x:v>
      </x:c>
      <x:c r="B1045" s="2" t="str">
        <x:v>Diciembre</x:v>
      </x:c>
      <x:c r="C1045" s="2" t="str">
        <x:v>RE-005982-1</x:v>
      </x:c>
      <x:c r="D1045" s="2" t="str">
        <x:v>P.E. GOIA-PEÑOTE</x:v>
      </x:c>
      <x:c r="E1045" s="4" t="n">
        <x:v>9.749</x:v>
      </x:c>
      <x:c r="F1045" s="4" t="n">
        <x:f>J1045*0.97</x:f>
        <x:v>9.279020000000001</x:v>
      </x:c>
      <x:c r="G1045" s="4" t="n">
        <x:v>40</x:v>
      </x:c>
      <x:c r="H1045" s="4" t="n">
        <x:v>72.17</x:v>
      </x:c>
      <x:c r="I1045" s="5" t="n">
        <x:f t="shared" si="16">F1045*1000*H1045</x:f>
        <x:v>669666.8734</x:v>
      </x:c>
      <x:c r="J1045" t="n">
        <x:v>9.566</x:v>
      </x:c>
    </x:row>
    <x:row r="1046">
      <x:c r="A1046" s="3" t="n">
        <x:v>2023</x:v>
      </x:c>
      <x:c r="B1046" s="2" t="str">
        <x:v>Enero</x:v>
      </x:c>
      <x:c r="C1046" s="2" t="str">
        <x:v>RE-005991-1</x:v>
      </x:c>
      <x:c r="D1046" s="2" t="str">
        <x:v>P.E. CARBALLEIRA</x:v>
      </x:c>
      <x:c r="E1046" s="4" t="n">
        <x:v>5.894</x:v>
      </x:c>
      <x:c r="F1046" s="4" t="n">
        <x:f>J1046*1.04</x:f>
        <x:v>5.93528</x:v>
      </x:c>
      <x:c r="G1046" s="4" t="n">
        <x:v>24.42</x:v>
      </x:c>
      <x:c r="H1046" s="4" t="n">
        <x:v>69.55</x:v>
      </x:c>
      <x:c r="I1046" s="5" t="n">
        <x:f t="shared" si="16">F1046*1000*H1046</x:f>
        <x:v>412798.724</x:v>
      </x:c>
      <x:c r="J1046" t="n">
        <x:v>5.707</x:v>
      </x:c>
    </x:row>
    <x:row r="1047">
      <x:c r="A1047" s="3" t="n">
        <x:v>2023</x:v>
      </x:c>
      <x:c r="B1047" s="2" t="str">
        <x:v>Febrero</x:v>
      </x:c>
      <x:c r="C1047" s="2" t="str">
        <x:v>RE-005991-1</x:v>
      </x:c>
      <x:c r="D1047" s="2" t="str">
        <x:v>P.E. CARBALLEIRA</x:v>
      </x:c>
      <x:c r="E1047" s="4" t="n">
        <x:v>5.611</x:v>
      </x:c>
      <x:c r="F1047" s="4" t="n">
        <x:f>J1047*1</x:f>
        <x:v>5.471</x:v>
      </x:c>
      <x:c r="G1047" s="4" t="n">
        <x:v>24.42</x:v>
      </x:c>
      <x:c r="H1047" s="4" t="n">
        <x:v>133.47</x:v>
      </x:c>
      <x:c r="I1047" s="5" t="n">
        <x:f t="shared" si="16">F1047*1000*H1047</x:f>
        <x:v>730214.37</x:v>
      </x:c>
      <x:c r="J1047" t="n">
        <x:v>5.471</x:v>
      </x:c>
    </x:row>
    <x:row r="1048">
      <x:c r="A1048" s="3" t="n">
        <x:v>2023</x:v>
      </x:c>
      <x:c r="B1048" s="2" t="str">
        <x:v>Marzo</x:v>
      </x:c>
      <x:c r="C1048" s="2" t="str">
        <x:v>RE-005991-1</x:v>
      </x:c>
      <x:c r="D1048" s="2" t="str">
        <x:v>P.E. CARBALLEIRA</x:v>
      </x:c>
      <x:c r="E1048" s="4" t="n">
        <x:v>6.287</x:v>
      </x:c>
      <x:c r="F1048" s="4" t="n">
        <x:f>J1048*0.96</x:f>
        <x:v>5.89344</x:v>
      </x:c>
      <x:c r="G1048" s="4" t="n">
        <x:v>24.42</x:v>
      </x:c>
      <x:c r="H1048" s="4" t="n">
        <x:v>89.61</x:v>
      </x:c>
      <x:c r="I1048" s="5" t="n">
        <x:f t="shared" si="16">F1048*1000*H1048</x:f>
        <x:v>528111.1584</x:v>
      </x:c>
      <x:c r="J1048" t="n">
        <x:v>6.139</x:v>
      </x:c>
    </x:row>
    <x:row r="1049">
      <x:c r="A1049" s="3" t="n">
        <x:v>2023</x:v>
      </x:c>
      <x:c r="B1049" s="2" t="str">
        <x:v>Abril</x:v>
      </x:c>
      <x:c r="C1049" s="2" t="str">
        <x:v>RE-005991-1</x:v>
      </x:c>
      <x:c r="D1049" s="2" t="str">
        <x:v>P.E. CARBALLEIRA</x:v>
      </x:c>
      <x:c r="E1049" s="4" t="n">
        <x:v>4.642</x:v>
      </x:c>
      <x:c r="F1049" s="4" t="n">
        <x:f>J1049*1.03</x:f>
        <x:v>4.65045</x:v>
      </x:c>
      <x:c r="G1049" s="4" t="n">
        <x:v>24.42</x:v>
      </x:c>
      <x:c r="H1049" s="4" t="n">
        <x:v>73.73</x:v>
      </x:c>
      <x:c r="I1049" s="5" t="n">
        <x:f t="shared" si="16">F1049*1000*H1049</x:f>
        <x:v>342877.6785</x:v>
      </x:c>
      <x:c r="J1049" t="n">
        <x:v>4.515</x:v>
      </x:c>
    </x:row>
    <x:row r="1050">
      <x:c r="A1050" s="3" t="n">
        <x:v>2023</x:v>
      </x:c>
      <x:c r="B1050" s="2" t="str">
        <x:v>Mayo</x:v>
      </x:c>
      <x:c r="C1050" s="2" t="str">
        <x:v>RE-005991-1</x:v>
      </x:c>
      <x:c r="D1050" s="2" t="str">
        <x:v>P.E. CARBALLEIRA</x:v>
      </x:c>
      <x:c r="E1050" s="4" t="n">
        <x:v>4.48</x:v>
      </x:c>
      <x:c r="F1050" s="4" t="n">
        <x:f>J1050*0.99</x:f>
        <x:v>4.3659</x:v>
      </x:c>
      <x:c r="G1050" s="4" t="n">
        <x:v>24.42</x:v>
      </x:c>
      <x:c r="H1050" s="4" t="n">
        <x:v>74.21</x:v>
      </x:c>
      <x:c r="I1050" s="5" t="n">
        <x:f t="shared" si="16">F1050*1000*H1050</x:f>
        <x:v>323993.43899999995</x:v>
      </x:c>
      <x:c r="J1050" t="n">
        <x:v>4.41</x:v>
      </x:c>
    </x:row>
    <x:row r="1051">
      <x:c r="A1051" s="3" t="n">
        <x:v>2023</x:v>
      </x:c>
      <x:c r="B1051" s="2" t="str">
        <x:v>Junio</x:v>
      </x:c>
      <x:c r="C1051" s="2" t="str">
        <x:v>RE-005991-1</x:v>
      </x:c>
      <x:c r="D1051" s="2" t="str">
        <x:v>P.E. CARBALLEIRA</x:v>
      </x:c>
      <x:c r="E1051" s="4" t="n">
        <x:v>3.862</x:v>
      </x:c>
      <x:c r="F1051" s="4" t="n">
        <x:f>J1051*0.95</x:f>
        <x:v>3.5596499999999995</x:v>
      </x:c>
      <x:c r="G1051" s="4" t="n">
        <x:v>24.42</x:v>
      </x:c>
      <x:c r="H1051" s="4" t="n">
        <x:v>93.02</x:v>
      </x:c>
      <x:c r="I1051" s="5" t="n">
        <x:f t="shared" si="16">F1051*1000*H1051</x:f>
        <x:v>331118.6429999999</x:v>
      </x:c>
      <x:c r="J1051" t="n">
        <x:v>3.747</x:v>
      </x:c>
    </x:row>
    <x:row r="1052">
      <x:c r="A1052" s="3" t="n">
        <x:v>2023</x:v>
      </x:c>
      <x:c r="B1052" s="2" t="str">
        <x:v>Julio</x:v>
      </x:c>
      <x:c r="C1052" s="2" t="str">
        <x:v>RE-005991-1</x:v>
      </x:c>
      <x:c r="D1052" s="2" t="str">
        <x:v>P.E. CARBALLEIRA</x:v>
      </x:c>
      <x:c r="E1052" s="4" t="n">
        <x:v>3.628</x:v>
      </x:c>
      <x:c r="F1052" s="4" t="n">
        <x:f>J1052*1.02</x:f>
        <x:v>3.63732</x:v>
      </x:c>
      <x:c r="G1052" s="4" t="n">
        <x:v>24.42</x:v>
      </x:c>
      <x:c r="H1052" s="4" t="n">
        <x:v>90.47</x:v>
      </x:c>
      <x:c r="I1052" s="5" t="n">
        <x:f t="shared" si="16">F1052*1000*H1052</x:f>
        <x:v>329068.3404</x:v>
      </x:c>
      <x:c r="J1052" t="n">
        <x:v>3.566</x:v>
      </x:c>
    </x:row>
    <x:row r="1053">
      <x:c r="A1053" s="3" t="n">
        <x:v>2023</x:v>
      </x:c>
      <x:c r="B1053" s="2" t="str">
        <x:v>Agosto</x:v>
      </x:c>
      <x:c r="C1053" s="2" t="str">
        <x:v>RE-005991-1</x:v>
      </x:c>
      <x:c r="D1053" s="2" t="str">
        <x:v>P.E. CARBALLEIRA</x:v>
      </x:c>
      <x:c r="E1053" s="4" t="n">
        <x:v>3.28</x:v>
      </x:c>
      <x:c r="F1053" s="4" t="n">
        <x:f>J1053*0.98</x:f>
        <x:v>3.1232599999999997</x:v>
      </x:c>
      <x:c r="G1053" s="4" t="n">
        <x:v>24.42</x:v>
      </x:c>
      <x:c r="H1053" s="4" t="n">
        <x:v>96.05</x:v>
      </x:c>
      <x:c r="I1053" s="5" t="n">
        <x:f t="shared" si="16">F1053*1000*H1053</x:f>
        <x:v>299989.12299999996</x:v>
      </x:c>
      <x:c r="J1053" t="n">
        <x:v>3.187</x:v>
      </x:c>
    </x:row>
    <x:row r="1054">
      <x:c r="A1054" s="3" t="n">
        <x:v>2023</x:v>
      </x:c>
      <x:c r="B1054" s="2" t="str">
        <x:v>Septiembre</x:v>
      </x:c>
      <x:c r="C1054" s="2" t="str">
        <x:v>RE-005991-1</x:v>
      </x:c>
      <x:c r="D1054" s="2" t="str">
        <x:v>P.E. CARBALLEIRA</x:v>
      </x:c>
      <x:c r="E1054" s="4" t="n">
        <x:v>4.213</x:v>
      </x:c>
      <x:c r="F1054" s="4" t="n">
        <x:f>J1054*0.94</x:f>
        <x:v>3.90006</x:v>
      </x:c>
      <x:c r="G1054" s="4" t="n">
        <x:v>24.42</x:v>
      </x:c>
      <x:c r="H1054" s="4" t="n">
        <x:v>103.34</x:v>
      </x:c>
      <x:c r="I1054" s="5" t="n">
        <x:f t="shared" si="16">F1054*1000*H1054</x:f>
        <x:v>403032.20040000003</x:v>
      </x:c>
      <x:c r="J1054" t="n">
        <x:v>4.149</x:v>
      </x:c>
    </x:row>
    <x:row r="1055">
      <x:c r="A1055" s="3" t="n">
        <x:v>2023</x:v>
      </x:c>
      <x:c r="B1055" s="2" t="str">
        <x:v>Octubre</x:v>
      </x:c>
      <x:c r="C1055" s="2" t="str">
        <x:v>RE-005991-1</x:v>
      </x:c>
      <x:c r="D1055" s="2" t="str">
        <x:v>P.E. CARBALLEIRA</x:v>
      </x:c>
      <x:c r="E1055" s="4" t="n">
        <x:v>5.108</x:v>
      </x:c>
      <x:c r="F1055" s="4" t="n">
        <x:f>J1055*1.01</x:f>
        <x:v>5.0166699999999995</x:v>
      </x:c>
      <x:c r="G1055" s="4" t="n">
        <x:v>24.42</x:v>
      </x:c>
      <x:c r="H1055" s="4" t="n">
        <x:v>90.14</x:v>
      </x:c>
      <x:c r="I1055" s="5" t="n">
        <x:f t="shared" si="16">F1055*1000*H1055</x:f>
        <x:v>452202.63379999995</x:v>
      </x:c>
      <x:c r="J1055" t="n">
        <x:v>4.967</x:v>
      </x:c>
    </x:row>
    <x:row r="1056">
      <x:c r="A1056" s="3" t="n">
        <x:v>2023</x:v>
      </x:c>
      <x:c r="B1056" s="2" t="str">
        <x:v>Noviembre</x:v>
      </x:c>
      <x:c r="C1056" s="2" t="str">
        <x:v>RE-005991-1</x:v>
      </x:c>
      <x:c r="D1056" s="2" t="str">
        <x:v>P.E. CARBALLEIRA</x:v>
      </x:c>
      <x:c r="E1056" s="4" t="n">
        <x:v>5.062</x:v>
      </x:c>
      <x:c r="F1056" s="4" t="n">
        <x:f>J1056*0.97</x:f>
        <x:v>4.7966500000000005</x:v>
      </x:c>
      <x:c r="G1056" s="4" t="n">
        <x:v>24.42</x:v>
      </x:c>
      <x:c r="H1056" s="4" t="n">
        <x:v>63.45</x:v>
      </x:c>
      <x:c r="I1056" s="5" t="n">
        <x:f t="shared" si="16">F1056*1000*H1056</x:f>
        <x:v>304347.44250000006</x:v>
      </x:c>
      <x:c r="J1056" t="n">
        <x:v>4.945</x:v>
      </x:c>
    </x:row>
    <x:row r="1057">
      <x:c r="A1057" s="3" t="n">
        <x:v>2023</x:v>
      </x:c>
      <x:c r="B1057" s="2" t="str">
        <x:v>Diciembre</x:v>
      </x:c>
      <x:c r="C1057" s="2" t="str">
        <x:v>RE-005991-1</x:v>
      </x:c>
      <x:c r="D1057" s="2" t="str">
        <x:v>P.E. CARBALLEIRA</x:v>
      </x:c>
      <x:c r="E1057" s="4" t="n">
        <x:v>6.195</x:v>
      </x:c>
      <x:c r="F1057" s="4" t="n">
        <x:f>J1057*1.04</x:f>
        <x:v>6.24208</x:v>
      </x:c>
      <x:c r="G1057" s="4" t="n">
        <x:v>24.42</x:v>
      </x:c>
      <x:c r="H1057" s="4" t="n">
        <x:v>72.17</x:v>
      </x:c>
      <x:c r="I1057" s="5" t="n">
        <x:f t="shared" si="16">F1057*1000*H1057</x:f>
        <x:v>450490.9136</x:v>
      </x:c>
      <x:c r="J1057" t="n">
        <x:v>6.002</x:v>
      </x:c>
    </x:row>
    <x:row r="1058">
      <x:c r="A1058" s="3" t="n">
        <x:v>2023</x:v>
      </x:c>
      <x:c r="B1058" s="2" t="str">
        <x:v>Enero</x:v>
      </x:c>
      <x:c r="C1058" s="2" t="str">
        <x:v>RE-006216-1</x:v>
      </x:c>
      <x:c r="D1058" s="2" t="str">
        <x:v>P.E. SERRA DE MEIRA</x:v>
      </x:c>
      <x:c r="E1058" s="4" t="n">
        <x:v>12.859</x:v>
      </x:c>
      <x:c r="F1058" s="4" t="n">
        <x:f>J1058*1</x:f>
        <x:v>12.635</x:v>
      </x:c>
      <x:c r="G1058" s="4" t="n">
        <x:v>49.3</x:v>
      </x:c>
      <x:c r="H1058" s="4" t="n">
        <x:v>69.55</x:v>
      </x:c>
      <x:c r="I1058" s="5" t="n">
        <x:f t="shared" si="16">F1058*1000*H1058</x:f>
        <x:v>878764.25</x:v>
      </x:c>
      <x:c r="J1058" t="n">
        <x:v>12.635</x:v>
      </x:c>
    </x:row>
    <x:row r="1059">
      <x:c r="A1059" s="3" t="n">
        <x:v>2023</x:v>
      </x:c>
      <x:c r="B1059" s="2" t="str">
        <x:v>Febrero</x:v>
      </x:c>
      <x:c r="C1059" s="2" t="str">
        <x:v>RE-006216-1</x:v>
      </x:c>
      <x:c r="D1059" s="2" t="str">
        <x:v>P.E. SERRA DE MEIRA</x:v>
      </x:c>
      <x:c r="E1059" s="4" t="n">
        <x:v>12.923</x:v>
      </x:c>
      <x:c r="F1059" s="4" t="n">
        <x:f>J1059*0.96</x:f>
        <x:v>12.19392</x:v>
      </x:c>
      <x:c r="G1059" s="4" t="n">
        <x:v>49.3</x:v>
      </x:c>
      <x:c r="H1059" s="4" t="n">
        <x:v>133.47</x:v>
      </x:c>
      <x:c r="I1059" s="5" t="n">
        <x:f t="shared" si="16">F1059*1000*H1059</x:f>
        <x:v>1627522.5023999999</x:v>
      </x:c>
      <x:c r="J1059" t="n">
        <x:v>12.702</x:v>
      </x:c>
    </x:row>
    <x:row r="1060">
      <x:c r="A1060" s="3" t="n">
        <x:v>2023</x:v>
      </x:c>
      <x:c r="B1060" s="2" t="str">
        <x:v>Marzo</x:v>
      </x:c>
      <x:c r="C1060" s="2" t="str">
        <x:v>RE-006216-1</x:v>
      </x:c>
      <x:c r="D1060" s="2" t="str">
        <x:v>P.E. SERRA DE MEIRA</x:v>
      </x:c>
      <x:c r="E1060" s="4" t="n">
        <x:v>12.629</x:v>
      </x:c>
      <x:c r="F1060" s="4" t="n">
        <x:f>J1060*1.03</x:f>
        <x:v>12.61029</x:v>
      </x:c>
      <x:c r="G1060" s="4" t="n">
        <x:v>49.3</x:v>
      </x:c>
      <x:c r="H1060" s="4" t="n">
        <x:v>89.61</x:v>
      </x:c>
      <x:c r="I1060" s="5" t="n">
        <x:f t="shared" si="16">F1060*1000*H1060</x:f>
        <x:v>1130008.0869</x:v>
      </x:c>
      <x:c r="J1060" t="n">
        <x:v>12.243</x:v>
      </x:c>
    </x:row>
    <x:row r="1061">
      <x:c r="A1061" s="3" t="n">
        <x:v>2023</x:v>
      </x:c>
      <x:c r="B1061" s="2" t="str">
        <x:v>Abril</x:v>
      </x:c>
      <x:c r="C1061" s="2" t="str">
        <x:v>RE-006216-1</x:v>
      </x:c>
      <x:c r="D1061" s="2" t="str">
        <x:v>P.E. SERRA DE MEIRA</x:v>
      </x:c>
      <x:c r="E1061" s="4" t="n">
        <x:v>11.359</x:v>
      </x:c>
      <x:c r="F1061" s="4" t="n">
        <x:f>J1061*0.99</x:f>
        <x:v>10.97316</x:v>
      </x:c>
      <x:c r="G1061" s="4" t="n">
        <x:v>49.3</x:v>
      </x:c>
      <x:c r="H1061" s="4" t="n">
        <x:v>73.73</x:v>
      </x:c>
      <x:c r="I1061" s="5" t="n">
        <x:f t="shared" si="16">F1061*1000*H1061</x:f>
        <x:v>809051.0868</x:v>
      </x:c>
      <x:c r="J1061" t="n">
        <x:v>11.084</x:v>
      </x:c>
    </x:row>
    <x:row r="1062">
      <x:c r="A1062" s="3" t="n">
        <x:v>2023</x:v>
      </x:c>
      <x:c r="B1062" s="2" t="str">
        <x:v>Mayo</x:v>
      </x:c>
      <x:c r="C1062" s="2" t="str">
        <x:v>RE-006216-1</x:v>
      </x:c>
      <x:c r="D1062" s="2" t="str">
        <x:v>P.E. SERRA DE MEIRA</x:v>
      </x:c>
      <x:c r="E1062" s="4" t="n">
        <x:v>8.881</x:v>
      </x:c>
      <x:c r="F1062" s="4" t="n">
        <x:f>J1062*0.95</x:f>
        <x:v>8.183300000000001</x:v>
      </x:c>
      <x:c r="G1062" s="4" t="n">
        <x:v>49.3</x:v>
      </x:c>
      <x:c r="H1062" s="4" t="n">
        <x:v>74.21</x:v>
      </x:c>
      <x:c r="I1062" s="5" t="n">
        <x:f t="shared" si="16">F1062*1000*H1062</x:f>
        <x:v>607282.6930000001</x:v>
      </x:c>
      <x:c r="J1062" t="n">
        <x:v>8.614</x:v>
      </x:c>
    </x:row>
    <x:row r="1063">
      <x:c r="A1063" s="3" t="n">
        <x:v>2023</x:v>
      </x:c>
      <x:c r="B1063" s="2" t="str">
        <x:v>Junio</x:v>
      </x:c>
      <x:c r="C1063" s="2" t="str">
        <x:v>RE-006216-1</x:v>
      </x:c>
      <x:c r="D1063" s="2" t="str">
        <x:v>P.E. SERRA DE MEIRA</x:v>
      </x:c>
      <x:c r="E1063" s="4" t="n">
        <x:v>7.874</x:v>
      </x:c>
      <x:c r="F1063" s="4" t="n">
        <x:f>J1063*1.02</x:f>
        <x:v>7.86318</x:v>
      </x:c>
      <x:c r="G1063" s="4" t="n">
        <x:v>49.3</x:v>
      </x:c>
      <x:c r="H1063" s="4" t="n">
        <x:v>93.02</x:v>
      </x:c>
      <x:c r="I1063" s="5" t="n">
        <x:f t="shared" si="16">F1063*1000*H1063</x:f>
        <x:v>731433.0035999999</x:v>
      </x:c>
      <x:c r="J1063" t="n">
        <x:v>7.709</x:v>
      </x:c>
    </x:row>
    <x:row r="1064">
      <x:c r="A1064" s="3" t="n">
        <x:v>2023</x:v>
      </x:c>
      <x:c r="B1064" s="2" t="str">
        <x:v>Julio</x:v>
      </x:c>
      <x:c r="C1064" s="2" t="str">
        <x:v>RE-006216-1</x:v>
      </x:c>
      <x:c r="D1064" s="2" t="str">
        <x:v>P.E. SERRA DE MEIRA</x:v>
      </x:c>
      <x:c r="E1064" s="4" t="n">
        <x:v>6.822</x:v>
      </x:c>
      <x:c r="F1064" s="4" t="n">
        <x:f>J1064*0.98</x:f>
        <x:v>6.554239999999999</x:v>
      </x:c>
      <x:c r="G1064" s="4" t="n">
        <x:v>49.3</x:v>
      </x:c>
      <x:c r="H1064" s="4" t="n">
        <x:v>90.47</x:v>
      </x:c>
      <x:c r="I1064" s="5" t="n">
        <x:f t="shared" si="16">F1064*1000*H1064</x:f>
        <x:v>592962.0927999999</x:v>
      </x:c>
      <x:c r="J1064" t="n">
        <x:v>6.688</x:v>
      </x:c>
    </x:row>
    <x:row r="1065">
      <x:c r="A1065" s="3" t="n">
        <x:v>2023</x:v>
      </x:c>
      <x:c r="B1065" s="2" t="str">
        <x:v>Agosto</x:v>
      </x:c>
      <x:c r="C1065" s="2" t="str">
        <x:v>RE-006216-1</x:v>
      </x:c>
      <x:c r="D1065" s="2" t="str">
        <x:v>P.E. SERRA DE MEIRA</x:v>
      </x:c>
      <x:c r="E1065" s="4" t="n">
        <x:v>7.788</x:v>
      </x:c>
      <x:c r="F1065" s="4" t="n">
        <x:f>J1065*0.94</x:f>
        <x:v>7.10076</x:v>
      </x:c>
      <x:c r="G1065" s="4" t="n">
        <x:v>49.3</x:v>
      </x:c>
      <x:c r="H1065" s="4" t="n">
        <x:v>96.05</x:v>
      </x:c>
      <x:c r="I1065" s="5" t="n">
        <x:f t="shared" si="16">F1065*1000*H1065</x:f>
        <x:v>682027.998</x:v>
      </x:c>
      <x:c r="J1065" t="n">
        <x:v>7.554</x:v>
      </x:c>
    </x:row>
    <x:row r="1066">
      <x:c r="A1066" s="3" t="n">
        <x:v>2023</x:v>
      </x:c>
      <x:c r="B1066" s="2" t="str">
        <x:v>Septiembre</x:v>
      </x:c>
      <x:c r="C1066" s="2" t="str">
        <x:v>RE-006216-1</x:v>
      </x:c>
      <x:c r="D1066" s="2" t="str">
        <x:v>P.E. SERRA DE MEIRA</x:v>
      </x:c>
      <x:c r="E1066" s="4" t="n">
        <x:v>9.969</x:v>
      </x:c>
      <x:c r="F1066" s="4" t="n">
        <x:f>J1066*1.01</x:f>
        <x:v>9.81316</x:v>
      </x:c>
      <x:c r="G1066" s="4" t="n">
        <x:v>49.3</x:v>
      </x:c>
      <x:c r="H1066" s="4" t="n">
        <x:v>103.34</x:v>
      </x:c>
      <x:c r="I1066" s="5" t="n">
        <x:f t="shared" si="16">F1066*1000*H1066</x:f>
        <x:v>1014091.9544</x:v>
      </x:c>
      <x:c r="J1066" t="n">
        <x:v>9.716</x:v>
      </x:c>
    </x:row>
    <x:row r="1067">
      <x:c r="A1067" s="3" t="n">
        <x:v>2023</x:v>
      </x:c>
      <x:c r="B1067" s="2" t="str">
        <x:v>Octubre</x:v>
      </x:c>
      <x:c r="C1067" s="2" t="str">
        <x:v>RE-006216-1</x:v>
      </x:c>
      <x:c r="D1067" s="2" t="str">
        <x:v>P.E. SERRA DE MEIRA</x:v>
      </x:c>
      <x:c r="E1067" s="4" t="n">
        <x:v>13.118</x:v>
      </x:c>
      <x:c r="F1067" s="4" t="n">
        <x:f>J1067*0.97</x:f>
        <x:v>12.43152</x:v>
      </x:c>
      <x:c r="G1067" s="4" t="n">
        <x:v>49.3</x:v>
      </x:c>
      <x:c r="H1067" s="4" t="n">
        <x:v>90.14</x:v>
      </x:c>
      <x:c r="I1067" s="5" t="n">
        <x:f t="shared" si="16">F1067*1000*H1067</x:f>
        <x:v>1120577.2128</x:v>
      </x:c>
      <x:c r="J1067" t="n">
        <x:v>12.816</x:v>
      </x:c>
    </x:row>
    <x:row r="1068">
      <x:c r="A1068" s="3" t="n">
        <x:v>2023</x:v>
      </x:c>
      <x:c r="B1068" s="2" t="str">
        <x:v>Noviembre</x:v>
      </x:c>
      <x:c r="C1068" s="2" t="str">
        <x:v>RE-006216-1</x:v>
      </x:c>
      <x:c r="D1068" s="2" t="str">
        <x:v>P.E. SERRA DE MEIRA</x:v>
      </x:c>
      <x:c r="E1068" s="4" t="n">
        <x:v>12.684</x:v>
      </x:c>
      <x:c r="F1068" s="4" t="n">
        <x:f>J1068*1.04</x:f>
        <x:v>12.988560000000001</x:v>
      </x:c>
      <x:c r="G1068" s="4" t="n">
        <x:v>49.3</x:v>
      </x:c>
      <x:c r="H1068" s="4" t="n">
        <x:v>63.45</x:v>
      </x:c>
      <x:c r="I1068" s="5" t="n">
        <x:f t="shared" si="16">F1068*1000*H1068</x:f>
        <x:v>824124.1320000001</x:v>
      </x:c>
      <x:c r="J1068" t="n">
        <x:v>12.489</x:v>
      </x:c>
    </x:row>
    <x:row r="1069">
      <x:c r="A1069" s="3" t="n">
        <x:v>2023</x:v>
      </x:c>
      <x:c r="B1069" s="2" t="str">
        <x:v>Diciembre</x:v>
      </x:c>
      <x:c r="C1069" s="2" t="str">
        <x:v>RE-006216-1</x:v>
      </x:c>
      <x:c r="D1069" s="2" t="str">
        <x:v>P.E. SERRA DE MEIRA</x:v>
      </x:c>
      <x:c r="E1069" s="4" t="n">
        <x:v>15.324</x:v>
      </x:c>
      <x:c r="F1069" s="4" t="n">
        <x:f>J1069*1</x:f>
        <x:v>14.883</x:v>
      </x:c>
      <x:c r="G1069" s="4" t="n">
        <x:v>49.3</x:v>
      </x:c>
      <x:c r="H1069" s="4" t="n">
        <x:v>72.17</x:v>
      </x:c>
      <x:c r="I1069" s="5" t="n">
        <x:f t="shared" si="16">F1069*1000*H1069</x:f>
        <x:v>1074106.11</x:v>
      </x:c>
      <x:c r="J1069" t="n">
        <x:v>14.883</x:v>
      </x:c>
    </x:row>
    <x:row r="1070">
      <x:c r="A1070" s="3" t="n">
        <x:v>2023</x:v>
      </x:c>
      <x:c r="B1070" s="2" t="str">
        <x:v>Enero</x:v>
      </x:c>
      <x:c r="C1070" s="2" t="str">
        <x:v>RE-006222-1</x:v>
      </x:c>
      <x:c r="D1070" s="2" t="str">
        <x:v>P.E. MONTOUTO 2000</x:v>
      </x:c>
      <x:c r="E1070" s="4" t="n">
        <x:v>10.636666666666667</x:v>
      </x:c>
      <x:c r="F1070" s="4" t="n">
        <x:f>J1070*0.96</x:f>
        <x:v>10.016</x:v>
      </x:c>
      <x:c r="G1070" s="4" t="n">
        <x:v>39.75</x:v>
      </x:c>
      <x:c r="H1070" s="4" t="n">
        <x:v>69.55</x:v>
      </x:c>
      <x:c r="I1070" s="5" t="n">
        <x:f t="shared" si="16">F1070*1000*H1070</x:f>
        <x:v>696612.7999999999</x:v>
      </x:c>
      <x:c r="J1070" t="n">
        <x:v>10.433333333333334</x:v>
      </x:c>
    </x:row>
    <x:row r="1071">
      <x:c r="A1071" s="3" t="n">
        <x:v>2023</x:v>
      </x:c>
      <x:c r="B1071" s="2" t="str">
        <x:v>Enero</x:v>
      </x:c>
      <x:c r="C1071" s="2" t="str">
        <x:v>RE-006222-2</x:v>
      </x:c>
      <x:c r="D1071" s="2" t="str">
        <x:v>P.E. MONTOUTO 2000</x:v>
      </x:c>
      <x:c r="E1071" s="4" t="n">
        <x:v>2.1273333333333326</x:v>
      </x:c>
      <x:c r="F1071" s="4" t="n">
        <x:f>J1071*0.96</x:f>
        <x:v>2.003199999999999</x:v>
      </x:c>
      <x:c r="G1071" s="4" t="n">
        <x:v>7.95</x:v>
      </x:c>
      <x:c r="H1071" s="4" t="n">
        <x:v>69.55</x:v>
      </x:c>
      <x:c r="I1071" s="5" t="n">
        <x:f t="shared" si="16">F1071*1000*H1071</x:f>
        <x:v>139322.55999999994</x:v>
      </x:c>
      <x:c r="J1071" t="n">
        <x:v>2.086666666666666</x:v>
      </x:c>
    </x:row>
    <x:row r="1072">
      <x:c r="A1072" s="3" t="n">
        <x:v>2023</x:v>
      </x:c>
      <x:c r="B1072" s="2" t="str">
        <x:v>Febrero</x:v>
      </x:c>
      <x:c r="C1072" s="2" t="str">
        <x:v>RE-006222-1</x:v>
      </x:c>
      <x:c r="D1072" s="2" t="str">
        <x:v>P.E. MONTOUTO 2000</x:v>
      </x:c>
      <x:c r="E1072" s="4" t="n">
        <x:v>9.965</x:v>
      </x:c>
      <x:c r="F1072" s="4" t="n">
        <x:f>J1072*1.03</x:f>
        <x:v>9.950658333333333</x:v>
      </x:c>
      <x:c r="G1072" s="4" t="n">
        <x:v>39.75</x:v>
      </x:c>
      <x:c r="H1072" s="4" t="n">
        <x:v>133.47</x:v>
      </x:c>
      <x:c r="I1072" s="5" t="n">
        <x:f t="shared" si="16">F1072*1000*H1072</x:f>
        <x:v>1328114.36775</x:v>
      </x:c>
      <x:c r="J1072" t="n">
        <x:v>9.660833333333333</x:v>
      </x:c>
    </x:row>
    <x:row r="1073">
      <x:c r="A1073" s="3" t="n">
        <x:v>2023</x:v>
      </x:c>
      <x:c r="B1073" s="2" t="str">
        <x:v>Febrero</x:v>
      </x:c>
      <x:c r="C1073" s="2" t="str">
        <x:v>RE-006222-2</x:v>
      </x:c>
      <x:c r="D1073" s="2" t="str">
        <x:v>P.E. MONTOUTO 2000</x:v>
      </x:c>
      <x:c r="E1073" s="4" t="n">
        <x:v>1.9930000000000003</x:v>
      </x:c>
      <x:c r="F1073" s="4" t="n">
        <x:f>J1073*1.03</x:f>
        <x:v>1.9901316666666673</x:v>
      </x:c>
      <x:c r="G1073" s="4" t="n">
        <x:v>7.95</x:v>
      </x:c>
      <x:c r="H1073" s="4" t="n">
        <x:v>133.47</x:v>
      </x:c>
      <x:c r="I1073" s="5" t="n">
        <x:f t="shared" si="16">F1073*1000*H1073</x:f>
        <x:v>265622.8735500001</x:v>
      </x:c>
      <x:c r="J1073" t="n">
        <x:v>1.9321666666666673</x:v>
      </x:c>
    </x:row>
    <x:row r="1074">
      <x:c r="A1074" s="3" t="n">
        <x:v>2023</x:v>
      </x:c>
      <x:c r="B1074" s="2" t="str">
        <x:v>Marzo</x:v>
      </x:c>
      <x:c r="C1074" s="2" t="str">
        <x:v>RE-006222-1</x:v>
      </x:c>
      <x:c r="D1074" s="2" t="str">
        <x:v>P.E. MONTOUTO 2000</x:v>
      </x:c>
      <x:c r="E1074" s="4" t="n">
        <x:v>10.048333333333334</x:v>
      </x:c>
      <x:c r="F1074" s="4" t="n">
        <x:f>J1074*0.99</x:f>
        <x:v>9.69045</x:v>
      </x:c>
      <x:c r="G1074" s="4" t="n">
        <x:v>39.75</x:v>
      </x:c>
      <x:c r="H1074" s="4" t="n">
        <x:v>89.61</x:v>
      </x:c>
      <x:c r="I1074" s="5" t="n">
        <x:f t="shared" si="16">F1074*1000*H1074</x:f>
        <x:v>868361.2245</x:v>
      </x:c>
      <x:c r="J1074" t="n">
        <x:v>9.788333333333334</x:v>
      </x:c>
    </x:row>
    <x:row r="1075">
      <x:c r="A1075" s="3" t="n">
        <x:v>2023</x:v>
      </x:c>
      <x:c r="B1075" s="2" t="str">
        <x:v>Marzo</x:v>
      </x:c>
      <x:c r="C1075" s="2" t="str">
        <x:v>RE-006222-2</x:v>
      </x:c>
      <x:c r="D1075" s="2" t="str">
        <x:v>P.E. MONTOUTO 2000</x:v>
      </x:c>
      <x:c r="E1075" s="4" t="n">
        <x:v>2.009666666666666</x:v>
      </x:c>
      <x:c r="F1075" s="4" t="n">
        <x:f>J1075*0.99</x:f>
        <x:v>1.9380899999999999</x:v>
      </x:c>
      <x:c r="G1075" s="4" t="n">
        <x:v>7.95</x:v>
      </x:c>
      <x:c r="H1075" s="4" t="n">
        <x:v>89.61</x:v>
      </x:c>
      <x:c r="I1075" s="5" t="n">
        <x:f t="shared" si="16">F1075*1000*H1075</x:f>
        <x:v>173672.2449</x:v>
      </x:c>
      <x:c r="J1075" t="n">
        <x:v>1.9576666666666664</x:v>
      </x:c>
    </x:row>
    <x:row r="1076">
      <x:c r="A1076" s="3" t="n">
        <x:v>2023</x:v>
      </x:c>
      <x:c r="B1076" s="2" t="str">
        <x:v>Abril</x:v>
      </x:c>
      <x:c r="C1076" s="2" t="str">
        <x:v>RE-006222-1</x:v>
      </x:c>
      <x:c r="D1076" s="2" t="str">
        <x:v>P.E. MONTOUTO 2000</x:v>
      </x:c>
      <x:c r="E1076" s="4" t="n">
        <x:v>8.786666666666667</x:v>
      </x:c>
      <x:c r="F1076" s="4" t="n">
        <x:f>J1076*0.95</x:f>
        <x:v>8.119333333333334</x:v>
      </x:c>
      <x:c r="G1076" s="4" t="n">
        <x:v>39.75</x:v>
      </x:c>
      <x:c r="H1076" s="4" t="n">
        <x:v>73.73</x:v>
      </x:c>
      <x:c r="I1076" s="5" t="n">
        <x:f t="shared" si="16">F1076*1000*H1076</x:f>
        <x:v>598638.4466666668</x:v>
      </x:c>
      <x:c r="J1076" t="n">
        <x:v>8.546666666666667</x:v>
      </x:c>
    </x:row>
    <x:row r="1077">
      <x:c r="A1077" s="3" t="n">
        <x:v>2023</x:v>
      </x:c>
      <x:c r="B1077" s="2" t="str">
        <x:v>Abril</x:v>
      </x:c>
      <x:c r="C1077" s="2" t="str">
        <x:v>RE-006222-2</x:v>
      </x:c>
      <x:c r="D1077" s="2" t="str">
        <x:v>P.E. MONTOUTO 2000</x:v>
      </x:c>
      <x:c r="E1077" s="4" t="n">
        <x:v>1.7573333333333334</x:v>
      </x:c>
      <x:c r="F1077" s="4" t="n">
        <x:f>J1077*0.95</x:f>
        <x:v>1.6238666666666666</x:v>
      </x:c>
      <x:c r="G1077" s="4" t="n">
        <x:v>7.95</x:v>
      </x:c>
      <x:c r="H1077" s="4" t="n">
        <x:v>73.73</x:v>
      </x:c>
      <x:c r="I1077" s="5" t="n">
        <x:f t="shared" si="16">F1077*1000*H1077</x:f>
        <x:v>119727.68933333333</x:v>
      </x:c>
      <x:c r="J1077" t="n">
        <x:v>1.7093333333333334</x:v>
      </x:c>
    </x:row>
    <x:row r="1078">
      <x:c r="A1078" s="3" t="n">
        <x:v>2023</x:v>
      </x:c>
      <x:c r="B1078" s="2" t="str">
        <x:v>Mayo</x:v>
      </x:c>
      <x:c r="C1078" s="2" t="str">
        <x:v>RE-006222-1</x:v>
      </x:c>
      <x:c r="D1078" s="2" t="str">
        <x:v>P.E. MONTOUTO 2000</x:v>
      </x:c>
      <x:c r="E1078" s="4" t="n">
        <x:v>7.340833333333333</x:v>
      </x:c>
      <x:c r="F1078" s="4" t="n">
        <x:f>J1078*1.02</x:f>
        <x:v>7.2658</x:v>
      </x:c>
      <x:c r="G1078" s="4" t="n">
        <x:v>39.75</x:v>
      </x:c>
      <x:c r="H1078" s="4" t="n">
        <x:v>74.21</x:v>
      </x:c>
      <x:c r="I1078" s="5" t="n">
        <x:f t="shared" si="16">F1078*1000*H1078</x:f>
        <x:v>539195.0179999999</x:v>
      </x:c>
      <x:c r="J1078" t="n">
        <x:v>7.123333333333333</x:v>
      </x:c>
    </x:row>
    <x:row r="1079">
      <x:c r="A1079" s="3" t="n">
        <x:v>2023</x:v>
      </x:c>
      <x:c r="B1079" s="2" t="str">
        <x:v>Mayo</x:v>
      </x:c>
      <x:c r="C1079" s="2" t="str">
        <x:v>RE-006222-2</x:v>
      </x:c>
      <x:c r="D1079" s="2" t="str">
        <x:v>P.E. MONTOUTO 2000</x:v>
      </x:c>
      <x:c r="E1079" s="4" t="n">
        <x:v>1.468166666666666</x:v>
      </x:c>
      <x:c r="F1079" s="4" t="n">
        <x:f>J1079*1.02</x:f>
        <x:v>1.4531600000000002</x:v>
      </x:c>
      <x:c r="G1079" s="4" t="n">
        <x:v>7.95</x:v>
      </x:c>
      <x:c r="H1079" s="4" t="n">
        <x:v>74.21</x:v>
      </x:c>
      <x:c r="I1079" s="5" t="n">
        <x:f t="shared" si="16">F1079*1000*H1079</x:f>
        <x:v>107839.00360000001</x:v>
      </x:c>
      <x:c r="J1079" t="n">
        <x:v>1.424666666666667</x:v>
      </x:c>
    </x:row>
    <x:row r="1080">
      <x:c r="A1080" s="3" t="n">
        <x:v>2023</x:v>
      </x:c>
      <x:c r="B1080" s="2" t="str">
        <x:v>Junio</x:v>
      </x:c>
      <x:c r="C1080" s="2" t="str">
        <x:v>RE-006222-1</x:v>
      </x:c>
      <x:c r="D1080" s="2" t="str">
        <x:v>P.E. MONTOUTO 2000</x:v>
      </x:c>
      <x:c r="E1080" s="4" t="n">
        <x:v>5.705</x:v>
      </x:c>
      <x:c r="F1080" s="4" t="n">
        <x:f>J1080*0.98</x:f>
        <x:v>5.438183333333333</x:v>
      </x:c>
      <x:c r="G1080" s="4" t="n">
        <x:v>39.75</x:v>
      </x:c>
      <x:c r="H1080" s="4" t="n">
        <x:v>93.02</x:v>
      </x:c>
      <x:c r="I1080" s="5" t="n">
        <x:f t="shared" si="16">F1080*1000*H1080</x:f>
        <x:v>505859.81366666657</x:v>
      </x:c>
      <x:c r="J1080" t="n">
        <x:v>5.549166666666666</x:v>
      </x:c>
    </x:row>
    <x:row r="1081">
      <x:c r="A1081" s="3" t="n">
        <x:v>2023</x:v>
      </x:c>
      <x:c r="B1081" s="2" t="str">
        <x:v>Junio</x:v>
      </x:c>
      <x:c r="C1081" s="2" t="str">
        <x:v>RE-006222-2</x:v>
      </x:c>
      <x:c r="D1081" s="2" t="str">
        <x:v>P.E. MONTOUTO 2000</x:v>
      </x:c>
      <x:c r="E1081" s="4" t="n">
        <x:v>1.141</x:v>
      </x:c>
      <x:c r="F1081" s="4" t="n">
        <x:f>J1081*0.98</x:f>
        <x:v>1.0876366666666668</x:v>
      </x:c>
      <x:c r="G1081" s="4" t="n">
        <x:v>7.95</x:v>
      </x:c>
      <x:c r="H1081" s="4" t="n">
        <x:v>93.02</x:v>
      </x:c>
      <x:c r="I1081" s="5" t="n">
        <x:f t="shared" si="16">F1081*1000*H1081</x:f>
        <x:v>101171.96273333333</x:v>
      </x:c>
      <x:c r="J1081" t="n">
        <x:v>1.1098333333333334</x:v>
      </x:c>
    </x:row>
    <x:row r="1082">
      <x:c r="A1082" s="3" t="n">
        <x:v>2023</x:v>
      </x:c>
      <x:c r="B1082" s="2" t="str">
        <x:v>Julio</x:v>
      </x:c>
      <x:c r="C1082" s="2" t="str">
        <x:v>RE-006222-1</x:v>
      </x:c>
      <x:c r="D1082" s="2" t="str">
        <x:v>P.E. MONTOUTO 2000</x:v>
      </x:c>
      <x:c r="E1082" s="4" t="n">
        <x:v>5.5183333333333335</x:v>
      </x:c>
      <x:c r="F1082" s="4" t="n">
        <x:f>J1082*0.94</x:f>
        <x:v>5.086966666666667</x:v>
      </x:c>
      <x:c r="G1082" s="4" t="n">
        <x:v>39.75</x:v>
      </x:c>
      <x:c r="H1082" s="4" t="n">
        <x:v>90.47</x:v>
      </x:c>
      <x:c r="I1082" s="5" t="n">
        <x:f t="shared" si="16">F1082*1000*H1082</x:f>
        <x:v>460217.8743333334</x:v>
      </x:c>
      <x:c r="J1082" t="n">
        <x:v>5.411666666666667</x:v>
      </x:c>
    </x:row>
    <x:row r="1083">
      <x:c r="A1083" s="3" t="n">
        <x:v>2023</x:v>
      </x:c>
      <x:c r="B1083" s="2" t="str">
        <x:v>Julio</x:v>
      </x:c>
      <x:c r="C1083" s="2" t="str">
        <x:v>RE-006222-2</x:v>
      </x:c>
      <x:c r="D1083" s="2" t="str">
        <x:v>P.E. MONTOUTO 2000</x:v>
      </x:c>
      <x:c r="E1083" s="4" t="n">
        <x:v>1.1036666666666664</x:v>
      </x:c>
      <x:c r="F1083" s="4" t="n">
        <x:f>J1083*0.94</x:f>
        <x:v>1.0173933333333327</x:v>
      </x:c>
      <x:c r="G1083" s="4" t="n">
        <x:v>7.95</x:v>
      </x:c>
      <x:c r="H1083" s="4" t="n">
        <x:v>90.47</x:v>
      </x:c>
      <x:c r="I1083" s="5" t="n">
        <x:f t="shared" si="16">F1083*1000*H1083</x:f>
        <x:v>92043.57486666662</x:v>
      </x:c>
      <x:c r="J1083" t="n">
        <x:v>1.0823333333333327</x:v>
      </x:c>
    </x:row>
    <x:row r="1084">
      <x:c r="A1084" s="3" t="n">
        <x:v>2023</x:v>
      </x:c>
      <x:c r="B1084" s="2" t="str">
        <x:v>Agosto</x:v>
      </x:c>
      <x:c r="C1084" s="2" t="str">
        <x:v>RE-006222-1</x:v>
      </x:c>
      <x:c r="D1084" s="2" t="str">
        <x:v>P.E. MONTOUTO 2000</x:v>
      </x:c>
      <x:c r="E1084" s="4" t="n">
        <x:v>6.753333333333332</x:v>
      </x:c>
      <x:c r="F1084" s="4" t="n">
        <x:f>J1084*1.01</x:f>
        <x:v>6.606241666666667</x:v>
      </x:c>
      <x:c r="G1084" s="4" t="n">
        <x:v>39.75</x:v>
      </x:c>
      <x:c r="H1084" s="4" t="n">
        <x:v>96.05</x:v>
      </x:c>
      <x:c r="I1084" s="5" t="n">
        <x:f t="shared" si="16">F1084*1000*H1084</x:f>
        <x:v>634529.5120833333</x:v>
      </x:c>
      <x:c r="J1084" t="n">
        <x:v>6.5408333333333335</x:v>
      </x:c>
    </x:row>
    <x:row r="1085">
      <x:c r="A1085" s="3" t="n">
        <x:v>2023</x:v>
      </x:c>
      <x:c r="B1085" s="2" t="str">
        <x:v>Agosto</x:v>
      </x:c>
      <x:c r="C1085" s="2" t="str">
        <x:v>RE-006222-2</x:v>
      </x:c>
      <x:c r="D1085" s="2" t="str">
        <x:v>P.E. MONTOUTO 2000</x:v>
      </x:c>
      <x:c r="E1085" s="4" t="n">
        <x:v>1.3506666666666671</x:v>
      </x:c>
      <x:c r="F1085" s="4" t="n">
        <x:f>J1085*1.01</x:f>
        <x:v>1.3212483333333334</x:v>
      </x:c>
      <x:c r="G1085" s="4" t="n">
        <x:v>7.95</x:v>
      </x:c>
      <x:c r="H1085" s="4" t="n">
        <x:v>96.05</x:v>
      </x:c>
      <x:c r="I1085" s="5" t="n">
        <x:f t="shared" si="16">F1085*1000*H1085</x:f>
        <x:v>126905.90241666668</x:v>
      </x:c>
      <x:c r="J1085" t="n">
        <x:v>1.3081666666666667</x:v>
      </x:c>
    </x:row>
    <x:row r="1086">
      <x:c r="A1086" s="3" t="n">
        <x:v>2023</x:v>
      </x:c>
      <x:c r="B1086" s="2" t="str">
        <x:v>Septiembre</x:v>
      </x:c>
      <x:c r="C1086" s="2" t="str">
        <x:v>RE-006222-1</x:v>
      </x:c>
      <x:c r="D1086" s="2" t="str">
        <x:v>P.E. MONTOUTO 2000</x:v>
      </x:c>
      <x:c r="E1086" s="4" t="n">
        <x:v>7.0075</x:v>
      </x:c>
      <x:c r="F1086" s="4" t="n">
        <x:f>J1086*0.97</x:f>
        <x:v>6.6930000000000005</x:v>
      </x:c>
      <x:c r="G1086" s="4" t="n">
        <x:v>39.75</x:v>
      </x:c>
      <x:c r="H1086" s="4" t="n">
        <x:v>103.34</x:v>
      </x:c>
      <x:c r="I1086" s="5" t="n">
        <x:f t="shared" si="16">F1086*1000*H1086</x:f>
        <x:v>691654.6200000001</x:v>
      </x:c>
      <x:c r="J1086" t="n">
        <x:v>6.9</x:v>
      </x:c>
    </x:row>
    <x:row r="1087">
      <x:c r="A1087" s="3" t="n">
        <x:v>2023</x:v>
      </x:c>
      <x:c r="B1087" s="2" t="str">
        <x:v>Septiembre</x:v>
      </x:c>
      <x:c r="C1087" s="2" t="str">
        <x:v>RE-006222-2</x:v>
      </x:c>
      <x:c r="D1087" s="2" t="str">
        <x:v>P.E. MONTOUTO 2000</x:v>
      </x:c>
      <x:c r="E1087" s="4" t="n">
        <x:v>1.4015000000000004</x:v>
      </x:c>
      <x:c r="F1087" s="4" t="n">
        <x:f>J1087*0.97</x:f>
        <x:v>1.338599999999999</x:v>
      </x:c>
      <x:c r="G1087" s="4" t="n">
        <x:v>7.95</x:v>
      </x:c>
      <x:c r="H1087" s="4" t="n">
        <x:v>103.34</x:v>
      </x:c>
      <x:c r="I1087" s="5" t="n">
        <x:f t="shared" si="16">F1087*1000*H1087</x:f>
        <x:v>138330.9239999999</x:v>
      </x:c>
      <x:c r="J1087" t="n">
        <x:v>1.379999999999999</x:v>
      </x:c>
    </x:row>
    <x:row r="1088">
      <x:c r="A1088" s="3" t="n">
        <x:v>2023</x:v>
      </x:c>
      <x:c r="B1088" s="2" t="str">
        <x:v>Octubre</x:v>
      </x:c>
      <x:c r="C1088" s="2" t="str">
        <x:v>RE-006222-1</x:v>
      </x:c>
      <x:c r="D1088" s="2" t="str">
        <x:v>P.E. MONTOUTO 2000</x:v>
      </x:c>
      <x:c r="E1088" s="4" t="n">
        <x:v>9.169166666666667</x:v>
      </x:c>
      <x:c r="F1088" s="4" t="n">
        <x:f>J1088*1.04</x:f>
        <x:v>9.348733333333335</x:v>
      </x:c>
      <x:c r="G1088" s="4" t="n">
        <x:v>39.75</x:v>
      </x:c>
      <x:c r="H1088" s="4" t="n">
        <x:v>90.14</x:v>
      </x:c>
      <x:c r="I1088" s="5" t="n">
        <x:f t="shared" si="16">F1088*1000*H1088</x:f>
        <x:v>842694.8226666668</x:v>
      </x:c>
      <x:c r="J1088" t="n">
        <x:v>8.989166666666668</x:v>
      </x:c>
    </x:row>
    <x:row r="1089">
      <x:c r="A1089" s="3" t="n">
        <x:v>2023</x:v>
      </x:c>
      <x:c r="B1089" s="2" t="str">
        <x:v>Octubre</x:v>
      </x:c>
      <x:c r="C1089" s="2" t="str">
        <x:v>RE-006222-2</x:v>
      </x:c>
      <x:c r="D1089" s="2" t="str">
        <x:v>P.E. MONTOUTO 2000</x:v>
      </x:c>
      <x:c r="E1089" s="4" t="n">
        <x:v>1.8338333333333328</x:v>
      </x:c>
      <x:c r="F1089" s="4" t="n">
        <x:f>J1089*1.04</x:f>
        <x:v>1.8697466666666667</x:v>
      </x:c>
      <x:c r="G1089" s="4" t="n">
        <x:v>7.95</x:v>
      </x:c>
      <x:c r="H1089" s="4" t="n">
        <x:v>90.14</x:v>
      </x:c>
      <x:c r="I1089" s="5" t="n">
        <x:f t="shared" si="16">F1089*1000*H1089</x:f>
        <x:v>168538.96453333335</x:v>
      </x:c>
      <x:c r="J1089" t="n">
        <x:v>1.7978333333333332</x:v>
      </x:c>
    </x:row>
    <x:row r="1090">
      <x:c r="A1090" s="3" t="n">
        <x:v>2023</x:v>
      </x:c>
      <x:c r="B1090" s="2" t="str">
        <x:v>Noviembre</x:v>
      </x:c>
      <x:c r="C1090" s="2" t="str">
        <x:v>RE-006222-1</x:v>
      </x:c>
      <x:c r="D1090" s="2" t="str">
        <x:v>P.E. MONTOUTO 2000</x:v>
      </x:c>
      <x:c r="E1090" s="4" t="n">
        <x:v>10.515</x:v>
      </x:c>
      <x:c r="F1090" s="4" t="n">
        <x:f>J1090*1</x:f>
        <x:v>10.318333333333333</x:v>
      </x:c>
      <x:c r="G1090" s="4" t="n">
        <x:v>39.75</x:v>
      </x:c>
      <x:c r="H1090" s="4" t="n">
        <x:v>63.45</x:v>
      </x:c>
      <x:c r="I1090" s="5" t="n">
        <x:f t="shared" ref="I1090:I1153" si="17">F1090*1000*H1090</x:f>
        <x:v>654698.2500000001</x:v>
      </x:c>
      <x:c r="J1090" t="n">
        <x:v>10.318333333333333</x:v>
      </x:c>
    </x:row>
    <x:row r="1091">
      <x:c r="A1091" s="3" t="n">
        <x:v>2023</x:v>
      </x:c>
      <x:c r="B1091" s="2" t="str">
        <x:v>Noviembre</x:v>
      </x:c>
      <x:c r="C1091" s="2" t="str">
        <x:v>RE-006222-2</x:v>
      </x:c>
      <x:c r="D1091" s="2" t="str">
        <x:v>P.E. MONTOUTO 2000</x:v>
      </x:c>
      <x:c r="E1091" s="4" t="n">
        <x:v>2.1029999999999998</x:v>
      </x:c>
      <x:c r="F1091" s="4" t="n">
        <x:f>J1091*1</x:f>
        <x:v>2.0636666666666663</x:v>
      </x:c>
      <x:c r="G1091" s="4" t="n">
        <x:v>7.95</x:v>
      </x:c>
      <x:c r="H1091" s="4" t="n">
        <x:v>63.45</x:v>
      </x:c>
      <x:c r="I1091" s="5" t="n">
        <x:f t="shared" si="17">F1091*1000*H1091</x:f>
        <x:v>130939.65</x:v>
      </x:c>
      <x:c r="J1091" t="n">
        <x:v>2.0636666666666663</x:v>
      </x:c>
    </x:row>
    <x:row r="1092">
      <x:c r="A1092" s="3" t="n">
        <x:v>2023</x:v>
      </x:c>
      <x:c r="B1092" s="2" t="str">
        <x:v>Diciembre</x:v>
      </x:c>
      <x:c r="C1092" s="2" t="str">
        <x:v>RE-006222-1</x:v>
      </x:c>
      <x:c r="D1092" s="2" t="str">
        <x:v>P.E. MONTOUTO 2000</x:v>
      </x:c>
      <x:c r="E1092" s="4" t="n">
        <x:v>12.530833333333334</x:v>
      </x:c>
      <x:c r="F1092" s="4" t="n">
        <x:f>J1092*0.96</x:f>
        <x:v>11.8272</x:v>
      </x:c>
      <x:c r="G1092" s="4" t="n">
        <x:v>39.75</x:v>
      </x:c>
      <x:c r="H1092" s="4" t="n">
        <x:v>72.17</x:v>
      </x:c>
      <x:c r="I1092" s="5" t="n">
        <x:f t="shared" si="17">F1092*1000*H1092</x:f>
        <x:v>853569.024</x:v>
      </x:c>
      <x:c r="J1092" t="n">
        <x:v>12.32</x:v>
      </x:c>
    </x:row>
    <x:row r="1093">
      <x:c r="A1093" s="3" t="n">
        <x:v>2023</x:v>
      </x:c>
      <x:c r="B1093" s="2" t="str">
        <x:v>Diciembre</x:v>
      </x:c>
      <x:c r="C1093" s="2" t="str">
        <x:v>RE-006222-2</x:v>
      </x:c>
      <x:c r="D1093" s="2" t="str">
        <x:v>P.E. MONTOUTO 2000</x:v>
      </x:c>
      <x:c r="E1093" s="4" t="n">
        <x:v>2.506166666666667</x:v>
      </x:c>
      <x:c r="F1093" s="4" t="n">
        <x:f>J1093*0.96</x:f>
        <x:v>2.3654400000000004</x:v>
      </x:c>
      <x:c r="G1093" s="4" t="n">
        <x:v>7.95</x:v>
      </x:c>
      <x:c r="H1093" s="4" t="n">
        <x:v>72.17</x:v>
      </x:c>
      <x:c r="I1093" s="5" t="n">
        <x:f t="shared" si="17">F1093*1000*H1093</x:f>
        <x:v>170713.80480000004</x:v>
      </x:c>
      <x:c r="J1093" t="n">
        <x:v>2.4640000000000004</x:v>
      </x:c>
    </x:row>
    <x:row r="1094">
      <x:c r="A1094" s="3" t="n">
        <x:v>2023</x:v>
      </x:c>
      <x:c r="B1094" s="2" t="str">
        <x:v>Enero</x:v>
      </x:c>
      <x:c r="C1094" s="2" t="str">
        <x:v>RE-006273-1</x:v>
      </x:c>
      <x:c r="D1094" s="2" t="str">
        <x:v>P. E. DE FIOUCO</x:v>
      </x:c>
      <x:c r="E1094" s="4" t="n">
        <x:v>6.653</x:v>
      </x:c>
      <x:c r="F1094" s="4" t="n">
        <x:f>J1094*1.03</x:f>
        <x:v>6.656890000000001</x:v>
      </x:c>
      <x:c r="G1094" s="4" t="n">
        <x:v>24</x:v>
      </x:c>
      <x:c r="H1094" s="4" t="n">
        <x:v>69.55</x:v>
      </x:c>
      <x:c r="I1094" s="5" t="n">
        <x:f t="shared" si="17">F1094*1000*H1094</x:f>
        <x:v>462986.6995</x:v>
      </x:c>
      <x:c r="J1094" t="n">
        <x:v>6.463</x:v>
      </x:c>
    </x:row>
    <x:row r="1095">
      <x:c r="A1095" s="3" t="n">
        <x:v>2023</x:v>
      </x:c>
      <x:c r="B1095" s="2" t="str">
        <x:v>Febrero</x:v>
      </x:c>
      <x:c r="C1095" s="2" t="str">
        <x:v>RE-006273-1</x:v>
      </x:c>
      <x:c r="D1095" s="2" t="str">
        <x:v>P. E. DE FIOUCO</x:v>
      </x:c>
      <x:c r="E1095" s="4" t="n">
        <x:v>5.501</x:v>
      </x:c>
      <x:c r="F1095" s="4" t="n">
        <x:f>J1095*0.99</x:f>
        <x:v>5.3341199999999995</x:v>
      </x:c>
      <x:c r="G1095" s="4" t="n">
        <x:v>24</x:v>
      </x:c>
      <x:c r="H1095" s="4" t="n">
        <x:v>133.47</x:v>
      </x:c>
      <x:c r="I1095" s="5" t="n">
        <x:f t="shared" si="17">F1095*1000*H1095</x:f>
        <x:v>711944.9964</x:v>
      </x:c>
      <x:c r="J1095" t="n">
        <x:v>5.388</x:v>
      </x:c>
    </x:row>
    <x:row r="1096">
      <x:c r="A1096" s="3" t="n">
        <x:v>2023</x:v>
      </x:c>
      <x:c r="B1096" s="2" t="str">
        <x:v>Marzo</x:v>
      </x:c>
      <x:c r="C1096" s="2" t="str">
        <x:v>RE-006273-1</x:v>
      </x:c>
      <x:c r="D1096" s="2" t="str">
        <x:v>P. E. DE FIOUCO</x:v>
      </x:c>
      <x:c r="E1096" s="4" t="n">
        <x:v>5.445</x:v>
      </x:c>
      <x:c r="F1096" s="4" t="n">
        <x:f>J1096*0.95</x:f>
        <x:v>5.059699999999999</x:v>
      </x:c>
      <x:c r="G1096" s="4" t="n">
        <x:v>24</x:v>
      </x:c>
      <x:c r="H1096" s="4" t="n">
        <x:v>89.61</x:v>
      </x:c>
      <x:c r="I1096" s="5" t="n">
        <x:f t="shared" si="17">F1096*1000*H1096</x:f>
        <x:v>453399.717</x:v>
      </x:c>
      <x:c r="J1096" t="n">
        <x:v>5.326</x:v>
      </x:c>
    </x:row>
    <x:row r="1097">
      <x:c r="A1097" s="3" t="n">
        <x:v>2023</x:v>
      </x:c>
      <x:c r="B1097" s="2" t="str">
        <x:v>Abril</x:v>
      </x:c>
      <x:c r="C1097" s="2" t="str">
        <x:v>RE-006273-1</x:v>
      </x:c>
      <x:c r="D1097" s="2" t="str">
        <x:v>P. E. DE FIOUCO</x:v>
      </x:c>
      <x:c r="E1097" s="4" t="n">
        <x:v>5.007</x:v>
      </x:c>
      <x:c r="F1097" s="4" t="n">
        <x:f>J1097*1.02</x:f>
        <x:v>4.95312</x:v>
      </x:c>
      <x:c r="G1097" s="4" t="n">
        <x:v>24</x:v>
      </x:c>
      <x:c r="H1097" s="4" t="n">
        <x:v>73.73</x:v>
      </x:c>
      <x:c r="I1097" s="5" t="n">
        <x:f t="shared" si="17">F1097*1000*H1097</x:f>
        <x:v>365193.53760000004</x:v>
      </x:c>
      <x:c r="J1097" t="n">
        <x:v>4.856</x:v>
      </x:c>
    </x:row>
    <x:row r="1098">
      <x:c r="A1098" s="3" t="n">
        <x:v>2023</x:v>
      </x:c>
      <x:c r="B1098" s="2" t="str">
        <x:v>Mayo</x:v>
      </x:c>
      <x:c r="C1098" s="2" t="str">
        <x:v>RE-006273-1</x:v>
      </x:c>
      <x:c r="D1098" s="2" t="str">
        <x:v>P. E. DE FIOUCO</x:v>
      </x:c>
      <x:c r="E1098" s="4" t="n">
        <x:v>4.436</x:v>
      </x:c>
      <x:c r="F1098" s="4" t="n">
        <x:f>J1098*0.98</x:f>
        <x:v>4.21988</x:v>
      </x:c>
      <x:c r="G1098" s="4" t="n">
        <x:v>24</x:v>
      </x:c>
      <x:c r="H1098" s="4" t="n">
        <x:v>74.21</x:v>
      </x:c>
      <x:c r="I1098" s="5" t="n">
        <x:f t="shared" si="17">F1098*1000*H1098</x:f>
        <x:v>313157.2948</x:v>
      </x:c>
      <x:c r="J1098" t="n">
        <x:v>4.306</x:v>
      </x:c>
    </x:row>
    <x:row r="1099">
      <x:c r="A1099" s="3" t="n">
        <x:v>2023</x:v>
      </x:c>
      <x:c r="B1099" s="2" t="str">
        <x:v>Junio</x:v>
      </x:c>
      <x:c r="C1099" s="2" t="str">
        <x:v>RE-006273-1</x:v>
      </x:c>
      <x:c r="D1099" s="2" t="str">
        <x:v>P. E. DE FIOUCO</x:v>
      </x:c>
      <x:c r="E1099" s="4" t="n">
        <x:v>3.136</x:v>
      </x:c>
      <x:c r="F1099" s="4" t="n">
        <x:f>J1099*0.94</x:f>
        <x:v>2.8811</x:v>
      </x:c>
      <x:c r="G1099" s="4" t="n">
        <x:v>24</x:v>
      </x:c>
      <x:c r="H1099" s="4" t="n">
        <x:v>93.02</x:v>
      </x:c>
      <x:c r="I1099" s="5" t="n">
        <x:f t="shared" si="17">F1099*1000*H1099</x:f>
        <x:v>267999.92199999996</x:v>
      </x:c>
      <x:c r="J1099" t="n">
        <x:v>3.065</x:v>
      </x:c>
    </x:row>
    <x:row r="1100">
      <x:c r="A1100" s="3" t="n">
        <x:v>2023</x:v>
      </x:c>
      <x:c r="B1100" s="2" t="str">
        <x:v>Julio</x:v>
      </x:c>
      <x:c r="C1100" s="2" t="str">
        <x:v>RE-006273-1</x:v>
      </x:c>
      <x:c r="D1100" s="2" t="str">
        <x:v>P. E. DE FIOUCO</x:v>
      </x:c>
      <x:c r="E1100" s="4" t="n">
        <x:v>3.024</x:v>
      </x:c>
      <x:c r="F1100" s="4" t="n">
        <x:f>J1100*1.01</x:f>
        <x:v>2.96132</x:v>
      </x:c>
      <x:c r="G1100" s="4" t="n">
        <x:v>24</x:v>
      </x:c>
      <x:c r="H1100" s="4" t="n">
        <x:v>90.47</x:v>
      </x:c>
      <x:c r="I1100" s="5" t="n">
        <x:f t="shared" si="17">F1100*1000*H1100</x:f>
        <x:v>267910.6204</x:v>
      </x:c>
      <x:c r="J1100" t="n">
        <x:v>2.932</x:v>
      </x:c>
    </x:row>
    <x:row r="1101">
      <x:c r="A1101" s="3" t="n">
        <x:v>2023</x:v>
      </x:c>
      <x:c r="B1101" s="2" t="str">
        <x:v>Agosto</x:v>
      </x:c>
      <x:c r="C1101" s="2" t="str">
        <x:v>RE-006273-1</x:v>
      </x:c>
      <x:c r="D1101" s="2" t="str">
        <x:v>P. E. DE FIOUCO</x:v>
      </x:c>
      <x:c r="E1101" s="4" t="n">
        <x:v>3.277</x:v>
      </x:c>
      <x:c r="F1101" s="4" t="n">
        <x:f>J1101*0.97</x:f>
        <x:v>3.08654</x:v>
      </x:c>
      <x:c r="G1101" s="4" t="n">
        <x:v>24</x:v>
      </x:c>
      <x:c r="H1101" s="4" t="n">
        <x:v>96.05</x:v>
      </x:c>
      <x:c r="I1101" s="5" t="n">
        <x:f t="shared" si="17">F1101*1000*H1101</x:f>
        <x:v>296462.167</x:v>
      </x:c>
      <x:c r="J1101" t="n">
        <x:v>3.182</x:v>
      </x:c>
    </x:row>
    <x:row r="1102">
      <x:c r="A1102" s="3" t="n">
        <x:v>2023</x:v>
      </x:c>
      <x:c r="B1102" s="2" t="str">
        <x:v>Septiembre</x:v>
      </x:c>
      <x:c r="C1102" s="2" t="str">
        <x:v>RE-006273-1</x:v>
      </x:c>
      <x:c r="D1102" s="2" t="str">
        <x:v>P. E. DE FIOUCO</x:v>
      </x:c>
      <x:c r="E1102" s="4" t="n">
        <x:v>3.347</x:v>
      </x:c>
      <x:c r="F1102" s="4" t="n">
        <x:f>J1102*1.04</x:f>
        <x:v>3.3706400000000003</x:v>
      </x:c>
      <x:c r="G1102" s="4" t="n">
        <x:v>24</x:v>
      </x:c>
      <x:c r="H1102" s="4" t="n">
        <x:v>103.34</x:v>
      </x:c>
      <x:c r="I1102" s="5" t="n">
        <x:f t="shared" si="17">F1102*1000*H1102</x:f>
        <x:v>348321.93760000006</x:v>
      </x:c>
      <x:c r="J1102" t="n">
        <x:v>3.241</x:v>
      </x:c>
    </x:row>
    <x:row r="1103">
      <x:c r="A1103" s="3" t="n">
        <x:v>2023</x:v>
      </x:c>
      <x:c r="B1103" s="2" t="str">
        <x:v>Octubre</x:v>
      </x:c>
      <x:c r="C1103" s="2" t="str">
        <x:v>RE-006273-1</x:v>
      </x:c>
      <x:c r="D1103" s="2" t="str">
        <x:v>P. E. DE FIOUCO</x:v>
      </x:c>
      <x:c r="E1103" s="4" t="n">
        <x:v>5.033</x:v>
      </x:c>
      <x:c r="F1103" s="4" t="n">
        <x:f>J1103*1</x:f>
        <x:v>4.894</x:v>
      </x:c>
      <x:c r="G1103" s="4" t="n">
        <x:v>24</x:v>
      </x:c>
      <x:c r="H1103" s="4" t="n">
        <x:v>90.14</x:v>
      </x:c>
      <x:c r="I1103" s="5" t="n">
        <x:f t="shared" si="17">F1103*1000*H1103</x:f>
        <x:v>441145.16</x:v>
      </x:c>
      <x:c r="J1103" t="n">
        <x:v>4.894</x:v>
      </x:c>
    </x:row>
    <x:row r="1104">
      <x:c r="A1104" s="3" t="n">
        <x:v>2023</x:v>
      </x:c>
      <x:c r="B1104" s="2" t="str">
        <x:v>Noviembre</x:v>
      </x:c>
      <x:c r="C1104" s="2" t="str">
        <x:v>RE-006273-1</x:v>
      </x:c>
      <x:c r="D1104" s="2" t="str">
        <x:v>P. E. DE FIOUCO</x:v>
      </x:c>
      <x:c r="E1104" s="4" t="n">
        <x:v>5.154</x:v>
      </x:c>
      <x:c r="F1104" s="4" t="n">
        <x:f>J1104*0.96</x:f>
        <x:v>4.7952</x:v>
      </x:c>
      <x:c r="G1104" s="4" t="n">
        <x:v>24</x:v>
      </x:c>
      <x:c r="H1104" s="4" t="n">
        <x:v>63.45</x:v>
      </x:c>
      <x:c r="I1104" s="5" t="n">
        <x:f t="shared" si="17">F1104*1000*H1104</x:f>
        <x:v>304255.44000000006</x:v>
      </x:c>
      <x:c r="J1104" t="n">
        <x:v>4.995</x:v>
      </x:c>
    </x:row>
    <x:row r="1105">
      <x:c r="A1105" s="3" t="n">
        <x:v>2023</x:v>
      </x:c>
      <x:c r="B1105" s="2" t="str">
        <x:v>Diciembre</x:v>
      </x:c>
      <x:c r="C1105" s="2" t="str">
        <x:v>RE-006273-1</x:v>
      </x:c>
      <x:c r="D1105" s="2" t="str">
        <x:v>P. E. DE FIOUCO</x:v>
      </x:c>
      <x:c r="E1105" s="4" t="n">
        <x:v>5.813</x:v>
      </x:c>
      <x:c r="F1105" s="4" t="n">
        <x:f>J1105*1.03</x:f>
        <x:v>5.8926300000000005</x:v>
      </x:c>
      <x:c r="G1105" s="4" t="n">
        <x:v>24</x:v>
      </x:c>
      <x:c r="H1105" s="4" t="n">
        <x:v>72.17</x:v>
      </x:c>
      <x:c r="I1105" s="5" t="n">
        <x:f t="shared" si="17">F1105*1000*H1105</x:f>
        <x:v>425271.1071</x:v>
      </x:c>
      <x:c r="J1105" t="n">
        <x:v>5.721</x:v>
      </x:c>
    </x:row>
    <x:row r="1106">
      <x:c r="A1106" s="3" t="n">
        <x:v>2023</x:v>
      </x:c>
      <x:c r="B1106" s="2" t="str">
        <x:v>Enero</x:v>
      </x:c>
      <x:c r="C1106" s="2" t="str">
        <x:v>RE-006312-1</x:v>
      </x:c>
      <x:c r="D1106" s="2" t="str">
        <x:v>P. E. SILVARREDONDA</x:v>
      </x:c>
      <x:c r="E1106" s="4" t="n">
        <x:v>5.017</x:v>
      </x:c>
      <x:c r="F1106" s="4" t="n">
        <x:f>J1106*0.99</x:f>
        <x:v>4.87278</x:v>
      </x:c>
      <x:c r="G1106" s="4" t="n">
        <x:v>16.9</x:v>
      </x:c>
      <x:c r="H1106" s="4" t="n">
        <x:v>69.55</x:v>
      </x:c>
      <x:c r="I1106" s="5" t="n">
        <x:f t="shared" si="17">F1106*1000*H1106</x:f>
        <x:v>338901.849</x:v>
      </x:c>
      <x:c r="J1106" t="n">
        <x:v>4.922</x:v>
      </x:c>
    </x:row>
    <x:row r="1107">
      <x:c r="A1107" s="3" t="n">
        <x:v>2023</x:v>
      </x:c>
      <x:c r="B1107" s="2" t="str">
        <x:v>Febrero</x:v>
      </x:c>
      <x:c r="C1107" s="2" t="str">
        <x:v>RE-006312-1</x:v>
      </x:c>
      <x:c r="D1107" s="2" t="str">
        <x:v>P. E. SILVARREDONDA</x:v>
      </x:c>
      <x:c r="E1107" s="4" t="n">
        <x:v>4.034</x:v>
      </x:c>
      <x:c r="F1107" s="4" t="n">
        <x:f>J1107*0.95</x:f>
        <x:v>3.7211499999999997</x:v>
      </x:c>
      <x:c r="G1107" s="4" t="n">
        <x:v>16.9</x:v>
      </x:c>
      <x:c r="H1107" s="4" t="n">
        <x:v>133.47</x:v>
      </x:c>
      <x:c r="I1107" s="5" t="n">
        <x:f t="shared" si="17">F1107*1000*H1107</x:f>
        <x:v>496661.8904999999</x:v>
      </x:c>
      <x:c r="J1107" t="n">
        <x:v>3.917</x:v>
      </x:c>
    </x:row>
    <x:row r="1108">
      <x:c r="A1108" s="3" t="n">
        <x:v>2023</x:v>
      </x:c>
      <x:c r="B1108" s="2" t="str">
        <x:v>Marzo</x:v>
      </x:c>
      <x:c r="C1108" s="2" t="str">
        <x:v>RE-006312-1</x:v>
      </x:c>
      <x:c r="D1108" s="2" t="str">
        <x:v>P. E. SILVARREDONDA</x:v>
      </x:c>
      <x:c r="E1108" s="4" t="n">
        <x:v>4.19</x:v>
      </x:c>
      <x:c r="F1108" s="4" t="n">
        <x:f>J1108*1.02</x:f>
        <x:v>4.15242</x:v>
      </x:c>
      <x:c r="G1108" s="4" t="n">
        <x:v>16.9</x:v>
      </x:c>
      <x:c r="H1108" s="4" t="n">
        <x:v>89.61</x:v>
      </x:c>
      <x:c r="I1108" s="5" t="n">
        <x:f t="shared" si="17">F1108*1000*H1108</x:f>
        <x:v>372098.3562</x:v>
      </x:c>
      <x:c r="J1108" t="n">
        <x:v>4.071</x:v>
      </x:c>
    </x:row>
    <x:row r="1109">
      <x:c r="A1109" s="3" t="n">
        <x:v>2023</x:v>
      </x:c>
      <x:c r="B1109" s="2" t="str">
        <x:v>Abril</x:v>
      </x:c>
      <x:c r="C1109" s="2" t="str">
        <x:v>RE-006312-1</x:v>
      </x:c>
      <x:c r="D1109" s="2" t="str">
        <x:v>P. E. SILVARREDONDA</x:v>
      </x:c>
      <x:c r="E1109" s="4" t="n">
        <x:v>3.751</x:v>
      </x:c>
      <x:c r="F1109" s="4" t="n">
        <x:f>J1109*0.98</x:f>
        <x:v>3.55936</x:v>
      </x:c>
      <x:c r="G1109" s="4" t="n">
        <x:v>16.9</x:v>
      </x:c>
      <x:c r="H1109" s="4" t="n">
        <x:v>73.73</x:v>
      </x:c>
      <x:c r="I1109" s="5" t="n">
        <x:f t="shared" si="17">F1109*1000*H1109</x:f>
        <x:v>262431.6128</x:v>
      </x:c>
      <x:c r="J1109" t="n">
        <x:v>3.632</x:v>
      </x:c>
    </x:row>
    <x:row r="1110">
      <x:c r="A1110" s="3" t="n">
        <x:v>2023</x:v>
      </x:c>
      <x:c r="B1110" s="2" t="str">
        <x:v>Mayo</x:v>
      </x:c>
      <x:c r="C1110" s="2" t="str">
        <x:v>RE-006312-1</x:v>
      </x:c>
      <x:c r="D1110" s="2" t="str">
        <x:v>P. E. SILVARREDONDA</x:v>
      </x:c>
      <x:c r="E1110" s="4" t="n">
        <x:v>3.094</x:v>
      </x:c>
      <x:c r="F1110" s="4" t="n">
        <x:f>J1110*0.94</x:f>
        <x:v>2.8162399999999996</x:v>
      </x:c>
      <x:c r="G1110" s="4" t="n">
        <x:v>16.9</x:v>
      </x:c>
      <x:c r="H1110" s="4" t="n">
        <x:v>74.21</x:v>
      </x:c>
      <x:c r="I1110" s="5" t="n">
        <x:f t="shared" si="17">F1110*1000*H1110</x:f>
        <x:v>208993.17039999997</x:v>
      </x:c>
      <x:c r="J1110" t="n">
        <x:v>2.996</x:v>
      </x:c>
    </x:row>
    <x:row r="1111">
      <x:c r="A1111" s="3" t="n">
        <x:v>2023</x:v>
      </x:c>
      <x:c r="B1111" s="2" t="str">
        <x:v>Junio</x:v>
      </x:c>
      <x:c r="C1111" s="2" t="str">
        <x:v>RE-006312-1</x:v>
      </x:c>
      <x:c r="D1111" s="2" t="str">
        <x:v>P. E. SILVARREDONDA</x:v>
      </x:c>
      <x:c r="E1111" s="4" t="n">
        <x:v>2.823</x:v>
      </x:c>
      <x:c r="F1111" s="4" t="n">
        <x:f>J1111*1.01</x:f>
        <x:v>2.7997199999999998</x:v>
      </x:c>
      <x:c r="G1111" s="4" t="n">
        <x:v>16.9</x:v>
      </x:c>
      <x:c r="H1111" s="4" t="n">
        <x:v>93.02</x:v>
      </x:c>
      <x:c r="I1111" s="5" t="n">
        <x:f t="shared" si="17">F1111*1000*H1111</x:f>
        <x:v>260429.95439999996</x:v>
      </x:c>
      <x:c r="J1111" t="n">
        <x:v>2.772</x:v>
      </x:c>
    </x:row>
    <x:row r="1112">
      <x:c r="A1112" s="3" t="n">
        <x:v>2023</x:v>
      </x:c>
      <x:c r="B1112" s="2" t="str">
        <x:v>Julio</x:v>
      </x:c>
      <x:c r="C1112" s="2" t="str">
        <x:v>RE-006312-1</x:v>
      </x:c>
      <x:c r="D1112" s="2" t="str">
        <x:v>P. E. SILVARREDONDA</x:v>
      </x:c>
      <x:c r="E1112" s="4" t="n">
        <x:v>2.501</x:v>
      </x:c>
      <x:c r="F1112" s="4" t="n">
        <x:f>J1112*0.97</x:f>
        <x:v>2.3832899999999997</x:v>
      </x:c>
      <x:c r="G1112" s="4" t="n">
        <x:v>16.9</x:v>
      </x:c>
      <x:c r="H1112" s="4" t="n">
        <x:v>90.47</x:v>
      </x:c>
      <x:c r="I1112" s="5" t="n">
        <x:f t="shared" si="17">F1112*1000*H1112</x:f>
        <x:v>215616.24629999994</x:v>
      </x:c>
      <x:c r="J1112" t="n">
        <x:v>2.457</x:v>
      </x:c>
    </x:row>
    <x:row r="1113">
      <x:c r="A1113" s="3" t="n">
        <x:v>2023</x:v>
      </x:c>
      <x:c r="B1113" s="2" t="str">
        <x:v>Agosto</x:v>
      </x:c>
      <x:c r="C1113" s="2" t="str">
        <x:v>RE-006312-1</x:v>
      </x:c>
      <x:c r="D1113" s="2" t="str">
        <x:v>P. E. SILVARREDONDA</x:v>
      </x:c>
      <x:c r="E1113" s="4" t="n">
        <x:v>2.407</x:v>
      </x:c>
      <x:c r="F1113" s="4" t="n">
        <x:f>J1113*1.04</x:f>
        <x:v>2.4440000000000004</x:v>
      </x:c>
      <x:c r="G1113" s="4" t="n">
        <x:v>16.9</x:v>
      </x:c>
      <x:c r="H1113" s="4" t="n">
        <x:v>96.05</x:v>
      </x:c>
      <x:c r="I1113" s="5" t="n">
        <x:f t="shared" si="17">F1113*1000*H1113</x:f>
        <x:v>234746.20000000004</x:v>
      </x:c>
      <x:c r="J1113" t="n">
        <x:v>2.35</x:v>
      </x:c>
    </x:row>
    <x:row r="1114">
      <x:c r="A1114" s="3" t="n">
        <x:v>2023</x:v>
      </x:c>
      <x:c r="B1114" s="2" t="str">
        <x:v>Septiembre</x:v>
      </x:c>
      <x:c r="C1114" s="2" t="str">
        <x:v>RE-006312-1</x:v>
      </x:c>
      <x:c r="D1114" s="2" t="str">
        <x:v>P. E. SILVARREDONDA</x:v>
      </x:c>
      <x:c r="E1114" s="4" t="n">
        <x:v>2.936</x:v>
      </x:c>
      <x:c r="F1114" s="4" t="n">
        <x:f>J1114*1</x:f>
        <x:v>2.853</x:v>
      </x:c>
      <x:c r="G1114" s="4" t="n">
        <x:v>16.9</x:v>
      </x:c>
      <x:c r="H1114" s="4" t="n">
        <x:v>103.34</x:v>
      </x:c>
      <x:c r="I1114" s="5" t="n">
        <x:f t="shared" si="17">F1114*1000*H1114</x:f>
        <x:v>294829.02</x:v>
      </x:c>
      <x:c r="J1114" t="n">
        <x:v>2.853</x:v>
      </x:c>
    </x:row>
    <x:row r="1115">
      <x:c r="A1115" s="3" t="n">
        <x:v>2023</x:v>
      </x:c>
      <x:c r="B1115" s="2" t="str">
        <x:v>Octubre</x:v>
      </x:c>
      <x:c r="C1115" s="2" t="str">
        <x:v>RE-006312-1</x:v>
      </x:c>
      <x:c r="D1115" s="2" t="str">
        <x:v>P. E. SILVARREDONDA</x:v>
      </x:c>
      <x:c r="E1115" s="4" t="n">
        <x:v>3.716</x:v>
      </x:c>
      <x:c r="F1115" s="4" t="n">
        <x:f>J1115*0.96</x:f>
        <x:v>3.4646399999999997</x:v>
      </x:c>
      <x:c r="G1115" s="4" t="n">
        <x:v>16.9</x:v>
      </x:c>
      <x:c r="H1115" s="4" t="n">
        <x:v>90.14</x:v>
      </x:c>
      <x:c r="I1115" s="5" t="n">
        <x:f t="shared" si="17">F1115*1000*H1115</x:f>
        <x:v>312302.6496</x:v>
      </x:c>
      <x:c r="J1115" t="n">
        <x:v>3.609</x:v>
      </x:c>
    </x:row>
    <x:row r="1116">
      <x:c r="A1116" s="3" t="n">
        <x:v>2023</x:v>
      </x:c>
      <x:c r="B1116" s="2" t="str">
        <x:v>Noviembre</x:v>
      </x:c>
      <x:c r="C1116" s="2" t="str">
        <x:v>RE-006312-1</x:v>
      </x:c>
      <x:c r="D1116" s="2" t="str">
        <x:v>P. E. SILVARREDONDA</x:v>
      </x:c>
      <x:c r="E1116" s="4" t="n">
        <x:v>3.627</x:v>
      </x:c>
      <x:c r="F1116" s="4" t="n">
        <x:f>J1116*1.03</x:f>
        <x:v>3.62148</x:v>
      </x:c>
      <x:c r="G1116" s="4" t="n">
        <x:v>16.9</x:v>
      </x:c>
      <x:c r="H1116" s="4" t="n">
        <x:v>63.45</x:v>
      </x:c>
      <x:c r="I1116" s="5" t="n">
        <x:f t="shared" si="17">F1116*1000*H1116</x:f>
        <x:v>229782.90600000002</x:v>
      </x:c>
      <x:c r="J1116" t="n">
        <x:v>3.516</x:v>
      </x:c>
    </x:row>
    <x:row r="1117">
      <x:c r="A1117" s="3" t="n">
        <x:v>2023</x:v>
      </x:c>
      <x:c r="B1117" s="2" t="str">
        <x:v>Diciembre</x:v>
      </x:c>
      <x:c r="C1117" s="2" t="str">
        <x:v>RE-006312-1</x:v>
      </x:c>
      <x:c r="D1117" s="2" t="str">
        <x:v>P. E. SILVARREDONDA</x:v>
      </x:c>
      <x:c r="E1117" s="4" t="n">
        <x:v>4.773</x:v>
      </x:c>
      <x:c r="F1117" s="4" t="n">
        <x:f>J1117*0.99</x:f>
        <x:v>4.64607</x:v>
      </x:c>
      <x:c r="G1117" s="4" t="n">
        <x:v>16.9</x:v>
      </x:c>
      <x:c r="H1117" s="4" t="n">
        <x:v>72.17</x:v>
      </x:c>
      <x:c r="I1117" s="5" t="n">
        <x:f t="shared" si="17">F1117*1000*H1117</x:f>
        <x:v>335306.87189999997</x:v>
      </x:c>
      <x:c r="J1117" t="n">
        <x:v>4.693</x:v>
      </x:c>
    </x:row>
    <x:row r="1118">
      <x:c r="A1118" s="3" t="n">
        <x:v>2023</x:v>
      </x:c>
      <x:c r="B1118" s="2" t="str">
        <x:v>Enero</x:v>
      </x:c>
      <x:c r="C1118" s="2" t="str">
        <x:v>RE-006313-1</x:v>
      </x:c>
      <x:c r="D1118" s="2" t="str">
        <x:v>PE O BARRIGOSO</x:v>
      </x:c>
      <x:c r="E1118" s="4" t="n">
        <x:v>0.864</x:v>
      </x:c>
      <x:c r="F1118" s="4" t="n">
        <x:f>J1118*0.95</x:f>
        <x:v>0.80275</x:v>
      </x:c>
      <x:c r="G1118" s="4" t="n">
        <x:v>3</x:v>
      </x:c>
      <x:c r="H1118" s="4" t="n">
        <x:v>69.55</x:v>
      </x:c>
      <x:c r="I1118" s="5" t="n">
        <x:f t="shared" si="17">F1118*1000*H1118</x:f>
        <x:v>55831.2625</x:v>
      </x:c>
      <x:c r="J1118" t="n">
        <x:v>0.845</x:v>
      </x:c>
    </x:row>
    <x:row r="1119">
      <x:c r="A1119" s="3" t="n">
        <x:v>2023</x:v>
      </x:c>
      <x:c r="B1119" s="2" t="str">
        <x:v>Febrero</x:v>
      </x:c>
      <x:c r="C1119" s="2" t="str">
        <x:v>RE-006313-1</x:v>
      </x:c>
      <x:c r="D1119" s="2" t="str">
        <x:v>PE O BARRIGOSO</x:v>
      </x:c>
      <x:c r="E1119" s="4" t="n">
        <x:v>0.777</x:v>
      </x:c>
      <x:c r="F1119" s="4" t="n">
        <x:f>J1119*1.02</x:f>
        <x:v>0.77928</x:v>
      </x:c>
      <x:c r="G1119" s="4" t="n">
        <x:v>3</x:v>
      </x:c>
      <x:c r="H1119" s="4" t="n">
        <x:v>133.47</x:v>
      </x:c>
      <x:c r="I1119" s="5" t="n">
        <x:f t="shared" si="17">F1119*1000*H1119</x:f>
        <x:v>104010.50159999999</x:v>
      </x:c>
      <x:c r="J1119" t="n">
        <x:v>0.764</x:v>
      </x:c>
    </x:row>
    <x:row r="1120">
      <x:c r="A1120" s="3" t="n">
        <x:v>2023</x:v>
      </x:c>
      <x:c r="B1120" s="2" t="str">
        <x:v>Marzo</x:v>
      </x:c>
      <x:c r="C1120" s="2" t="str">
        <x:v>RE-006313-1</x:v>
      </x:c>
      <x:c r="D1120" s="2" t="str">
        <x:v>PE O BARRIGOSO</x:v>
      </x:c>
      <x:c r="E1120" s="4" t="n">
        <x:v>0.786</x:v>
      </x:c>
      <x:c r="F1120" s="4" t="n">
        <x:f>J1120*0.98</x:f>
        <x:v>0.74676</x:v>
      </x:c>
      <x:c r="G1120" s="4" t="n">
        <x:v>3</x:v>
      </x:c>
      <x:c r="H1120" s="4" t="n">
        <x:v>89.61</x:v>
      </x:c>
      <x:c r="I1120" s="5" t="n">
        <x:f t="shared" si="17">F1120*1000*H1120</x:f>
        <x:v>66917.1636</x:v>
      </x:c>
      <x:c r="J1120" t="n">
        <x:v>0.762</x:v>
      </x:c>
    </x:row>
    <x:row r="1121">
      <x:c r="A1121" s="3" t="n">
        <x:v>2023</x:v>
      </x:c>
      <x:c r="B1121" s="2" t="str">
        <x:v>Abril</x:v>
      </x:c>
      <x:c r="C1121" s="2" t="str">
        <x:v>RE-006313-1</x:v>
      </x:c>
      <x:c r="D1121" s="2" t="str">
        <x:v>PE O BARRIGOSO</x:v>
      </x:c>
      <x:c r="E1121" s="4" t="n">
        <x:v>0.704</x:v>
      </x:c>
      <x:c r="F1121" s="4" t="n">
        <x:f>J1121*0.94</x:f>
        <x:v>0.6495399999999999</x:v>
      </x:c>
      <x:c r="G1121" s="4" t="n">
        <x:v>3</x:v>
      </x:c>
      <x:c r="H1121" s="4" t="n">
        <x:v>73.73</x:v>
      </x:c>
      <x:c r="I1121" s="5" t="n">
        <x:f t="shared" si="17">F1121*1000*H1121</x:f>
        <x:v>47890.58419999999</x:v>
      </x:c>
      <x:c r="J1121" t="n">
        <x:v>0.691</x:v>
      </x:c>
    </x:row>
    <x:row r="1122">
      <x:c r="A1122" s="3" t="n">
        <x:v>2023</x:v>
      </x:c>
      <x:c r="B1122" s="2" t="str">
        <x:v>Mayo</x:v>
      </x:c>
      <x:c r="C1122" s="2" t="str">
        <x:v>RE-006313-1</x:v>
      </x:c>
      <x:c r="D1122" s="2" t="str">
        <x:v>PE O BARRIGOSO</x:v>
      </x:c>
      <x:c r="E1122" s="4" t="n">
        <x:v>0.551</x:v>
      </x:c>
      <x:c r="F1122" s="4" t="n">
        <x:f>J1122*1.01</x:f>
        <x:v>0.5413600000000001</x:v>
      </x:c>
      <x:c r="G1122" s="4" t="n">
        <x:v>3</x:v>
      </x:c>
      <x:c r="H1122" s="4" t="n">
        <x:v>74.21</x:v>
      </x:c>
      <x:c r="I1122" s="5" t="n">
        <x:f t="shared" si="17">F1122*1000*H1122</x:f>
        <x:v>40174.3256</x:v>
      </x:c>
      <x:c r="J1122" t="n">
        <x:v>0.536</x:v>
      </x:c>
    </x:row>
    <x:row r="1123">
      <x:c r="A1123" s="3" t="n">
        <x:v>2023</x:v>
      </x:c>
      <x:c r="B1123" s="2" t="str">
        <x:v>Junio</x:v>
      </x:c>
      <x:c r="C1123" s="2" t="str">
        <x:v>RE-006313-1</x:v>
      </x:c>
      <x:c r="D1123" s="2" t="str">
        <x:v>PE O BARRIGOSO</x:v>
      </x:c>
      <x:c r="E1123" s="4" t="n">
        <x:v>0.488</x:v>
      </x:c>
      <x:c r="F1123" s="4" t="n">
        <x:f>J1123*0.97</x:f>
        <x:v>0.46075</x:v>
      </x:c>
      <x:c r="G1123" s="4" t="n">
        <x:v>3</x:v>
      </x:c>
      <x:c r="H1123" s="4" t="n">
        <x:v>93.02</x:v>
      </x:c>
      <x:c r="I1123" s="5" t="n">
        <x:f t="shared" si="17">F1123*1000*H1123</x:f>
        <x:v>42858.965</x:v>
      </x:c>
      <x:c r="J1123" t="n">
        <x:v>0.475</x:v>
      </x:c>
    </x:row>
    <x:row r="1124">
      <x:c r="A1124" s="3" t="n">
        <x:v>2023</x:v>
      </x:c>
      <x:c r="B1124" s="2" t="str">
        <x:v>Julio</x:v>
      </x:c>
      <x:c r="C1124" s="2" t="str">
        <x:v>RE-006313-1</x:v>
      </x:c>
      <x:c r="D1124" s="2" t="str">
        <x:v>PE O BARRIGOSO</x:v>
      </x:c>
      <x:c r="E1124" s="4" t="n">
        <x:v>0.473</x:v>
      </x:c>
      <x:c r="F1124" s="4" t="n">
        <x:f>J1124*1.04</x:f>
        <x:v>0.47736000000000006</x:v>
      </x:c>
      <x:c r="G1124" s="4" t="n">
        <x:v>3</x:v>
      </x:c>
      <x:c r="H1124" s="4" t="n">
        <x:v>90.47</x:v>
      </x:c>
      <x:c r="I1124" s="5" t="n">
        <x:f t="shared" si="17">F1124*1000*H1124</x:f>
        <x:v>43186.75920000001</x:v>
      </x:c>
      <x:c r="J1124" t="n">
        <x:v>0.459</x:v>
      </x:c>
    </x:row>
    <x:row r="1125">
      <x:c r="A1125" s="3" t="n">
        <x:v>2023</x:v>
      </x:c>
      <x:c r="B1125" s="2" t="str">
        <x:v>Agosto</x:v>
      </x:c>
      <x:c r="C1125" s="2" t="str">
        <x:v>RE-006313-1</x:v>
      </x:c>
      <x:c r="D1125" s="2" t="str">
        <x:v>PE O BARRIGOSO</x:v>
      </x:c>
      <x:c r="E1125" s="4" t="n">
        <x:v>0.42</x:v>
      </x:c>
      <x:c r="F1125" s="4" t="n">
        <x:f>J1125*1</x:f>
        <x:v>0.41</x:v>
      </x:c>
      <x:c r="G1125" s="4" t="n">
        <x:v>3</x:v>
      </x:c>
      <x:c r="H1125" s="4" t="n">
        <x:v>96.05</x:v>
      </x:c>
      <x:c r="I1125" s="5" t="n">
        <x:f t="shared" si="17">F1125*1000*H1125</x:f>
        <x:v>39380.5</x:v>
      </x:c>
      <x:c r="J1125" t="n">
        <x:v>0.41</x:v>
      </x:c>
    </x:row>
    <x:row r="1126">
      <x:c r="A1126" s="3" t="n">
        <x:v>2023</x:v>
      </x:c>
      <x:c r="B1126" s="2" t="str">
        <x:v>Septiembre</x:v>
      </x:c>
      <x:c r="C1126" s="2" t="str">
        <x:v>RE-006313-1</x:v>
      </x:c>
      <x:c r="D1126" s="2" t="str">
        <x:v>PE O BARRIGOSO</x:v>
      </x:c>
      <x:c r="E1126" s="4" t="n">
        <x:v>0.547</x:v>
      </x:c>
      <x:c r="F1126" s="4" t="n">
        <x:f>J1126*0.96</x:f>
        <x:v>0.51456</x:v>
      </x:c>
      <x:c r="G1126" s="4" t="n">
        <x:v>3</x:v>
      </x:c>
      <x:c r="H1126" s="4" t="n">
        <x:v>103.34</x:v>
      </x:c>
      <x:c r="I1126" s="5" t="n">
        <x:f t="shared" si="17">F1126*1000*H1126</x:f>
        <x:v>53174.63040000001</x:v>
      </x:c>
      <x:c r="J1126" t="n">
        <x:v>0.536</x:v>
      </x:c>
    </x:row>
    <x:row r="1127">
      <x:c r="A1127" s="3" t="n">
        <x:v>2023</x:v>
      </x:c>
      <x:c r="B1127" s="2" t="str">
        <x:v>Octubre</x:v>
      </x:c>
      <x:c r="C1127" s="2" t="str">
        <x:v>RE-006313-1</x:v>
      </x:c>
      <x:c r="D1127" s="2" t="str">
        <x:v>PE O BARRIGOSO</x:v>
      </x:c>
      <x:c r="E1127" s="4" t="n">
        <x:v>0.704</x:v>
      </x:c>
      <x:c r="F1127" s="4" t="n">
        <x:f>J1127*1.03</x:f>
        <x:v>0.7034900000000001</x:v>
      </x:c>
      <x:c r="G1127" s="4" t="n">
        <x:v>3</x:v>
      </x:c>
      <x:c r="H1127" s="4" t="n">
        <x:v>90.14</x:v>
      </x:c>
      <x:c r="I1127" s="5" t="n">
        <x:f t="shared" si="17">F1127*1000*H1127</x:f>
        <x:v>63412.5886</x:v>
      </x:c>
      <x:c r="J1127" t="n">
        <x:v>0.683</x:v>
      </x:c>
    </x:row>
    <x:row r="1128">
      <x:c r="A1128" s="3" t="n">
        <x:v>2023</x:v>
      </x:c>
      <x:c r="B1128" s="2" t="str">
        <x:v>Noviembre</x:v>
      </x:c>
      <x:c r="C1128" s="2" t="str">
        <x:v>RE-006313-1</x:v>
      </x:c>
      <x:c r="D1128" s="2" t="str">
        <x:v>PE O BARRIGOSO</x:v>
      </x:c>
      <x:c r="E1128" s="4" t="n">
        <x:v>0.804</x:v>
      </x:c>
      <x:c r="F1128" s="4" t="n">
        <x:f>J1128*0.99</x:f>
        <x:v>0.77418</x:v>
      </x:c>
      <x:c r="G1128" s="4" t="n">
        <x:v>3</x:v>
      </x:c>
      <x:c r="H1128" s="4" t="n">
        <x:v>63.45</x:v>
      </x:c>
      <x:c r="I1128" s="5" t="n">
        <x:f t="shared" si="17">F1128*1000*H1128</x:f>
        <x:v>49121.721</x:v>
      </x:c>
      <x:c r="J1128" t="n">
        <x:v>0.782</x:v>
      </x:c>
    </x:row>
    <x:row r="1129">
      <x:c r="A1129" s="3" t="n">
        <x:v>2023</x:v>
      </x:c>
      <x:c r="B1129" s="2" t="str">
        <x:v>Diciembre</x:v>
      </x:c>
      <x:c r="C1129" s="2" t="str">
        <x:v>RE-006313-1</x:v>
      </x:c>
      <x:c r="D1129" s="2" t="str">
        <x:v>PE O BARRIGOSO</x:v>
      </x:c>
      <x:c r="E1129" s="4" t="n">
        <x:v>0.893</x:v>
      </x:c>
      <x:c r="F1129" s="4" t="n">
        <x:f>J1129*0.95</x:f>
        <x:v>0.83505</x:v>
      </x:c>
      <x:c r="G1129" s="4" t="n">
        <x:v>3</x:v>
      </x:c>
      <x:c r="H1129" s="4" t="n">
        <x:v>72.17</x:v>
      </x:c>
      <x:c r="I1129" s="5" t="n">
        <x:f t="shared" si="17">F1129*1000*H1129</x:f>
        <x:v>60265.5585</x:v>
      </x:c>
      <x:c r="J1129" t="n">
        <x:v>0.879</x:v>
      </x:c>
    </x:row>
    <x:row r="1130">
      <x:c r="A1130" s="3" t="n">
        <x:v>2023</x:v>
      </x:c>
      <x:c r="B1130" s="2" t="str">
        <x:v>Enero</x:v>
      </x:c>
      <x:c r="C1130" s="2" t="str">
        <x:v>RE-006314-1</x:v>
      </x:c>
      <x:c r="D1130" s="2" t="str">
        <x:v>P. E. SERRA DA LOBA</x:v>
      </x:c>
      <x:c r="E1130" s="4" t="n">
        <x:v>10.121</x:v>
      </x:c>
      <x:c r="F1130" s="4" t="n">
        <x:f>J1130*1.02</x:f>
        <x:v>10.03578</x:v>
      </x:c>
      <x:c r="G1130" s="4" t="n">
        <x:v>36</x:v>
      </x:c>
      <x:c r="H1130" s="4" t="n">
        <x:v>69.55</x:v>
      </x:c>
      <x:c r="I1130" s="5" t="n">
        <x:f t="shared" si="17">F1130*1000*H1130</x:f>
        <x:v>697988.4990000001</x:v>
      </x:c>
      <x:c r="J1130" t="n">
        <x:v>9.839</x:v>
      </x:c>
    </x:row>
    <x:row r="1131">
      <x:c r="A1131" s="3" t="n">
        <x:v>2023</x:v>
      </x:c>
      <x:c r="B1131" s="2" t="str">
        <x:v>Febrero</x:v>
      </x:c>
      <x:c r="C1131" s="2" t="str">
        <x:v>RE-006314-1</x:v>
      </x:c>
      <x:c r="D1131" s="2" t="str">
        <x:v>P. E. SERRA DA LOBA</x:v>
      </x:c>
      <x:c r="E1131" s="4" t="n">
        <x:v>9.145</x:v>
      </x:c>
      <x:c r="F1131" s="4" t="n">
        <x:f>J1131*0.98</x:f>
        <x:v>8.802359999999998</x:v>
      </x:c>
      <x:c r="G1131" s="4" t="n">
        <x:v>36</x:v>
      </x:c>
      <x:c r="H1131" s="4" t="n">
        <x:v>133.47</x:v>
      </x:c>
      <x:c r="I1131" s="5" t="n">
        <x:f t="shared" si="17">F1131*1000*H1131</x:f>
        <x:v>1174850.9891999997</x:v>
      </x:c>
      <x:c r="J1131" t="n">
        <x:v>8.982</x:v>
      </x:c>
    </x:row>
    <x:row r="1132">
      <x:c r="A1132" s="3" t="n">
        <x:v>2023</x:v>
      </x:c>
      <x:c r="B1132" s="2" t="str">
        <x:v>Marzo</x:v>
      </x:c>
      <x:c r="C1132" s="2" t="str">
        <x:v>RE-006314-1</x:v>
      </x:c>
      <x:c r="D1132" s="2" t="str">
        <x:v>P. E. SERRA DA LOBA</x:v>
      </x:c>
      <x:c r="E1132" s="4" t="n">
        <x:v>7.88</x:v>
      </x:c>
      <x:c r="F1132" s="4" t="n">
        <x:f>J1132*0.94</x:f>
        <x:v>7.284059999999999</x:v>
      </x:c>
      <x:c r="G1132" s="4" t="n">
        <x:v>36</x:v>
      </x:c>
      <x:c r="H1132" s="4" t="n">
        <x:v>89.61</x:v>
      </x:c>
      <x:c r="I1132" s="5" t="n">
        <x:f t="shared" si="17">F1132*1000*H1132</x:f>
        <x:v>652724.6166</x:v>
      </x:c>
      <x:c r="J1132" t="n">
        <x:v>7.749</x:v>
      </x:c>
    </x:row>
    <x:row r="1133">
      <x:c r="A1133" s="3" t="n">
        <x:v>2023</x:v>
      </x:c>
      <x:c r="B1133" s="2" t="str">
        <x:v>Abril</x:v>
      </x:c>
      <x:c r="C1133" s="2" t="str">
        <x:v>RE-006314-1</x:v>
      </x:c>
      <x:c r="D1133" s="2" t="str">
        <x:v>P. E. SERRA DA LOBA</x:v>
      </x:c>
      <x:c r="E1133" s="4" t="n">
        <x:v>7.006</x:v>
      </x:c>
      <x:c r="F1133" s="4" t="n">
        <x:f>J1133*1.01</x:f>
        <x:v>6.9589</x:v>
      </x:c>
      <x:c r="G1133" s="4" t="n">
        <x:v>36</x:v>
      </x:c>
      <x:c r="H1133" s="4" t="n">
        <x:v>73.73</x:v>
      </x:c>
      <x:c r="I1133" s="5" t="n">
        <x:f t="shared" si="17">F1133*1000*H1133</x:f>
        <x:v>513079.697</x:v>
      </x:c>
      <x:c r="J1133" t="n">
        <x:v>6.89</x:v>
      </x:c>
    </x:row>
    <x:row r="1134">
      <x:c r="A1134" s="3" t="n">
        <x:v>2023</x:v>
      </x:c>
      <x:c r="B1134" s="2" t="str">
        <x:v>Mayo</x:v>
      </x:c>
      <x:c r="C1134" s="2" t="str">
        <x:v>RE-006314-1</x:v>
      </x:c>
      <x:c r="D1134" s="2" t="str">
        <x:v>P. E. SERRA DA LOBA</x:v>
      </x:c>
      <x:c r="E1134" s="4" t="n">
        <x:v>6.561</x:v>
      </x:c>
      <x:c r="F1134" s="4" t="n">
        <x:f>J1134*0.97</x:f>
        <x:v>6.26426</x:v>
      </x:c>
      <x:c r="G1134" s="4" t="n">
        <x:v>36</x:v>
      </x:c>
      <x:c r="H1134" s="4" t="n">
        <x:v>74.21</x:v>
      </x:c>
      <x:c r="I1134" s="5" t="n">
        <x:f t="shared" si="17">F1134*1000*H1134</x:f>
        <x:v>464870.73459999997</x:v>
      </x:c>
      <x:c r="J1134" t="n">
        <x:v>6.458</x:v>
      </x:c>
    </x:row>
    <x:row r="1135">
      <x:c r="A1135" s="3" t="n">
        <x:v>2023</x:v>
      </x:c>
      <x:c r="B1135" s="2" t="str">
        <x:v>Junio</x:v>
      </x:c>
      <x:c r="C1135" s="2" t="str">
        <x:v>RE-006314-1</x:v>
      </x:c>
      <x:c r="D1135" s="2" t="str">
        <x:v>P. E. SERRA DA LOBA</x:v>
      </x:c>
      <x:c r="E1135" s="4" t="n">
        <x:v>5.224</x:v>
      </x:c>
      <x:c r="F1135" s="4" t="n">
        <x:f>J1135*1.04</x:f>
        <x:v>5.31856</x:v>
      </x:c>
      <x:c r="G1135" s="4" t="n">
        <x:v>36</x:v>
      </x:c>
      <x:c r="H1135" s="4" t="n">
        <x:v>93.02</x:v>
      </x:c>
      <x:c r="I1135" s="5" t="n">
        <x:f t="shared" si="17">F1135*1000*H1135</x:f>
        <x:v>494732.45119999995</x:v>
      </x:c>
      <x:c r="J1135" t="n">
        <x:v>5.114</x:v>
      </x:c>
    </x:row>
    <x:row r="1136">
      <x:c r="A1136" s="3" t="n">
        <x:v>2023</x:v>
      </x:c>
      <x:c r="B1136" s="2" t="str">
        <x:v>Julio</x:v>
      </x:c>
      <x:c r="C1136" s="2" t="str">
        <x:v>RE-006314-1</x:v>
      </x:c>
      <x:c r="D1136" s="2" t="str">
        <x:v>P. E. SERRA DA LOBA</x:v>
      </x:c>
      <x:c r="E1136" s="4" t="n">
        <x:v>5.367</x:v>
      </x:c>
      <x:c r="F1136" s="4" t="n">
        <x:f>J1136*1</x:f>
        <x:v>5.243</x:v>
      </x:c>
      <x:c r="G1136" s="4" t="n">
        <x:v>36</x:v>
      </x:c>
      <x:c r="H1136" s="4" t="n">
        <x:v>90.47</x:v>
      </x:c>
      <x:c r="I1136" s="5" t="n">
        <x:f t="shared" si="17">F1136*1000*H1136</x:f>
        <x:v>474334.21</x:v>
      </x:c>
      <x:c r="J1136" t="n">
        <x:v>5.243</x:v>
      </x:c>
    </x:row>
    <x:row r="1137">
      <x:c r="A1137" s="3" t="n">
        <x:v>2023</x:v>
      </x:c>
      <x:c r="B1137" s="2" t="str">
        <x:v>Agosto</x:v>
      </x:c>
      <x:c r="C1137" s="2" t="str">
        <x:v>RE-006314-1</x:v>
      </x:c>
      <x:c r="D1137" s="2" t="str">
        <x:v>P. E. SERRA DA LOBA</x:v>
      </x:c>
      <x:c r="E1137" s="4" t="n">
        <x:v>5.213</x:v>
      </x:c>
      <x:c r="F1137" s="4" t="n">
        <x:f>J1137*0.96</x:f>
        <x:v>4.849919999999999</x:v>
      </x:c>
      <x:c r="G1137" s="4" t="n">
        <x:v>36</x:v>
      </x:c>
      <x:c r="H1137" s="4" t="n">
        <x:v>96.05</x:v>
      </x:c>
      <x:c r="I1137" s="5" t="n">
        <x:f t="shared" si="17">F1137*1000*H1137</x:f>
        <x:v>465834.81599999993</x:v>
      </x:c>
      <x:c r="J1137" t="n">
        <x:v>5.052</x:v>
      </x:c>
    </x:row>
    <x:row r="1138">
      <x:c r="A1138" s="3" t="n">
        <x:v>2023</x:v>
      </x:c>
      <x:c r="B1138" s="2" t="str">
        <x:v>Septiembre</x:v>
      </x:c>
      <x:c r="C1138" s="2" t="str">
        <x:v>RE-006314-1</x:v>
      </x:c>
      <x:c r="D1138" s="2" t="str">
        <x:v>P. E. SERRA DA LOBA</x:v>
      </x:c>
      <x:c r="E1138" s="4" t="n">
        <x:v>6.047</x:v>
      </x:c>
      <x:c r="F1138" s="4" t="n">
        <x:f>J1138*1.03</x:f>
        <x:v>6.09451</x:v>
      </x:c>
      <x:c r="G1138" s="4" t="n">
        <x:v>36</x:v>
      </x:c>
      <x:c r="H1138" s="4" t="n">
        <x:v>103.34</x:v>
      </x:c>
      <x:c r="I1138" s="5" t="n">
        <x:f t="shared" si="17">F1138*1000*H1138</x:f>
        <x:v>629806.6634</x:v>
      </x:c>
      <x:c r="J1138" t="n">
        <x:v>5.917</x:v>
      </x:c>
    </x:row>
    <x:row r="1139">
      <x:c r="A1139" s="3" t="n">
        <x:v>2023</x:v>
      </x:c>
      <x:c r="B1139" s="2" t="str">
        <x:v>Octubre</x:v>
      </x:c>
      <x:c r="C1139" s="2" t="str">
        <x:v>RE-006314-1</x:v>
      </x:c>
      <x:c r="D1139" s="2" t="str">
        <x:v>P. E. SERRA DA LOBA</x:v>
      </x:c>
      <x:c r="E1139" s="4" t="n">
        <x:v>8.174</x:v>
      </x:c>
      <x:c r="F1139" s="4" t="n">
        <x:f>J1139*0.99</x:f>
        <x:v>7.8903</x:v>
      </x:c>
      <x:c r="G1139" s="4" t="n">
        <x:v>36</x:v>
      </x:c>
      <x:c r="H1139" s="4" t="n">
        <x:v>90.14</x:v>
      </x:c>
      <x:c r="I1139" s="5" t="n">
        <x:f t="shared" si="17">F1139*1000*H1139</x:f>
        <x:v>711231.642</x:v>
      </x:c>
      <x:c r="J1139" t="n">
        <x:v>7.97</x:v>
      </x:c>
    </x:row>
    <x:row r="1140">
      <x:c r="A1140" s="3" t="n">
        <x:v>2023</x:v>
      </x:c>
      <x:c r="B1140" s="2" t="str">
        <x:v>Noviembre</x:v>
      </x:c>
      <x:c r="C1140" s="2" t="str">
        <x:v>RE-006314-1</x:v>
      </x:c>
      <x:c r="D1140" s="2" t="str">
        <x:v>P. E. SERRA DA LOBA</x:v>
      </x:c>
      <x:c r="E1140" s="4" t="n">
        <x:v>8.939</x:v>
      </x:c>
      <x:c r="F1140" s="4" t="n">
        <x:f>J1140*0.95</x:f>
        <x:v>8.2384</x:v>
      </x:c>
      <x:c r="G1140" s="4" t="n">
        <x:v>36</x:v>
      </x:c>
      <x:c r="H1140" s="4" t="n">
        <x:v>63.45</x:v>
      </x:c>
      <x:c r="I1140" s="5" t="n">
        <x:f t="shared" si="17">F1140*1000*H1140</x:f>
        <x:v>522726.48</x:v>
      </x:c>
      <x:c r="J1140" t="n">
        <x:v>8.672</x:v>
      </x:c>
    </x:row>
    <x:row r="1141">
      <x:c r="A1141" s="3" t="n">
        <x:v>2023</x:v>
      </x:c>
      <x:c r="B1141" s="2" t="str">
        <x:v>Diciembre</x:v>
      </x:c>
      <x:c r="C1141" s="2" t="str">
        <x:v>RE-006314-1</x:v>
      </x:c>
      <x:c r="D1141" s="2" t="str">
        <x:v>P. E. SERRA DA LOBA</x:v>
      </x:c>
      <x:c r="E1141" s="4" t="n">
        <x:v>9.705</x:v>
      </x:c>
      <x:c r="F1141" s="4" t="n">
        <x:f>J1141*1.02</x:f>
        <x:v>9.681840000000001</x:v>
      </x:c>
      <x:c r="G1141" s="4" t="n">
        <x:v>36</x:v>
      </x:c>
      <x:c r="H1141" s="4" t="n">
        <x:v>72.17</x:v>
      </x:c>
      <x:c r="I1141" s="5" t="n">
        <x:f t="shared" si="17">F1141*1000*H1141</x:f>
        <x:v>698738.3928000001</x:v>
      </x:c>
      <x:c r="J1141" t="n">
        <x:v>9.492</x:v>
      </x:c>
    </x:row>
    <x:row r="1142">
      <x:c r="A1142" s="3" t="n">
        <x:v>2023</x:v>
      </x:c>
      <x:c r="B1142" s="2" t="str">
        <x:v>Enero</x:v>
      </x:c>
      <x:c r="C1142" s="2" t="str">
        <x:v>RE-006420-1</x:v>
      </x:c>
      <x:c r="D1142" s="2" t="str">
        <x:v>P.E. MONTE CABEZA</x:v>
      </x:c>
      <x:c r="E1142" s="4" t="n">
        <x:v>9.49</x:v>
      </x:c>
      <x:c r="F1142" s="4" t="n">
        <x:f>J1142*0.98</x:f>
        <x:v>9.12478</x:v>
      </x:c>
      <x:c r="G1142" s="4" t="n">
        <x:v>36.8</x:v>
      </x:c>
      <x:c r="H1142" s="4" t="n">
        <x:v>69.55</x:v>
      </x:c>
      <x:c r="I1142" s="5" t="n">
        <x:f t="shared" si="17">F1142*1000*H1142</x:f>
        <x:v>634628.4489999999</x:v>
      </x:c>
      <x:c r="J1142" t="n">
        <x:v>9.311</x:v>
      </x:c>
    </x:row>
    <x:row r="1143">
      <x:c r="A1143" s="3" t="n">
        <x:v>2023</x:v>
      </x:c>
      <x:c r="B1143" s="2" t="str">
        <x:v>Febrero</x:v>
      </x:c>
      <x:c r="C1143" s="2" t="str">
        <x:v>RE-006420-1</x:v>
      </x:c>
      <x:c r="D1143" s="2" t="str">
        <x:v>P.E. MONTE CABEZA</x:v>
      </x:c>
      <x:c r="E1143" s="4" t="n">
        <x:v>8.369</x:v>
      </x:c>
      <x:c r="F1143" s="4" t="n">
        <x:f>J1143*0.94</x:f>
        <x:v>7.623399999999999</x:v>
      </x:c>
      <x:c r="G1143" s="4" t="n">
        <x:v>36.8</x:v>
      </x:c>
      <x:c r="H1143" s="4" t="n">
        <x:v>133.47</x:v>
      </x:c>
      <x:c r="I1143" s="5" t="n">
        <x:f t="shared" si="17">F1143*1000*H1143</x:f>
        <x:v>1017495.198</x:v>
      </x:c>
      <x:c r="J1143" t="n">
        <x:v>8.11</x:v>
      </x:c>
    </x:row>
    <x:row r="1144">
      <x:c r="A1144" s="3" t="n">
        <x:v>2023</x:v>
      </x:c>
      <x:c r="B1144" s="2" t="str">
        <x:v>Marzo</x:v>
      </x:c>
      <x:c r="C1144" s="2" t="str">
        <x:v>RE-006420-1</x:v>
      </x:c>
      <x:c r="D1144" s="2" t="str">
        <x:v>P.E. MONTE CABEZA</x:v>
      </x:c>
      <x:c r="E1144" s="4" t="n">
        <x:v>8.745</x:v>
      </x:c>
      <x:c r="F1144" s="4" t="n">
        <x:f>J1144*1.01</x:f>
        <x:v>8.5547</x:v>
      </x:c>
      <x:c r="G1144" s="4" t="n">
        <x:v>36.8</x:v>
      </x:c>
      <x:c r="H1144" s="4" t="n">
        <x:v>89.61</x:v>
      </x:c>
      <x:c r="I1144" s="5" t="n">
        <x:f t="shared" si="17">F1144*1000*H1144</x:f>
        <x:v>766586.667</x:v>
      </x:c>
      <x:c r="J1144" t="n">
        <x:v>8.47</x:v>
      </x:c>
    </x:row>
    <x:row r="1145">
      <x:c r="A1145" s="3" t="n">
        <x:v>2023</x:v>
      </x:c>
      <x:c r="B1145" s="2" t="str">
        <x:v>Abril</x:v>
      </x:c>
      <x:c r="C1145" s="2" t="str">
        <x:v>RE-006420-1</x:v>
      </x:c>
      <x:c r="D1145" s="2" t="str">
        <x:v>P.E. MONTE CABEZA</x:v>
      </x:c>
      <x:c r="E1145" s="4" t="n">
        <x:v>7.073</x:v>
      </x:c>
      <x:c r="F1145" s="4" t="n">
        <x:f>J1145*0.97</x:f>
        <x:v>6.65614</x:v>
      </x:c>
      <x:c r="G1145" s="4" t="n">
        <x:v>36.8</x:v>
      </x:c>
      <x:c r="H1145" s="4" t="n">
        <x:v>73.73</x:v>
      </x:c>
      <x:c r="I1145" s="5" t="n">
        <x:f t="shared" si="17">F1145*1000*H1145</x:f>
        <x:v>490757.2022</x:v>
      </x:c>
      <x:c r="J1145" t="n">
        <x:v>6.862</x:v>
      </x:c>
    </x:row>
    <x:row r="1146">
      <x:c r="A1146" s="3" t="n">
        <x:v>2023</x:v>
      </x:c>
      <x:c r="B1146" s="2" t="str">
        <x:v>Mayo</x:v>
      </x:c>
      <x:c r="C1146" s="2" t="str">
        <x:v>RE-006420-1</x:v>
      </x:c>
      <x:c r="D1146" s="2" t="str">
        <x:v>P.E. MONTE CABEZA</x:v>
      </x:c>
      <x:c r="E1146" s="4" t="n">
        <x:v>6.713</x:v>
      </x:c>
      <x:c r="F1146" s="4" t="n">
        <x:f>J1146*1.04</x:f>
        <x:v>6.812</x:v>
      </x:c>
      <x:c r="G1146" s="4" t="n">
        <x:v>36.8</x:v>
      </x:c>
      <x:c r="H1146" s="4" t="n">
        <x:v>74.21</x:v>
      </x:c>
      <x:c r="I1146" s="5" t="n">
        <x:f t="shared" si="17">F1146*1000*H1146</x:f>
        <x:v>505518.51999999996</x:v>
      </x:c>
      <x:c r="J1146" t="n">
        <x:v>6.55</x:v>
      </x:c>
    </x:row>
    <x:row r="1147">
      <x:c r="A1147" s="3" t="n">
        <x:v>2023</x:v>
      </x:c>
      <x:c r="B1147" s="2" t="str">
        <x:v>Junio</x:v>
      </x:c>
      <x:c r="C1147" s="2" t="str">
        <x:v>RE-006420-1</x:v>
      </x:c>
      <x:c r="D1147" s="2" t="str">
        <x:v>P.E. MONTE CABEZA</x:v>
      </x:c>
      <x:c r="E1147" s="4" t="n">
        <x:v>4.715</x:v>
      </x:c>
      <x:c r="F1147" s="4" t="n">
        <x:f>J1147*1</x:f>
        <x:v>4.616</x:v>
      </x:c>
      <x:c r="G1147" s="4" t="n">
        <x:v>36.8</x:v>
      </x:c>
      <x:c r="H1147" s="4" t="n">
        <x:v>93.02</x:v>
      </x:c>
      <x:c r="I1147" s="5" t="n">
        <x:f t="shared" si="17">F1147*1000*H1147</x:f>
        <x:v>429380.32</x:v>
      </x:c>
      <x:c r="J1147" t="n">
        <x:v>4.616</x:v>
      </x:c>
    </x:row>
    <x:row r="1148">
      <x:c r="A1148" s="3" t="n">
        <x:v>2023</x:v>
      </x:c>
      <x:c r="B1148" s="2" t="str">
        <x:v>Julio</x:v>
      </x:c>
      <x:c r="C1148" s="2" t="str">
        <x:v>RE-006420-1</x:v>
      </x:c>
      <x:c r="D1148" s="2" t="str">
        <x:v>P.E. MONTE CABEZA</x:v>
      </x:c>
      <x:c r="E1148" s="4" t="n">
        <x:v>4.367</x:v>
      </x:c>
      <x:c r="F1148" s="4" t="n">
        <x:f>J1148*0.96</x:f>
        <x:v>4.10592</x:v>
      </x:c>
      <x:c r="G1148" s="4" t="n">
        <x:v>36.8</x:v>
      </x:c>
      <x:c r="H1148" s="4" t="n">
        <x:v>90.47</x:v>
      </x:c>
      <x:c r="I1148" s="5" t="n">
        <x:f t="shared" si="17">F1148*1000*H1148</x:f>
        <x:v>371462.5824</x:v>
      </x:c>
      <x:c r="J1148" t="n">
        <x:v>4.277</x:v>
      </x:c>
    </x:row>
    <x:row r="1149">
      <x:c r="A1149" s="3" t="n">
        <x:v>2023</x:v>
      </x:c>
      <x:c r="B1149" s="2" t="str">
        <x:v>Agosto</x:v>
      </x:c>
      <x:c r="C1149" s="2" t="str">
        <x:v>RE-006420-1</x:v>
      </x:c>
      <x:c r="D1149" s="2" t="str">
        <x:v>P.E. MONTE CABEZA</x:v>
      </x:c>
      <x:c r="E1149" s="4" t="n">
        <x:v>4.774</x:v>
      </x:c>
      <x:c r="F1149" s="4" t="n">
        <x:f>J1149*1.03</x:f>
        <x:v>4.83276</x:v>
      </x:c>
      <x:c r="G1149" s="4" t="n">
        <x:v>36.8</x:v>
      </x:c>
      <x:c r="H1149" s="4" t="n">
        <x:v>96.05</x:v>
      </x:c>
      <x:c r="I1149" s="5" t="n">
        <x:f t="shared" si="17">F1149*1000*H1149</x:f>
        <x:v>464186.598</x:v>
      </x:c>
      <x:c r="J1149" t="n">
        <x:v>4.692</x:v>
      </x:c>
    </x:row>
    <x:row r="1150">
      <x:c r="A1150" s="3" t="n">
        <x:v>2023</x:v>
      </x:c>
      <x:c r="B1150" s="2" t="str">
        <x:v>Septiembre</x:v>
      </x:c>
      <x:c r="C1150" s="2" t="str">
        <x:v>RE-006420-1</x:v>
      </x:c>
      <x:c r="D1150" s="2" t="str">
        <x:v>P.E. MONTE CABEZA</x:v>
      </x:c>
      <x:c r="E1150" s="4" t="n">
        <x:v>6.906</x:v>
      </x:c>
      <x:c r="F1150" s="4" t="n">
        <x:f>J1150*0.99</x:f>
        <x:v>6.63003</x:v>
      </x:c>
      <x:c r="G1150" s="4" t="n">
        <x:v>36.8</x:v>
      </x:c>
      <x:c r="H1150" s="4" t="n">
        <x:v>103.34</x:v>
      </x:c>
      <x:c r="I1150" s="5" t="n">
        <x:f t="shared" si="17">F1150*1000*H1150</x:f>
        <x:v>685147.3001999999</x:v>
      </x:c>
      <x:c r="J1150" t="n">
        <x:v>6.697</x:v>
      </x:c>
    </x:row>
    <x:row r="1151">
      <x:c r="A1151" s="3" t="n">
        <x:v>2023</x:v>
      </x:c>
      <x:c r="B1151" s="2" t="str">
        <x:v>Octubre</x:v>
      </x:c>
      <x:c r="C1151" s="2" t="str">
        <x:v>RE-006420-1</x:v>
      </x:c>
      <x:c r="D1151" s="2" t="str">
        <x:v>P.E. MONTE CABEZA</x:v>
      </x:c>
      <x:c r="E1151" s="4" t="n">
        <x:v>8.427</x:v>
      </x:c>
      <x:c r="F1151" s="4" t="n">
        <x:f>J1151*0.95</x:f>
        <x:v>7.82515</x:v>
      </x:c>
      <x:c r="G1151" s="4" t="n">
        <x:v>36.8</x:v>
      </x:c>
      <x:c r="H1151" s="4" t="n">
        <x:v>90.14</x:v>
      </x:c>
      <x:c r="I1151" s="5" t="n">
        <x:f t="shared" si="17">F1151*1000*H1151</x:f>
        <x:v>705359.021</x:v>
      </x:c>
      <x:c r="J1151" t="n">
        <x:v>8.237</x:v>
      </x:c>
    </x:row>
    <x:row r="1152">
      <x:c r="A1152" s="3" t="n">
        <x:v>2023</x:v>
      </x:c>
      <x:c r="B1152" s="2" t="str">
        <x:v>Noviembre</x:v>
      </x:c>
      <x:c r="C1152" s="2" t="str">
        <x:v>RE-006420-1</x:v>
      </x:c>
      <x:c r="D1152" s="2" t="str">
        <x:v>P.E. MONTE CABEZA</x:v>
      </x:c>
      <x:c r="E1152" s="4" t="n">
        <x:v>7.97</x:v>
      </x:c>
      <x:c r="F1152" s="4" t="n">
        <x:f>J1152*1.02</x:f>
        <x:v>7.90296</x:v>
      </x:c>
      <x:c r="G1152" s="4" t="n">
        <x:v>36.8</x:v>
      </x:c>
      <x:c r="H1152" s="4" t="n">
        <x:v>63.45</x:v>
      </x:c>
      <x:c r="I1152" s="5" t="n">
        <x:f t="shared" si="17">F1152*1000*H1152</x:f>
        <x:v>501442.81200000003</x:v>
      </x:c>
      <x:c r="J1152" t="n">
        <x:v>7.748</x:v>
      </x:c>
    </x:row>
    <x:row r="1153">
      <x:c r="A1153" s="3" t="n">
        <x:v>2023</x:v>
      </x:c>
      <x:c r="B1153" s="2" t="str">
        <x:v>Diciembre</x:v>
      </x:c>
      <x:c r="C1153" s="2" t="str">
        <x:v>RE-006420-1</x:v>
      </x:c>
      <x:c r="D1153" s="2" t="str">
        <x:v>P.E. MONTE CABEZA</x:v>
      </x:c>
      <x:c r="E1153" s="4" t="n">
        <x:v>9.02</x:v>
      </x:c>
      <x:c r="F1153" s="4" t="n">
        <x:f>J1153*0.98</x:f>
        <x:v>8.5848</x:v>
      </x:c>
      <x:c r="G1153" s="4" t="n">
        <x:v>36.8</x:v>
      </x:c>
      <x:c r="H1153" s="4" t="n">
        <x:v>72.17</x:v>
      </x:c>
      <x:c r="I1153" s="5" t="n">
        <x:f t="shared" si="17">F1153*1000*H1153</x:f>
        <x:v>619565.016</x:v>
      </x:c>
      <x:c r="J1153" t="n">
        <x:v>8.76</x:v>
      </x:c>
    </x:row>
    <x:row r="1154">
      <x:c r="A1154" s="3" t="n">
        <x:v>2023</x:v>
      </x:c>
      <x:c r="B1154" s="2" t="str">
        <x:v>Enero</x:v>
      </x:c>
      <x:c r="C1154" s="2" t="str">
        <x:v>RE-006421-1</x:v>
      </x:c>
      <x:c r="D1154" s="2" t="str">
        <x:v>P.E. FARELO</x:v>
      </x:c>
      <x:c r="E1154" s="4" t="n">
        <x:v>7.148</x:v>
      </x:c>
      <x:c r="F1154" s="4" t="n">
        <x:f>J1154*0.94</x:f>
        <x:v>6.607259999999999</x:v>
      </x:c>
      <x:c r="G1154" s="4" t="n">
        <x:v>28.8</x:v>
      </x:c>
      <x:c r="H1154" s="4" t="n">
        <x:v>69.55</x:v>
      </x:c>
      <x:c r="I1154" s="5" t="n">
        <x:f t="shared" ref="I1154:I1217" si="18">F1154*1000*H1154</x:f>
        <x:v>459534.93299999996</x:v>
      </x:c>
      <x:c r="J1154" t="n">
        <x:v>7.029</x:v>
      </x:c>
    </x:row>
    <x:row r="1155">
      <x:c r="A1155" s="3" t="n">
        <x:v>2023</x:v>
      </x:c>
      <x:c r="B1155" s="2" t="str">
        <x:v>Febrero</x:v>
      </x:c>
      <x:c r="C1155" s="2" t="str">
        <x:v>RE-006421-1</x:v>
      </x:c>
      <x:c r="D1155" s="2" t="str">
        <x:v>P.E. FARELO</x:v>
      </x:c>
      <x:c r="E1155" s="4" t="n">
        <x:v>6.516</x:v>
      </x:c>
      <x:c r="F1155" s="4" t="n">
        <x:f>J1155*1.01</x:f>
        <x:v>6.38522</x:v>
      </x:c>
      <x:c r="G1155" s="4" t="n">
        <x:v>28.8</x:v>
      </x:c>
      <x:c r="H1155" s="4" t="n">
        <x:v>133.47</x:v>
      </x:c>
      <x:c r="I1155" s="5" t="n">
        <x:f t="shared" si="18">F1155*1000*H1155</x:f>
        <x:v>852235.3134</x:v>
      </x:c>
      <x:c r="J1155" t="n">
        <x:v>6.322</x:v>
      </x:c>
    </x:row>
    <x:row r="1156">
      <x:c r="A1156" s="3" t="n">
        <x:v>2023</x:v>
      </x:c>
      <x:c r="B1156" s="2" t="str">
        <x:v>Marzo</x:v>
      </x:c>
      <x:c r="C1156" s="2" t="str">
        <x:v>RE-006421-1</x:v>
      </x:c>
      <x:c r="D1156" s="2" t="str">
        <x:v>P.E. FARELO</x:v>
      </x:c>
      <x:c r="E1156" s="4" t="n">
        <x:v>7.835</x:v>
      </x:c>
      <x:c r="F1156" s="4" t="n">
        <x:f>J1156*0.97</x:f>
        <x:v>7.393339999999999</x:v>
      </x:c>
      <x:c r="G1156" s="4" t="n">
        <x:v>28.8</x:v>
      </x:c>
      <x:c r="H1156" s="4" t="n">
        <x:v>89.61</x:v>
      </x:c>
      <x:c r="I1156" s="5" t="n">
        <x:f t="shared" si="18">F1156*1000*H1156</x:f>
        <x:v>662517.1974</x:v>
      </x:c>
      <x:c r="J1156" t="n">
        <x:v>7.622</x:v>
      </x:c>
    </x:row>
    <x:row r="1157">
      <x:c r="A1157" s="3" t="n">
        <x:v>2023</x:v>
      </x:c>
      <x:c r="B1157" s="2" t="str">
        <x:v>Abril</x:v>
      </x:c>
      <x:c r="C1157" s="2" t="str">
        <x:v>RE-006421-1</x:v>
      </x:c>
      <x:c r="D1157" s="2" t="str">
        <x:v>P.E. FARELO</x:v>
      </x:c>
      <x:c r="E1157" s="4" t="n">
        <x:v>6.349</x:v>
      </x:c>
      <x:c r="F1157" s="4" t="n">
        <x:f>J1157*1.04</x:f>
        <x:v>6.40536</x:v>
      </x:c>
      <x:c r="G1157" s="4" t="n">
        <x:v>28.8</x:v>
      </x:c>
      <x:c r="H1157" s="4" t="n">
        <x:v>73.73</x:v>
      </x:c>
      <x:c r="I1157" s="5" t="n">
        <x:f t="shared" si="18">F1157*1000*H1157</x:f>
        <x:v>472267.1928</x:v>
      </x:c>
      <x:c r="J1157" t="n">
        <x:v>6.159</x:v>
      </x:c>
    </x:row>
    <x:row r="1158">
      <x:c r="A1158" s="3" t="n">
        <x:v>2023</x:v>
      </x:c>
      <x:c r="B1158" s="2" t="str">
        <x:v>Mayo</x:v>
      </x:c>
      <x:c r="C1158" s="2" t="str">
        <x:v>RE-006421-1</x:v>
      </x:c>
      <x:c r="D1158" s="2" t="str">
        <x:v>P.E. FARELO</x:v>
      </x:c>
      <x:c r="E1158" s="4" t="n">
        <x:v>4.762</x:v>
      </x:c>
      <x:c r="F1158" s="4" t="n">
        <x:f>J1158*1</x:f>
        <x:v>4.612</x:v>
      </x:c>
      <x:c r="G1158" s="4" t="n">
        <x:v>28.8</x:v>
      </x:c>
      <x:c r="H1158" s="4" t="n">
        <x:v>74.21</x:v>
      </x:c>
      <x:c r="I1158" s="5" t="n">
        <x:f t="shared" si="18">F1158*1000*H1158</x:f>
        <x:v>342256.51999999996</x:v>
      </x:c>
      <x:c r="J1158" t="n">
        <x:v>4.612</x:v>
      </x:c>
    </x:row>
    <x:row r="1159">
      <x:c r="A1159" s="3" t="n">
        <x:v>2023</x:v>
      </x:c>
      <x:c r="B1159" s="2" t="str">
        <x:v>Junio</x:v>
      </x:c>
      <x:c r="C1159" s="2" t="str">
        <x:v>RE-006421-1</x:v>
      </x:c>
      <x:c r="D1159" s="2" t="str">
        <x:v>P.E. FARELO</x:v>
      </x:c>
      <x:c r="E1159" s="4" t="n">
        <x:v>3.975</x:v>
      </x:c>
      <x:c r="F1159" s="4" t="n">
        <x:f>J1159*0.96</x:f>
        <x:v>3.7411199999999996</x:v>
      </x:c>
      <x:c r="G1159" s="4" t="n">
        <x:v>28.8</x:v>
      </x:c>
      <x:c r="H1159" s="4" t="n">
        <x:v>93.02</x:v>
      </x:c>
      <x:c r="I1159" s="5" t="n">
        <x:f t="shared" si="18">F1159*1000*H1159</x:f>
        <x:v>347998.9823999999</x:v>
      </x:c>
      <x:c r="J1159" t="n">
        <x:v>3.897</x:v>
      </x:c>
    </x:row>
    <x:row r="1160">
      <x:c r="A1160" s="3" t="n">
        <x:v>2023</x:v>
      </x:c>
      <x:c r="B1160" s="2" t="str">
        <x:v>Julio</x:v>
      </x:c>
      <x:c r="C1160" s="2" t="str">
        <x:v>RE-006421-1</x:v>
      </x:c>
      <x:c r="D1160" s="2" t="str">
        <x:v>P.E. FARELO</x:v>
      </x:c>
      <x:c r="E1160" s="4" t="n">
        <x:v>4.874</x:v>
      </x:c>
      <x:c r="F1160" s="4" t="n">
        <x:f>J1160*1.03</x:f>
        <x:v>4.934730000000001</x:v>
      </x:c>
      <x:c r="G1160" s="4" t="n">
        <x:v>28.8</x:v>
      </x:c>
      <x:c r="H1160" s="4" t="n">
        <x:v>90.47</x:v>
      </x:c>
      <x:c r="I1160" s="5" t="n">
        <x:f t="shared" si="18">F1160*1000*H1160</x:f>
        <x:v>446445.0231000001</x:v>
      </x:c>
      <x:c r="J1160" t="n">
        <x:v>4.791</x:v>
      </x:c>
    </x:row>
    <x:row r="1161">
      <x:c r="A1161" s="3" t="n">
        <x:v>2023</x:v>
      </x:c>
      <x:c r="B1161" s="2" t="str">
        <x:v>Agosto</x:v>
      </x:c>
      <x:c r="C1161" s="2" t="str">
        <x:v>RE-006421-1</x:v>
      </x:c>
      <x:c r="D1161" s="2" t="str">
        <x:v>P.E. FARELO</x:v>
      </x:c>
      <x:c r="E1161" s="4" t="n">
        <x:v>5.003</x:v>
      </x:c>
      <x:c r="F1161" s="4" t="n">
        <x:f>J1161*0.99</x:f>
        <x:v>4.81536</x:v>
      </x:c>
      <x:c r="G1161" s="4" t="n">
        <x:v>28.8</x:v>
      </x:c>
      <x:c r="H1161" s="4" t="n">
        <x:v>96.05</x:v>
      </x:c>
      <x:c r="I1161" s="5" t="n">
        <x:f t="shared" si="18">F1161*1000*H1161</x:f>
        <x:v>462515.328</x:v>
      </x:c>
      <x:c r="J1161" t="n">
        <x:v>4.864</x:v>
      </x:c>
    </x:row>
    <x:row r="1162">
      <x:c r="A1162" s="3" t="n">
        <x:v>2023</x:v>
      </x:c>
      <x:c r="B1162" s="2" t="str">
        <x:v>Septiembre</x:v>
      </x:c>
      <x:c r="C1162" s="2" t="str">
        <x:v>RE-006421-1</x:v>
      </x:c>
      <x:c r="D1162" s="2" t="str">
        <x:v>P.E. FARELO</x:v>
      </x:c>
      <x:c r="E1162" s="4" t="n">
        <x:v>5.333</x:v>
      </x:c>
      <x:c r="F1162" s="4" t="n">
        <x:f>J1162*0.95</x:f>
        <x:v>4.9248</x:v>
      </x:c>
      <x:c r="G1162" s="4" t="n">
        <x:v>28.8</x:v>
      </x:c>
      <x:c r="H1162" s="4" t="n">
        <x:v>103.34</x:v>
      </x:c>
      <x:c r="I1162" s="5" t="n">
        <x:f t="shared" si="18">F1162*1000*H1162</x:f>
        <x:v>508928.83200000005</x:v>
      </x:c>
      <x:c r="J1162" t="n">
        <x:v>5.184</x:v>
      </x:c>
    </x:row>
    <x:row r="1163">
      <x:c r="A1163" s="3" t="n">
        <x:v>2023</x:v>
      </x:c>
      <x:c r="B1163" s="2" t="str">
        <x:v>Octubre</x:v>
      </x:c>
      <x:c r="C1163" s="2" t="str">
        <x:v>RE-006421-1</x:v>
      </x:c>
      <x:c r="D1163" s="2" t="str">
        <x:v>P.E. FARELO</x:v>
      </x:c>
      <x:c r="E1163" s="4" t="n">
        <x:v>6.645</x:v>
      </x:c>
      <x:c r="F1163" s="4" t="n">
        <x:f>J1163*1.02</x:f>
        <x:v>6.61878</x:v>
      </x:c>
      <x:c r="G1163" s="4" t="n">
        <x:v>28.8</x:v>
      </x:c>
      <x:c r="H1163" s="4" t="n">
        <x:v>90.14</x:v>
      </x:c>
      <x:c r="I1163" s="5" t="n">
        <x:f t="shared" si="18">F1163*1000*H1163</x:f>
        <x:v>596616.8292</x:v>
      </x:c>
      <x:c r="J1163" t="n">
        <x:v>6.489</x:v>
      </x:c>
    </x:row>
    <x:row r="1164">
      <x:c r="A1164" s="3" t="n">
        <x:v>2023</x:v>
      </x:c>
      <x:c r="B1164" s="2" t="str">
        <x:v>Noviembre</x:v>
      </x:c>
      <x:c r="C1164" s="2" t="str">
        <x:v>RE-006421-1</x:v>
      </x:c>
      <x:c r="D1164" s="2" t="str">
        <x:v>P.E. FARELO</x:v>
      </x:c>
      <x:c r="E1164" s="4" t="n">
        <x:v>6.809</x:v>
      </x:c>
      <x:c r="F1164" s="4" t="n">
        <x:f>J1164*0.98</x:f>
        <x:v>6.5268</x:v>
      </x:c>
      <x:c r="G1164" s="4" t="n">
        <x:v>28.8</x:v>
      </x:c>
      <x:c r="H1164" s="4" t="n">
        <x:v>63.45</x:v>
      </x:c>
      <x:c r="I1164" s="5" t="n">
        <x:f t="shared" si="18">F1164*1000*H1164</x:f>
        <x:v>414125.45999999996</x:v>
      </x:c>
      <x:c r="J1164" t="n">
        <x:v>6.66</x:v>
      </x:c>
    </x:row>
    <x:row r="1165">
      <x:c r="A1165" s="3" t="n">
        <x:v>2023</x:v>
      </x:c>
      <x:c r="B1165" s="2" t="str">
        <x:v>Diciembre</x:v>
      </x:c>
      <x:c r="C1165" s="2" t="str">
        <x:v>RE-006421-1</x:v>
      </x:c>
      <x:c r="D1165" s="2" t="str">
        <x:v>P.E. FARELO</x:v>
      </x:c>
      <x:c r="E1165" s="4" t="n">
        <x:v>8.014</x:v>
      </x:c>
      <x:c r="F1165" s="4" t="n">
        <x:f>J1165*0.94</x:f>
        <x:v>7.3132</x:v>
      </x:c>
      <x:c r="G1165" s="4" t="n">
        <x:v>28.8</x:v>
      </x:c>
      <x:c r="H1165" s="4" t="n">
        <x:v>72.17</x:v>
      </x:c>
      <x:c r="I1165" s="5" t="n">
        <x:f t="shared" si="18">F1165*1000*H1165</x:f>
        <x:v>527793.644</x:v>
      </x:c>
      <x:c r="J1165" t="n">
        <x:v>7.78</x:v>
      </x:c>
    </x:row>
    <x:row r="1166">
      <x:c r="A1166" s="3" t="n">
        <x:v>2023</x:v>
      </x:c>
      <x:c r="B1166" s="2" t="str">
        <x:v>Enero</x:v>
      </x:c>
      <x:c r="C1166" s="2" t="str">
        <x:v>RE-006762-1</x:v>
      </x:c>
      <x:c r="D1166" s="2" t="str">
        <x:v>P. E. SINGULAR "INDITEX"</x:v>
      </x:c>
      <x:c r="E1166" s="4" t="n">
        <x:v>0.24</x:v>
      </x:c>
      <x:c r="F1166" s="4" t="n">
        <x:f>J1166*1.01</x:f>
        <x:v>0.23734999999999998</x:v>
      </x:c>
      <x:c r="G1166" s="4" t="n">
        <x:v>0.85</x:v>
      </x:c>
      <x:c r="H1166" s="4" t="n">
        <x:v>69.55</x:v>
      </x:c>
      <x:c r="I1166" s="5" t="n">
        <x:f t="shared" si="18">F1166*1000*H1166</x:f>
        <x:v>16507.692499999997</x:v>
      </x:c>
      <x:c r="J1166" t="n">
        <x:v>0.235</x:v>
      </x:c>
    </x:row>
    <x:row r="1167">
      <x:c r="A1167" s="3" t="n">
        <x:v>2023</x:v>
      </x:c>
      <x:c r="B1167" s="2" t="str">
        <x:v>Febrero</x:v>
      </x:c>
      <x:c r="C1167" s="2" t="str">
        <x:v>RE-006762-1</x:v>
      </x:c>
      <x:c r="D1167" s="2" t="str">
        <x:v>P. E. SINGULAR "INDITEX"</x:v>
      </x:c>
      <x:c r="E1167" s="4" t="n">
        <x:v>0.238</x:v>
      </x:c>
      <x:c r="F1167" s="4" t="n">
        <x:f>J1167*0.97</x:f>
        <x:v>0.22504000000000002</x:v>
      </x:c>
      <x:c r="G1167" s="4" t="n">
        <x:v>0.85</x:v>
      </x:c>
      <x:c r="H1167" s="4" t="n">
        <x:v>133.47</x:v>
      </x:c>
      <x:c r="I1167" s="5" t="n">
        <x:f t="shared" si="18">F1167*1000*H1167</x:f>
        <x:v>30036.0888</x:v>
      </x:c>
      <x:c r="J1167" t="n">
        <x:v>0.232</x:v>
      </x:c>
    </x:row>
    <x:row r="1168">
      <x:c r="A1168" s="3" t="n">
        <x:v>2023</x:v>
      </x:c>
      <x:c r="B1168" s="2" t="str">
        <x:v>Marzo</x:v>
      </x:c>
      <x:c r="C1168" s="2" t="str">
        <x:v>RE-006762-1</x:v>
      </x:c>
      <x:c r="D1168" s="2" t="str">
        <x:v>P. E. SINGULAR "INDITEX"</x:v>
      </x:c>
      <x:c r="E1168" s="4" t="n">
        <x:v>0.203</x:v>
      </x:c>
      <x:c r="F1168" s="4" t="n">
        <x:f>J1168*1.04</x:f>
        <x:v>0.20592000000000002</x:v>
      </x:c>
      <x:c r="G1168" s="4" t="n">
        <x:v>0.85</x:v>
      </x:c>
      <x:c r="H1168" s="4" t="n">
        <x:v>89.61</x:v>
      </x:c>
      <x:c r="I1168" s="5" t="n">
        <x:f t="shared" si="18">F1168*1000*H1168</x:f>
        <x:v>18452.4912</x:v>
      </x:c>
      <x:c r="J1168" t="n">
        <x:v>0.198</x:v>
      </x:c>
    </x:row>
    <x:row r="1169">
      <x:c r="A1169" s="3" t="n">
        <x:v>2023</x:v>
      </x:c>
      <x:c r="B1169" s="2" t="str">
        <x:v>Abril</x:v>
      </x:c>
      <x:c r="C1169" s="2" t="str">
        <x:v>RE-006762-1</x:v>
      </x:c>
      <x:c r="D1169" s="2" t="str">
        <x:v>P. E. SINGULAR "INDITEX"</x:v>
      </x:c>
      <x:c r="E1169" s="4" t="n">
        <x:v>0.188</x:v>
      </x:c>
      <x:c r="F1169" s="4" t="n">
        <x:f>J1169*1</x:f>
        <x:v>0.184</x:v>
      </x:c>
      <x:c r="G1169" s="4" t="n">
        <x:v>0.85</x:v>
      </x:c>
      <x:c r="H1169" s="4" t="n">
        <x:v>73.73</x:v>
      </x:c>
      <x:c r="I1169" s="5" t="n">
        <x:f t="shared" si="18">F1169*1000*H1169</x:f>
        <x:v>13566.320000000002</x:v>
      </x:c>
      <x:c r="J1169" t="n">
        <x:v>0.184</x:v>
      </x:c>
    </x:row>
    <x:row r="1170">
      <x:c r="A1170" s="3" t="n">
        <x:v>2023</x:v>
      </x:c>
      <x:c r="B1170" s="2" t="str">
        <x:v>Mayo</x:v>
      </x:c>
      <x:c r="C1170" s="2" t="str">
        <x:v>RE-006762-1</x:v>
      </x:c>
      <x:c r="D1170" s="2" t="str">
        <x:v>P. E. SINGULAR "INDITEX"</x:v>
      </x:c>
      <x:c r="E1170" s="4" t="n">
        <x:v>0.189</x:v>
      </x:c>
      <x:c r="F1170" s="4" t="n">
        <x:f>J1170*0.96</x:f>
        <x:v>0.17664</x:v>
      </x:c>
      <x:c r="G1170" s="4" t="n">
        <x:v>0.85</x:v>
      </x:c>
      <x:c r="H1170" s="4" t="n">
        <x:v>74.21</x:v>
      </x:c>
      <x:c r="I1170" s="5" t="n">
        <x:f t="shared" si="18">F1170*1000*H1170</x:f>
        <x:v>13108.454399999999</x:v>
      </x:c>
      <x:c r="J1170" t="n">
        <x:v>0.184</x:v>
      </x:c>
    </x:row>
    <x:row r="1171">
      <x:c r="A1171" s="3" t="n">
        <x:v>2023</x:v>
      </x:c>
      <x:c r="B1171" s="2" t="str">
        <x:v>Junio</x:v>
      </x:c>
      <x:c r="C1171" s="2" t="str">
        <x:v>RE-006762-1</x:v>
      </x:c>
      <x:c r="D1171" s="2" t="str">
        <x:v>P. E. SINGULAR "INDITEX"</x:v>
      </x:c>
      <x:c r="E1171" s="4" t="n">
        <x:v>0.161</x:v>
      </x:c>
      <x:c r="F1171" s="4" t="n">
        <x:f>J1171*1.03</x:f>
        <x:v>0.16068000000000002</x:v>
      </x:c>
      <x:c r="G1171" s="4" t="n">
        <x:v>0.85</x:v>
      </x:c>
      <x:c r="H1171" s="4" t="n">
        <x:v>93.02</x:v>
      </x:c>
      <x:c r="I1171" s="5" t="n">
        <x:f t="shared" si="18">F1171*1000*H1171</x:f>
        <x:v>14946.4536</x:v>
      </x:c>
      <x:c r="J1171" t="n">
        <x:v>0.156</x:v>
      </x:c>
    </x:row>
    <x:row r="1172">
      <x:c r="A1172" s="3" t="n">
        <x:v>2023</x:v>
      </x:c>
      <x:c r="B1172" s="2" t="str">
        <x:v>Julio</x:v>
      </x:c>
      <x:c r="C1172" s="2" t="str">
        <x:v>RE-006762-1</x:v>
      </x:c>
      <x:c r="D1172" s="2" t="str">
        <x:v>P. E. SINGULAR "INDITEX"</x:v>
      </x:c>
      <x:c r="E1172" s="4" t="n">
        <x:v>0.134</x:v>
      </x:c>
      <x:c r="F1172" s="4" t="n">
        <x:f>J1172*0.99</x:f>
        <x:v>0.13068000000000002</x:v>
      </x:c>
      <x:c r="G1172" s="4" t="n">
        <x:v>0.85</x:v>
      </x:c>
      <x:c r="H1172" s="4" t="n">
        <x:v>90.47</x:v>
      </x:c>
      <x:c r="I1172" s="5" t="n">
        <x:f t="shared" si="18">F1172*1000*H1172</x:f>
        <x:v>11822.6196</x:v>
      </x:c>
      <x:c r="J1172" t="n">
        <x:v>0.132</x:v>
      </x:c>
    </x:row>
    <x:row r="1173">
      <x:c r="A1173" s="3" t="n">
        <x:v>2023</x:v>
      </x:c>
      <x:c r="B1173" s="2" t="str">
        <x:v>Agosto</x:v>
      </x:c>
      <x:c r="C1173" s="2" t="str">
        <x:v>RE-006762-1</x:v>
      </x:c>
      <x:c r="D1173" s="2" t="str">
        <x:v>P. E. SINGULAR "INDITEX"</x:v>
      </x:c>
      <x:c r="E1173" s="4" t="n">
        <x:v>0.147</x:v>
      </x:c>
      <x:c r="F1173" s="4" t="n">
        <x:f>J1173*0.95</x:f>
        <x:v>0.13679999999999998</x:v>
      </x:c>
      <x:c r="G1173" s="4" t="n">
        <x:v>0.85</x:v>
      </x:c>
      <x:c r="H1173" s="4" t="n">
        <x:v>96.05</x:v>
      </x:c>
      <x:c r="I1173" s="5" t="n">
        <x:f t="shared" si="18">F1173*1000*H1173</x:f>
        <x:v>13139.639999999998</x:v>
      </x:c>
      <x:c r="J1173" t="n">
        <x:v>0.144</x:v>
      </x:c>
    </x:row>
    <x:row r="1174">
      <x:c r="A1174" s="3" t="n">
        <x:v>2023</x:v>
      </x:c>
      <x:c r="B1174" s="2" t="str">
        <x:v>Septiembre</x:v>
      </x:c>
      <x:c r="C1174" s="2" t="str">
        <x:v>RE-006762-1</x:v>
      </x:c>
      <x:c r="D1174" s="2" t="str">
        <x:v>P. E. SINGULAR "INDITEX"</x:v>
      </x:c>
      <x:c r="E1174" s="4" t="n">
        <x:v>0.167</x:v>
      </x:c>
      <x:c r="F1174" s="4" t="n">
        <x:f>J1174*1.02</x:f>
        <x:v>0.16626000000000002</x:v>
      </x:c>
      <x:c r="G1174" s="4" t="n">
        <x:v>0.85</x:v>
      </x:c>
      <x:c r="H1174" s="4" t="n">
        <x:v>103.34</x:v>
      </x:c>
      <x:c r="I1174" s="5" t="n">
        <x:f t="shared" si="18">F1174*1000*H1174</x:f>
        <x:v>17181.3084</x:v>
      </x:c>
      <x:c r="J1174" t="n">
        <x:v>0.163</x:v>
      </x:c>
    </x:row>
    <x:row r="1175">
      <x:c r="A1175" s="3" t="n">
        <x:v>2023</x:v>
      </x:c>
      <x:c r="B1175" s="2" t="str">
        <x:v>Octubre</x:v>
      </x:c>
      <x:c r="C1175" s="2" t="str">
        <x:v>RE-006762-1</x:v>
      </x:c>
      <x:c r="D1175" s="2" t="str">
        <x:v>P. E. SINGULAR "INDITEX"</x:v>
      </x:c>
      <x:c r="E1175" s="4" t="n">
        <x:v>0.208</x:v>
      </x:c>
      <x:c r="F1175" s="4" t="n">
        <x:f>J1175*0.98</x:f>
        <x:v>0.2009</x:v>
      </x:c>
      <x:c r="G1175" s="4" t="n">
        <x:v>0.85</x:v>
      </x:c>
      <x:c r="H1175" s="4" t="n">
        <x:v>90.14</x:v>
      </x:c>
      <x:c r="I1175" s="5" t="n">
        <x:f t="shared" si="18">F1175*1000*H1175</x:f>
        <x:v>18109.126</x:v>
      </x:c>
      <x:c r="J1175" t="n">
        <x:v>0.205</x:v>
      </x:c>
    </x:row>
    <x:row r="1176">
      <x:c r="A1176" s="3" t="n">
        <x:v>2023</x:v>
      </x:c>
      <x:c r="B1176" s="2" t="str">
        <x:v>Noviembre</x:v>
      </x:c>
      <x:c r="C1176" s="2" t="str">
        <x:v>RE-006762-1</x:v>
      </x:c>
      <x:c r="D1176" s="2" t="str">
        <x:v>P. E. SINGULAR "INDITEX"</x:v>
      </x:c>
      <x:c r="E1176" s="4" t="n">
        <x:v>0.228</x:v>
      </x:c>
      <x:c r="F1176" s="4" t="n">
        <x:f>J1176*0.94</x:f>
        <x:v>0.20962</x:v>
      </x:c>
      <x:c r="G1176" s="4" t="n">
        <x:v>0.85</x:v>
      </x:c>
      <x:c r="H1176" s="4" t="n">
        <x:v>63.45</x:v>
      </x:c>
      <x:c r="I1176" s="5" t="n">
        <x:f t="shared" si="18">F1176*1000*H1176</x:f>
        <x:v>13300.389000000001</x:v>
      </x:c>
      <x:c r="J1176" t="n">
        <x:v>0.223</x:v>
      </x:c>
    </x:row>
    <x:row r="1177">
      <x:c r="A1177" s="3" t="n">
        <x:v>2023</x:v>
      </x:c>
      <x:c r="B1177" s="2" t="str">
        <x:v>Diciembre</x:v>
      </x:c>
      <x:c r="C1177" s="2" t="str">
        <x:v>RE-006762-1</x:v>
      </x:c>
      <x:c r="D1177" s="2" t="str">
        <x:v>P. E. SINGULAR "INDITEX"</x:v>
      </x:c>
      <x:c r="E1177" s="4" t="n">
        <x:v>0.275</x:v>
      </x:c>
      <x:c r="F1177" s="4" t="n">
        <x:f>J1177*1.01</x:f>
        <x:v>0.27169000000000004</x:v>
      </x:c>
      <x:c r="G1177" s="4" t="n">
        <x:v>0.85</x:v>
      </x:c>
      <x:c r="H1177" s="4" t="n">
        <x:v>72.17</x:v>
      </x:c>
      <x:c r="I1177" s="5" t="n">
        <x:f t="shared" si="18">F1177*1000*H1177</x:f>
        <x:v>19607.867300000005</x:v>
      </x:c>
      <x:c r="J1177" t="n">
        <x:v>0.269</x:v>
      </x:c>
    </x:row>
    <x:row r="1178">
      <x:c r="A1178" s="3" t="n">
        <x:v>2023</x:v>
      </x:c>
      <x:c r="B1178" s="2" t="str">
        <x:v>Enero</x:v>
      </x:c>
      <x:c r="C1178" s="2" t="str">
        <x:v>RE-006771-1</x:v>
      </x:c>
      <x:c r="D1178" s="2" t="str">
        <x:v>P. E. SINGULAR "MONTE DO CEO"</x:v>
      </x:c>
      <x:c r="E1178" s="4" t="n">
        <x:v>0.587</x:v>
      </x:c>
      <x:c r="F1178" s="4" t="n">
        <x:f>J1178*0.97</x:f>
        <x:v>0.55775</x:v>
      </x:c>
      <x:c r="G1178" s="4" t="n">
        <x:v>2.55</x:v>
      </x:c>
      <x:c r="H1178" s="4" t="n">
        <x:v>69.55</x:v>
      </x:c>
      <x:c r="I1178" s="5" t="n">
        <x:f t="shared" si="18">F1178*1000*H1178</x:f>
        <x:v>38791.5125</x:v>
      </x:c>
      <x:c r="J1178" t="n">
        <x:v>0.575</x:v>
      </x:c>
    </x:row>
    <x:row r="1179">
      <x:c r="A1179" s="3" t="n">
        <x:v>2023</x:v>
      </x:c>
      <x:c r="B1179" s="2" t="str">
        <x:v>Febrero</x:v>
      </x:c>
      <x:c r="C1179" s="2" t="str">
        <x:v>RE-006771-1</x:v>
      </x:c>
      <x:c r="D1179" s="2" t="str">
        <x:v>P. E. SINGULAR "MONTE DO CEO"</x:v>
      </x:c>
      <x:c r="E1179" s="4" t="n">
        <x:v>0.552</x:v>
      </x:c>
      <x:c r="F1179" s="4" t="n">
        <x:f>J1179*1.04</x:f>
        <x:v>0.5636800000000001</x:v>
      </x:c>
      <x:c r="G1179" s="4" t="n">
        <x:v>2.55</x:v>
      </x:c>
      <x:c r="H1179" s="4" t="n">
        <x:v>133.47</x:v>
      </x:c>
      <x:c r="I1179" s="5" t="n">
        <x:f t="shared" si="18">F1179*1000*H1179</x:f>
        <x:v>75234.3696</x:v>
      </x:c>
      <x:c r="J1179" t="n">
        <x:v>0.542</x:v>
      </x:c>
    </x:row>
    <x:row r="1180">
      <x:c r="A1180" s="3" t="n">
        <x:v>2023</x:v>
      </x:c>
      <x:c r="B1180" s="2" t="str">
        <x:v>Marzo</x:v>
      </x:c>
      <x:c r="C1180" s="2" t="str">
        <x:v>RE-006771-1</x:v>
      </x:c>
      <x:c r="D1180" s="2" t="str">
        <x:v>P. E. SINGULAR "MONTE DO CEO"</x:v>
      </x:c>
      <x:c r="E1180" s="4" t="n">
        <x:v>0.618</x:v>
      </x:c>
      <x:c r="F1180" s="4" t="n">
        <x:f>J1180*1</x:f>
        <x:v>0.6</x:v>
      </x:c>
      <x:c r="G1180" s="4" t="n">
        <x:v>2.55</x:v>
      </x:c>
      <x:c r="H1180" s="4" t="n">
        <x:v>89.61</x:v>
      </x:c>
      <x:c r="I1180" s="5" t="n">
        <x:f t="shared" si="18">F1180*1000*H1180</x:f>
        <x:v>53766</x:v>
      </x:c>
      <x:c r="J1180" t="n">
        <x:v>0.6</x:v>
      </x:c>
    </x:row>
    <x:row r="1181">
      <x:c r="A1181" s="3" t="n">
        <x:v>2023</x:v>
      </x:c>
      <x:c r="B1181" s="2" t="str">
        <x:v>Abril</x:v>
      </x:c>
      <x:c r="C1181" s="2" t="str">
        <x:v>RE-006771-1</x:v>
      </x:c>
      <x:c r="D1181" s="2" t="str">
        <x:v>P. E. SINGULAR "MONTE DO CEO"</x:v>
      </x:c>
      <x:c r="E1181" s="4" t="n">
        <x:v>0.404</x:v>
      </x:c>
      <x:c r="F1181" s="4" t="n">
        <x:f>J1181*0.96</x:f>
        <x:v>0.38112</x:v>
      </x:c>
      <x:c r="G1181" s="4" t="n">
        <x:v>2.55</x:v>
      </x:c>
      <x:c r="H1181" s="4" t="n">
        <x:v>73.73</x:v>
      </x:c>
      <x:c r="I1181" s="5" t="n">
        <x:f t="shared" si="18">F1181*1000*H1181</x:f>
        <x:v>28099.977600000002</x:v>
      </x:c>
      <x:c r="J1181" t="n">
        <x:v>0.397</x:v>
      </x:c>
    </x:row>
    <x:row r="1182">
      <x:c r="A1182" s="3" t="n">
        <x:v>2023</x:v>
      </x:c>
      <x:c r="B1182" s="2" t="str">
        <x:v>Mayo</x:v>
      </x:c>
      <x:c r="C1182" s="2" t="str">
        <x:v>RE-006771-1</x:v>
      </x:c>
      <x:c r="D1182" s="2" t="str">
        <x:v>P. E. SINGULAR "MONTE DO CEO"</x:v>
      </x:c>
      <x:c r="E1182" s="4" t="n">
        <x:v>0.471</x:v>
      </x:c>
      <x:c r="F1182" s="4" t="n">
        <x:f>J1182*1.03</x:f>
        <x:v>0.47071</x:v>
      </x:c>
      <x:c r="G1182" s="4" t="n">
        <x:v>2.55</x:v>
      </x:c>
      <x:c r="H1182" s="4" t="n">
        <x:v>74.21</x:v>
      </x:c>
      <x:c r="I1182" s="5" t="n">
        <x:f t="shared" si="18">F1182*1000*H1182</x:f>
        <x:v>34931.3891</x:v>
      </x:c>
      <x:c r="J1182" t="n">
        <x:v>0.457</x:v>
      </x:c>
    </x:row>
    <x:row r="1183">
      <x:c r="A1183" s="3" t="n">
        <x:v>2023</x:v>
      </x:c>
      <x:c r="B1183" s="2" t="str">
        <x:v>Junio</x:v>
      </x:c>
      <x:c r="C1183" s="2" t="str">
        <x:v>RE-006771-1</x:v>
      </x:c>
      <x:c r="D1183" s="2" t="str">
        <x:v>P. E. SINGULAR "MONTE DO CEO"</x:v>
      </x:c>
      <x:c r="E1183" s="4" t="n">
        <x:v>0.365</x:v>
      </x:c>
      <x:c r="F1183" s="4" t="n">
        <x:f>J1183*0.99</x:f>
        <x:v>0.35046</x:v>
      </x:c>
      <x:c r="G1183" s="4" t="n">
        <x:v>2.55</x:v>
      </x:c>
      <x:c r="H1183" s="4" t="n">
        <x:v>93.02</x:v>
      </x:c>
      <x:c r="I1183" s="5" t="n">
        <x:f t="shared" si="18">F1183*1000*H1183</x:f>
        <x:v>32599.789199999996</x:v>
      </x:c>
      <x:c r="J1183" t="n">
        <x:v>0.354</x:v>
      </x:c>
    </x:row>
    <x:row r="1184">
      <x:c r="A1184" s="3" t="n">
        <x:v>2023</x:v>
      </x:c>
      <x:c r="B1184" s="2" t="str">
        <x:v>Julio</x:v>
      </x:c>
      <x:c r="C1184" s="2" t="str">
        <x:v>RE-006771-1</x:v>
      </x:c>
      <x:c r="D1184" s="2" t="str">
        <x:v>P. E. SINGULAR "MONTE DO CEO"</x:v>
      </x:c>
      <x:c r="E1184" s="4" t="n">
        <x:v>0.317</x:v>
      </x:c>
      <x:c r="F1184" s="4" t="n">
        <x:f>J1184*0.95</x:f>
        <x:v>0.29164999999999996</x:v>
      </x:c>
      <x:c r="G1184" s="4" t="n">
        <x:v>2.55</x:v>
      </x:c>
      <x:c r="H1184" s="4" t="n">
        <x:v>90.47</x:v>
      </x:c>
      <x:c r="I1184" s="5" t="n">
        <x:f t="shared" si="18">F1184*1000*H1184</x:f>
        <x:v>26385.5755</x:v>
      </x:c>
      <x:c r="J1184" t="n">
        <x:v>0.307</x:v>
      </x:c>
    </x:row>
    <x:row r="1185">
      <x:c r="A1185" s="3" t="n">
        <x:v>2023</x:v>
      </x:c>
      <x:c r="B1185" s="2" t="str">
        <x:v>Agosto</x:v>
      </x:c>
      <x:c r="C1185" s="2" t="str">
        <x:v>RE-006771-1</x:v>
      </x:c>
      <x:c r="D1185" s="2" t="str">
        <x:v>P. E. SINGULAR "MONTE DO CEO"</x:v>
      </x:c>
      <x:c r="E1185" s="4" t="n">
        <x:v>0.383</x:v>
      </x:c>
      <x:c r="F1185" s="4" t="n">
        <x:f>J1185*1.02</x:f>
        <x:v>0.3825</x:v>
      </x:c>
      <x:c r="G1185" s="4" t="n">
        <x:v>2.55</x:v>
      </x:c>
      <x:c r="H1185" s="4" t="n">
        <x:v>96.05</x:v>
      </x:c>
      <x:c r="I1185" s="5" t="n">
        <x:f t="shared" si="18">F1185*1000*H1185</x:f>
        <x:v>36739.125</x:v>
      </x:c>
      <x:c r="J1185" t="n">
        <x:v>0.375</x:v>
      </x:c>
    </x:row>
    <x:row r="1186">
      <x:c r="A1186" s="3" t="n">
        <x:v>2023</x:v>
      </x:c>
      <x:c r="B1186" s="2" t="str">
        <x:v>Septiembre</x:v>
      </x:c>
      <x:c r="C1186" s="2" t="str">
        <x:v>RE-006771-1</x:v>
      </x:c>
      <x:c r="D1186" s="2" t="str">
        <x:v>P. E. SINGULAR "MONTE DO CEO"</x:v>
      </x:c>
      <x:c r="E1186" s="4" t="n">
        <x:v>0.448</x:v>
      </x:c>
      <x:c r="F1186" s="4" t="n">
        <x:f>J1186*0.98</x:f>
        <x:v>0.4263</x:v>
      </x:c>
      <x:c r="G1186" s="4" t="n">
        <x:v>2.55</x:v>
      </x:c>
      <x:c r="H1186" s="4" t="n">
        <x:v>103.34</x:v>
      </x:c>
      <x:c r="I1186" s="5" t="n">
        <x:f t="shared" si="18">F1186*1000*H1186</x:f>
        <x:v>44053.842000000004</x:v>
      </x:c>
      <x:c r="J1186" t="n">
        <x:v>0.435</x:v>
      </x:c>
    </x:row>
    <x:row r="1187">
      <x:c r="A1187" s="3" t="n">
        <x:v>2023</x:v>
      </x:c>
      <x:c r="B1187" s="2" t="str">
        <x:v>Octubre</x:v>
      </x:c>
      <x:c r="C1187" s="2" t="str">
        <x:v>RE-006771-1</x:v>
      </x:c>
      <x:c r="D1187" s="2" t="str">
        <x:v>P. E. SINGULAR "MONTE DO CEO"</x:v>
      </x:c>
      <x:c r="E1187" s="4" t="n">
        <x:v>0.564</x:v>
      </x:c>
      <x:c r="F1187" s="4" t="n">
        <x:f>J1187*0.94</x:f>
        <x:v>0.5179400000000001</x:v>
      </x:c>
      <x:c r="G1187" s="4" t="n">
        <x:v>2.55</x:v>
      </x:c>
      <x:c r="H1187" s="4" t="n">
        <x:v>90.14</x:v>
      </x:c>
      <x:c r="I1187" s="5" t="n">
        <x:f t="shared" si="18">F1187*1000*H1187</x:f>
        <x:v>46687.111600000004</x:v>
      </x:c>
      <x:c r="J1187" t="n">
        <x:v>0.551</x:v>
      </x:c>
    </x:row>
    <x:row r="1188">
      <x:c r="A1188" s="3" t="n">
        <x:v>2023</x:v>
      </x:c>
      <x:c r="B1188" s="2" t="str">
        <x:v>Noviembre</x:v>
      </x:c>
      <x:c r="C1188" s="2" t="str">
        <x:v>RE-006771-1</x:v>
      </x:c>
      <x:c r="D1188" s="2" t="str">
        <x:v>P. E. SINGULAR "MONTE DO CEO"</x:v>
      </x:c>
      <x:c r="E1188" s="4" t="n">
        <x:v>0.545</x:v>
      </x:c>
      <x:c r="F1188" s="4" t="n">
        <x:f>J1188*1.01</x:f>
        <x:v>0.53934</x:v>
      </x:c>
      <x:c r="G1188" s="4" t="n">
        <x:v>2.55</x:v>
      </x:c>
      <x:c r="H1188" s="4" t="n">
        <x:v>63.45</x:v>
      </x:c>
      <x:c r="I1188" s="5" t="n">
        <x:f t="shared" si="18">F1188*1000*H1188</x:f>
        <x:v>34221.12300000001</x:v>
      </x:c>
      <x:c r="J1188" t="n">
        <x:v>0.534</x:v>
      </x:c>
    </x:row>
    <x:row r="1189">
      <x:c r="A1189" s="3" t="n">
        <x:v>2023</x:v>
      </x:c>
      <x:c r="B1189" s="2" t="str">
        <x:v>Diciembre</x:v>
      </x:c>
      <x:c r="C1189" s="2" t="str">
        <x:v>RE-006771-1</x:v>
      </x:c>
      <x:c r="D1189" s="2" t="str">
        <x:v>P. E. SINGULAR "MONTE DO CEO"</x:v>
      </x:c>
      <x:c r="E1189" s="4" t="n">
        <x:v>0.618</x:v>
      </x:c>
      <x:c r="F1189" s="4" t="n">
        <x:f>J1189*0.97</x:f>
        <x:v>0.5810299999999999</x:v>
      </x:c>
      <x:c r="G1189" s="4" t="n">
        <x:v>2.55</x:v>
      </x:c>
      <x:c r="H1189" s="4" t="n">
        <x:v>72.17</x:v>
      </x:c>
      <x:c r="I1189" s="5" t="n">
        <x:f t="shared" si="18">F1189*1000*H1189</x:f>
        <x:v>41932.9351</x:v>
      </x:c>
      <x:c r="J1189" t="n">
        <x:v>0.599</x:v>
      </x:c>
    </x:row>
    <x:row r="1190">
      <x:c r="A1190" s="3" t="n">
        <x:v>2023</x:v>
      </x:c>
      <x:c r="B1190" s="2" t="str">
        <x:v>Enero</x:v>
      </x:c>
      <x:c r="C1190" s="2" t="str">
        <x:v>RE-006846-1</x:v>
      </x:c>
      <x:c r="D1190" s="2" t="str">
        <x:v>P.E. ALABE-MONTEMAYOR NORTE</x:v>
      </x:c>
      <x:c r="E1190" s="4" t="n">
        <x:v>6.129</x:v>
      </x:c>
      <x:c r="F1190" s="4" t="n">
        <x:f>J1190*1.04</x:f>
        <x:v>6.189039999999999</x:v>
      </x:c>
      <x:c r="G1190" s="4" t="n">
        <x:v>21</x:v>
      </x:c>
      <x:c r="H1190" s="4" t="n">
        <x:v>69.55</x:v>
      </x:c>
      <x:c r="I1190" s="5" t="n">
        <x:f t="shared" si="18">F1190*1000*H1190</x:f>
        <x:v>430447.7319999999</x:v>
      </x:c>
      <x:c r="J1190" t="n">
        <x:v>5.951</x:v>
      </x:c>
    </x:row>
    <x:row r="1191">
      <x:c r="A1191" s="3" t="n">
        <x:v>2023</x:v>
      </x:c>
      <x:c r="B1191" s="2" t="str">
        <x:v>Febrero</x:v>
      </x:c>
      <x:c r="C1191" s="2" t="str">
        <x:v>RE-006846-1</x:v>
      </x:c>
      <x:c r="D1191" s="2" t="str">
        <x:v>P.E. ALABE-MONTEMAYOR NORTE</x:v>
      </x:c>
      <x:c r="E1191" s="4" t="n">
        <x:v>5.579</x:v>
      </x:c>
      <x:c r="F1191" s="4" t="n">
        <x:f>J1191*1</x:f>
        <x:v>5.461</x:v>
      </x:c>
      <x:c r="G1191" s="4" t="n">
        <x:v>21</x:v>
      </x:c>
      <x:c r="H1191" s="4" t="n">
        <x:v>133.47</x:v>
      </x:c>
      <x:c r="I1191" s="5" t="n">
        <x:f t="shared" si="18">F1191*1000*H1191</x:f>
        <x:v>728879.67</x:v>
      </x:c>
      <x:c r="J1191" t="n">
        <x:v>5.461</x:v>
      </x:c>
    </x:row>
    <x:row r="1192">
      <x:c r="A1192" s="3" t="n">
        <x:v>2023</x:v>
      </x:c>
      <x:c r="B1192" s="2" t="str">
        <x:v>Marzo</x:v>
      </x:c>
      <x:c r="C1192" s="2" t="str">
        <x:v>RE-006846-1</x:v>
      </x:c>
      <x:c r="D1192" s="2" t="str">
        <x:v>P.E. ALABE-MONTEMAYOR NORTE</x:v>
      </x:c>
      <x:c r="E1192" s="4" t="n">
        <x:v>5.103</x:v>
      </x:c>
      <x:c r="F1192" s="4" t="n">
        <x:f>J1192*0.96</x:f>
        <x:v>4.74432</x:v>
      </x:c>
      <x:c r="G1192" s="4" t="n">
        <x:v>21</x:v>
      </x:c>
      <x:c r="H1192" s="4" t="n">
        <x:v>89.61</x:v>
      </x:c>
      <x:c r="I1192" s="5" t="n">
        <x:f t="shared" si="18">F1192*1000*H1192</x:f>
        <x:v>425138.51519999997</x:v>
      </x:c>
      <x:c r="J1192" t="n">
        <x:v>4.942</x:v>
      </x:c>
    </x:row>
    <x:row r="1193">
      <x:c r="A1193" s="3" t="n">
        <x:v>2023</x:v>
      </x:c>
      <x:c r="B1193" s="2" t="str">
        <x:v>Abril</x:v>
      </x:c>
      <x:c r="C1193" s="2" t="str">
        <x:v>RE-006846-1</x:v>
      </x:c>
      <x:c r="D1193" s="2" t="str">
        <x:v>P.E. ALABE-MONTEMAYOR NORTE</x:v>
      </x:c>
      <x:c r="E1193" s="4" t="n">
        <x:v>4.791</x:v>
      </x:c>
      <x:c r="F1193" s="4" t="n">
        <x:f>J1193*1.03</x:f>
        <x:v>4.79362</x:v>
      </x:c>
      <x:c r="G1193" s="4" t="n">
        <x:v>21</x:v>
      </x:c>
      <x:c r="H1193" s="4" t="n">
        <x:v>73.73</x:v>
      </x:c>
      <x:c r="I1193" s="5" t="n">
        <x:f t="shared" si="18">F1193*1000*H1193</x:f>
        <x:v>353433.6026</x:v>
      </x:c>
      <x:c r="J1193" t="n">
        <x:v>4.654</x:v>
      </x:c>
    </x:row>
    <x:row r="1194">
      <x:c r="A1194" s="3" t="n">
        <x:v>2023</x:v>
      </x:c>
      <x:c r="B1194" s="2" t="str">
        <x:v>Mayo</x:v>
      </x:c>
      <x:c r="C1194" s="2" t="str">
        <x:v>RE-006846-1</x:v>
      </x:c>
      <x:c r="D1194" s="2" t="str">
        <x:v>P.E. ALABE-MONTEMAYOR NORTE</x:v>
      </x:c>
      <x:c r="E1194" s="4" t="n">
        <x:v>3.993</x:v>
      </x:c>
      <x:c r="F1194" s="4" t="n">
        <x:f>J1194*0.99</x:f>
        <x:v>3.84417</x:v>
      </x:c>
      <x:c r="G1194" s="4" t="n">
        <x:v>21</x:v>
      </x:c>
      <x:c r="H1194" s="4" t="n">
        <x:v>74.21</x:v>
      </x:c>
      <x:c r="I1194" s="5" t="n">
        <x:f t="shared" si="18">F1194*1000*H1194</x:f>
        <x:v>285275.85569999996</x:v>
      </x:c>
      <x:c r="J1194" t="n">
        <x:v>3.883</x:v>
      </x:c>
    </x:row>
    <x:row r="1195">
      <x:c r="A1195" s="3" t="n">
        <x:v>2023</x:v>
      </x:c>
      <x:c r="B1195" s="2" t="str">
        <x:v>Junio</x:v>
      </x:c>
      <x:c r="C1195" s="2" t="str">
        <x:v>RE-006846-1</x:v>
      </x:c>
      <x:c r="D1195" s="2" t="str">
        <x:v>P.E. ALABE-MONTEMAYOR NORTE</x:v>
      </x:c>
      <x:c r="E1195" s="4" t="n">
        <x:v>3.642</x:v>
      </x:c>
      <x:c r="F1195" s="4" t="n">
        <x:f>J1195*0.95</x:f>
        <x:v>3.3914999999999997</x:v>
      </x:c>
      <x:c r="G1195" s="4" t="n">
        <x:v>21</x:v>
      </x:c>
      <x:c r="H1195" s="4" t="n">
        <x:v>93.02</x:v>
      </x:c>
      <x:c r="I1195" s="5" t="n">
        <x:f t="shared" si="18">F1195*1000*H1195</x:f>
        <x:v>315477.32999999996</x:v>
      </x:c>
      <x:c r="J1195" t="n">
        <x:v>3.57</x:v>
      </x:c>
    </x:row>
    <x:row r="1196">
      <x:c r="A1196" s="3" t="n">
        <x:v>2023</x:v>
      </x:c>
      <x:c r="B1196" s="2" t="str">
        <x:v>Julio</x:v>
      </x:c>
      <x:c r="C1196" s="2" t="str">
        <x:v>RE-006846-1</x:v>
      </x:c>
      <x:c r="D1196" s="2" t="str">
        <x:v>P.E. ALABE-MONTEMAYOR NORTE</x:v>
      </x:c>
      <x:c r="E1196" s="4" t="n">
        <x:v>3.177</x:v>
      </x:c>
      <x:c r="F1196" s="4" t="n">
        <x:f>J1196*1.02</x:f>
        <x:v>3.1609800000000003</x:v>
      </x:c>
      <x:c r="G1196" s="4" t="n">
        <x:v>21</x:v>
      </x:c>
      <x:c r="H1196" s="4" t="n">
        <x:v>90.47</x:v>
      </x:c>
      <x:c r="I1196" s="5" t="n">
        <x:f t="shared" si="18">F1196*1000*H1196</x:f>
        <x:v>285973.8606</x:v>
      </x:c>
      <x:c r="J1196" t="n">
        <x:v>3.099</x:v>
      </x:c>
    </x:row>
    <x:row r="1197">
      <x:c r="A1197" s="3" t="n">
        <x:v>2023</x:v>
      </x:c>
      <x:c r="B1197" s="2" t="str">
        <x:v>Agosto</x:v>
      </x:c>
      <x:c r="C1197" s="2" t="str">
        <x:v>RE-006846-1</x:v>
      </x:c>
      <x:c r="D1197" s="2" t="str">
        <x:v>P.E. ALABE-MONTEMAYOR NORTE</x:v>
      </x:c>
      <x:c r="E1197" s="4" t="n">
        <x:v>3.207</x:v>
      </x:c>
      <x:c r="F1197" s="4" t="n">
        <x:f>J1197*0.98</x:f>
        <x:v>3.09484</x:v>
      </x:c>
      <x:c r="G1197" s="4" t="n">
        <x:v>21</x:v>
      </x:c>
      <x:c r="H1197" s="4" t="n">
        <x:v>96.05</x:v>
      </x:c>
      <x:c r="I1197" s="5" t="n">
        <x:f t="shared" si="18">F1197*1000*H1197</x:f>
        <x:v>297259.382</x:v>
      </x:c>
      <x:c r="J1197" t="n">
        <x:v>3.158</x:v>
      </x:c>
    </x:row>
    <x:row r="1198">
      <x:c r="A1198" s="3" t="n">
        <x:v>2023</x:v>
      </x:c>
      <x:c r="B1198" s="2" t="str">
        <x:v>Septiembre</x:v>
      </x:c>
      <x:c r="C1198" s="2" t="str">
        <x:v>RE-006846-1</x:v>
      </x:c>
      <x:c r="D1198" s="2" t="str">
        <x:v>P.E. ALABE-MONTEMAYOR NORTE</x:v>
      </x:c>
      <x:c r="E1198" s="4" t="n">
        <x:v>4.079</x:v>
      </x:c>
      <x:c r="F1198" s="4" t="n">
        <x:f>J1198*0.94</x:f>
        <x:v>3.7553</x:v>
      </x:c>
      <x:c r="G1198" s="4" t="n">
        <x:v>21</x:v>
      </x:c>
      <x:c r="H1198" s="4" t="n">
        <x:v>103.34</x:v>
      </x:c>
      <x:c r="I1198" s="5" t="n">
        <x:f t="shared" si="18">F1198*1000*H1198</x:f>
        <x:v>388072.70200000005</x:v>
      </x:c>
      <x:c r="J1198" t="n">
        <x:v>3.995</x:v>
      </x:c>
    </x:row>
    <x:row r="1199">
      <x:c r="A1199" s="3" t="n">
        <x:v>2023</x:v>
      </x:c>
      <x:c r="B1199" s="2" t="str">
        <x:v>Octubre</x:v>
      </x:c>
      <x:c r="C1199" s="2" t="str">
        <x:v>RE-006846-1</x:v>
      </x:c>
      <x:c r="D1199" s="2" t="str">
        <x:v>P.E. ALABE-MONTEMAYOR NORTE</x:v>
      </x:c>
      <x:c r="E1199" s="4" t="n">
        <x:v>5.477</x:v>
      </x:c>
      <x:c r="F1199" s="4" t="n">
        <x:f>J1199*1.01</x:f>
        <x:v>5.38128</x:v>
      </x:c>
      <x:c r="G1199" s="4" t="n">
        <x:v>21</x:v>
      </x:c>
      <x:c r="H1199" s="4" t="n">
        <x:v>90.14</x:v>
      </x:c>
      <x:c r="I1199" s="5" t="n">
        <x:f t="shared" si="18">F1199*1000*H1199</x:f>
        <x:v>485068.57920000004</x:v>
      </x:c>
      <x:c r="J1199" t="n">
        <x:v>5.328</x:v>
      </x:c>
    </x:row>
    <x:row r="1200">
      <x:c r="A1200" s="3" t="n">
        <x:v>2023</x:v>
      </x:c>
      <x:c r="B1200" s="2" t="str">
        <x:v>Noviembre</x:v>
      </x:c>
      <x:c r="C1200" s="2" t="str">
        <x:v>RE-006846-1</x:v>
      </x:c>
      <x:c r="D1200" s="2" t="str">
        <x:v>P.E. ALABE-MONTEMAYOR NORTE</x:v>
      </x:c>
      <x:c r="E1200" s="4" t="n">
        <x:v>5.586</x:v>
      </x:c>
      <x:c r="F1200" s="4" t="n">
        <x:f>J1200*0.97</x:f>
        <x:v>5.3359700000000005</x:v>
      </x:c>
      <x:c r="G1200" s="4" t="n">
        <x:v>21</x:v>
      </x:c>
      <x:c r="H1200" s="4" t="n">
        <x:v>63.45</x:v>
      </x:c>
      <x:c r="I1200" s="5" t="n">
        <x:f t="shared" si="18">F1200*1000*H1200</x:f>
        <x:v>338567.29650000005</x:v>
      </x:c>
      <x:c r="J1200" t="n">
        <x:v>5.501</x:v>
      </x:c>
    </x:row>
    <x:row r="1201">
      <x:c r="A1201" s="3" t="n">
        <x:v>2023</x:v>
      </x:c>
      <x:c r="B1201" s="2" t="str">
        <x:v>Diciembre</x:v>
      </x:c>
      <x:c r="C1201" s="2" t="str">
        <x:v>RE-006846-1</x:v>
      </x:c>
      <x:c r="D1201" s="2" t="str">
        <x:v>P.E. ALABE-MONTEMAYOR NORTE</x:v>
      </x:c>
      <x:c r="E1201" s="4" t="n">
        <x:v>7.202</x:v>
      </x:c>
      <x:c r="F1201" s="4" t="n">
        <x:f>J1201*1.04</x:f>
        <x:v>7.252960000000001</x:v>
      </x:c>
      <x:c r="G1201" s="4" t="n">
        <x:v>21</x:v>
      </x:c>
      <x:c r="H1201" s="4" t="n">
        <x:v>72.17</x:v>
      </x:c>
      <x:c r="I1201" s="5" t="n">
        <x:f t="shared" si="18">F1201*1000*H1201</x:f>
        <x:v>523446.1232000001</x:v>
      </x:c>
      <x:c r="J1201" t="n">
        <x:v>6.974</x:v>
      </x:c>
    </x:row>
    <x:row r="1202">
      <x:c r="A1202" s="3" t="n">
        <x:v>2023</x:v>
      </x:c>
      <x:c r="B1202" s="2" t="str">
        <x:v>Enero</x:v>
      </x:c>
      <x:c r="C1202" s="2" t="str">
        <x:v>RE-006847-1</x:v>
      </x:c>
      <x:c r="D1202" s="2" t="str">
        <x:v>P.E. GAMOIDE</x:v>
      </x:c>
      <x:c r="E1202" s="4" t="n">
        <x:v>10.265</x:v>
      </x:c>
      <x:c r="F1202" s="4" t="n">
        <x:f>J1202*1</x:f>
        <x:v>10.097</x:v>
      </x:c>
      <x:c r="G1202" s="4" t="n">
        <x:v>32.5</x:v>
      </x:c>
      <x:c r="H1202" s="4" t="n">
        <x:v>69.55</x:v>
      </x:c>
      <x:c r="I1202" s="5" t="n">
        <x:f t="shared" si="18">F1202*1000*H1202</x:f>
        <x:v>702246.35</x:v>
      </x:c>
      <x:c r="J1202" t="n">
        <x:v>10.097</x:v>
      </x:c>
    </x:row>
    <x:row r="1203">
      <x:c r="A1203" s="3" t="n">
        <x:v>2023</x:v>
      </x:c>
      <x:c r="B1203" s="2" t="str">
        <x:v>Febrero</x:v>
      </x:c>
      <x:c r="C1203" s="2" t="str">
        <x:v>RE-006847-1</x:v>
      </x:c>
      <x:c r="D1203" s="2" t="str">
        <x:v>P.E. GAMOIDE</x:v>
      </x:c>
      <x:c r="E1203" s="4" t="n">
        <x:v>8.75</x:v>
      </x:c>
      <x:c r="F1203" s="4" t="n">
        <x:f>J1203*0.96</x:f>
        <x:v>8.213759999999999</x:v>
      </x:c>
      <x:c r="G1203" s="4" t="n">
        <x:v>32.5</x:v>
      </x:c>
      <x:c r="H1203" s="4" t="n">
        <x:v>133.47</x:v>
      </x:c>
      <x:c r="I1203" s="5" t="n">
        <x:f t="shared" si="18">F1203*1000*H1203</x:f>
        <x:v>1096290.5471999997</x:v>
      </x:c>
      <x:c r="J1203" t="n">
        <x:v>8.556</x:v>
      </x:c>
    </x:row>
    <x:row r="1204">
      <x:c r="A1204" s="3" t="n">
        <x:v>2023</x:v>
      </x:c>
      <x:c r="B1204" s="2" t="str">
        <x:v>Marzo</x:v>
      </x:c>
      <x:c r="C1204" s="2" t="str">
        <x:v>RE-006847-1</x:v>
      </x:c>
      <x:c r="D1204" s="2" t="str">
        <x:v>P.E. GAMOIDE</x:v>
      </x:c>
      <x:c r="E1204" s="4" t="n">
        <x:v>9.417</x:v>
      </x:c>
      <x:c r="F1204" s="4" t="n">
        <x:f>J1204*1.03</x:f>
        <x:v>9.48218</x:v>
      </x:c>
      <x:c r="G1204" s="4" t="n">
        <x:v>32.5</x:v>
      </x:c>
      <x:c r="H1204" s="4" t="n">
        <x:v>89.61</x:v>
      </x:c>
      <x:c r="I1204" s="5" t="n">
        <x:f t="shared" si="18">F1204*1000*H1204</x:f>
        <x:v>849698.1498</x:v>
      </x:c>
      <x:c r="J1204" t="n">
        <x:v>9.206</x:v>
      </x:c>
    </x:row>
    <x:row r="1205">
      <x:c r="A1205" s="3" t="n">
        <x:v>2023</x:v>
      </x:c>
      <x:c r="B1205" s="2" t="str">
        <x:v>Abril</x:v>
      </x:c>
      <x:c r="C1205" s="2" t="str">
        <x:v>RE-006847-1</x:v>
      </x:c>
      <x:c r="D1205" s="2" t="str">
        <x:v>P.E. GAMOIDE</x:v>
      </x:c>
      <x:c r="E1205" s="4" t="n">
        <x:v>7.03</x:v>
      </x:c>
      <x:c r="F1205" s="4" t="n">
        <x:f>J1205*0.99</x:f>
        <x:v>6.75675</x:v>
      </x:c>
      <x:c r="G1205" s="4" t="n">
        <x:v>32.5</x:v>
      </x:c>
      <x:c r="H1205" s="4" t="n">
        <x:v>73.73</x:v>
      </x:c>
      <x:c r="I1205" s="5" t="n">
        <x:f t="shared" si="18">F1205*1000*H1205</x:f>
        <x:v>498175.17750000005</x:v>
      </x:c>
      <x:c r="J1205" t="n">
        <x:v>6.825</x:v>
      </x:c>
    </x:row>
    <x:row r="1206">
      <x:c r="A1206" s="3" t="n">
        <x:v>2023</x:v>
      </x:c>
      <x:c r="B1206" s="2" t="str">
        <x:v>Mayo</x:v>
      </x:c>
      <x:c r="C1206" s="2" t="str">
        <x:v>RE-006847-1</x:v>
      </x:c>
      <x:c r="D1206" s="2" t="str">
        <x:v>P.E. GAMOIDE</x:v>
      </x:c>
      <x:c r="E1206" s="4" t="n">
        <x:v>6.658</x:v>
      </x:c>
      <x:c r="F1206" s="4" t="n">
        <x:f>J1206*0.95</x:f>
        <x:v>6.1617</x:v>
      </x:c>
      <x:c r="G1206" s="4" t="n">
        <x:v>32.5</x:v>
      </x:c>
      <x:c r="H1206" s="4" t="n">
        <x:v>74.21</x:v>
      </x:c>
      <x:c r="I1206" s="5" t="n">
        <x:f t="shared" si="18">F1206*1000*H1206</x:f>
        <x:v>457259.7569999999</x:v>
      </x:c>
      <x:c r="J1206" t="n">
        <x:v>6.486</x:v>
      </x:c>
    </x:row>
    <x:row r="1207">
      <x:c r="A1207" s="3" t="n">
        <x:v>2023</x:v>
      </x:c>
      <x:c r="B1207" s="2" t="str">
        <x:v>Junio</x:v>
      </x:c>
      <x:c r="C1207" s="2" t="str">
        <x:v>RE-006847-1</x:v>
      </x:c>
      <x:c r="D1207" s="2" t="str">
        <x:v>P.E. GAMOIDE</x:v>
      </x:c>
      <x:c r="E1207" s="4" t="n">
        <x:v>5.761</x:v>
      </x:c>
      <x:c r="F1207" s="4" t="n">
        <x:f>J1207*1.02</x:f>
        <x:v>5.76096</x:v>
      </x:c>
      <x:c r="G1207" s="4" t="n">
        <x:v>32.5</x:v>
      </x:c>
      <x:c r="H1207" s="4" t="n">
        <x:v>93.02</x:v>
      </x:c>
      <x:c r="I1207" s="5" t="n">
        <x:f t="shared" si="18">F1207*1000*H1207</x:f>
        <x:v>535884.4992</x:v>
      </x:c>
      <x:c r="J1207" t="n">
        <x:v>5.648</x:v>
      </x:c>
    </x:row>
    <x:row r="1208">
      <x:c r="A1208" s="3" t="n">
        <x:v>2023</x:v>
      </x:c>
      <x:c r="B1208" s="2" t="str">
        <x:v>Julio</x:v>
      </x:c>
      <x:c r="C1208" s="2" t="str">
        <x:v>RE-006847-1</x:v>
      </x:c>
      <x:c r="D1208" s="2" t="str">
        <x:v>P.E. GAMOIDE</x:v>
      </x:c>
      <x:c r="E1208" s="4" t="n">
        <x:v>4.52</x:v>
      </x:c>
      <x:c r="F1208" s="4" t="n">
        <x:f>J1208*0.98</x:f>
        <x:v>4.3267</x:v>
      </x:c>
      <x:c r="G1208" s="4" t="n">
        <x:v>32.5</x:v>
      </x:c>
      <x:c r="H1208" s="4" t="n">
        <x:v>90.47</x:v>
      </x:c>
      <x:c r="I1208" s="5" t="n">
        <x:f t="shared" si="18">F1208*1000*H1208</x:f>
        <x:v>391436.549</x:v>
      </x:c>
      <x:c r="J1208" t="n">
        <x:v>4.415</x:v>
      </x:c>
    </x:row>
    <x:row r="1209">
      <x:c r="A1209" s="3" t="n">
        <x:v>2023</x:v>
      </x:c>
      <x:c r="B1209" s="2" t="str">
        <x:v>Agosto</x:v>
      </x:c>
      <x:c r="C1209" s="2" t="str">
        <x:v>RE-006847-1</x:v>
      </x:c>
      <x:c r="D1209" s="2" t="str">
        <x:v>P.E. GAMOIDE</x:v>
      </x:c>
      <x:c r="E1209" s="4" t="n">
        <x:v>5.508</x:v>
      </x:c>
      <x:c r="F1209" s="4" t="n">
        <x:f>J1209*0.94</x:f>
        <x:v>5.022419999999999</x:v>
      </x:c>
      <x:c r="G1209" s="4" t="n">
        <x:v>32.5</x:v>
      </x:c>
      <x:c r="H1209" s="4" t="n">
        <x:v>96.05</x:v>
      </x:c>
      <x:c r="I1209" s="5" t="n">
        <x:f t="shared" si="18">F1209*1000*H1209</x:f>
        <x:v>482403.44099999993</x:v>
      </x:c>
      <x:c r="J1209" t="n">
        <x:v>5.343</x:v>
      </x:c>
    </x:row>
    <x:row r="1210">
      <x:c r="A1210" s="3" t="n">
        <x:v>2023</x:v>
      </x:c>
      <x:c r="B1210" s="2" t="str">
        <x:v>Septiembre</x:v>
      </x:c>
      <x:c r="C1210" s="2" t="str">
        <x:v>RE-006847-1</x:v>
      </x:c>
      <x:c r="D1210" s="2" t="str">
        <x:v>P.E. GAMOIDE</x:v>
      </x:c>
      <x:c r="E1210" s="4" t="n">
        <x:v>5.845</x:v>
      </x:c>
      <x:c r="F1210" s="4" t="n">
        <x:f>J1210*1.01</x:f>
        <x:v>5.776190000000001</x:v>
      </x:c>
      <x:c r="G1210" s="4" t="n">
        <x:v>32.5</x:v>
      </x:c>
      <x:c r="H1210" s="4" t="n">
        <x:v>103.34</x:v>
      </x:c>
      <x:c r="I1210" s="5" t="n">
        <x:f t="shared" si="18">F1210*1000*H1210</x:f>
        <x:v>596911.4746000001</x:v>
      </x:c>
      <x:c r="J1210" t="n">
        <x:v>5.719</x:v>
      </x:c>
    </x:row>
    <x:row r="1211">
      <x:c r="A1211" s="3" t="n">
        <x:v>2023</x:v>
      </x:c>
      <x:c r="B1211" s="2" t="str">
        <x:v>Octubre</x:v>
      </x:c>
      <x:c r="C1211" s="2" t="str">
        <x:v>RE-006847-1</x:v>
      </x:c>
      <x:c r="D1211" s="2" t="str">
        <x:v>P.E. GAMOIDE</x:v>
      </x:c>
      <x:c r="E1211" s="4" t="n">
        <x:v>8.45</x:v>
      </x:c>
      <x:c r="F1211" s="4" t="n">
        <x:f>J1211*0.97</x:f>
        <x:v>8.01802</x:v>
      </x:c>
      <x:c r="G1211" s="4" t="n">
        <x:v>32.5</x:v>
      </x:c>
      <x:c r="H1211" s="4" t="n">
        <x:v>90.14</x:v>
      </x:c>
      <x:c r="I1211" s="5" t="n">
        <x:f t="shared" si="18">F1211*1000*H1211</x:f>
        <x:v>722744.3228</x:v>
      </x:c>
      <x:c r="J1211" t="n">
        <x:v>8.266</x:v>
      </x:c>
    </x:row>
    <x:row r="1212">
      <x:c r="A1212" s="3" t="n">
        <x:v>2023</x:v>
      </x:c>
      <x:c r="B1212" s="2" t="str">
        <x:v>Noviembre</x:v>
      </x:c>
      <x:c r="C1212" s="2" t="str">
        <x:v>RE-006847-1</x:v>
      </x:c>
      <x:c r="D1212" s="2" t="str">
        <x:v>P.E. GAMOIDE</x:v>
      </x:c>
      <x:c r="E1212" s="4" t="n">
        <x:v>7.896</x:v>
      </x:c>
      <x:c r="F1212" s="4" t="n">
        <x:f>J1212*1.04</x:f>
        <x:v>8.05688</x:v>
      </x:c>
      <x:c r="G1212" s="4" t="n">
        <x:v>32.5</x:v>
      </x:c>
      <x:c r="H1212" s="4" t="n">
        <x:v>63.45</x:v>
      </x:c>
      <x:c r="I1212" s="5" t="n">
        <x:f t="shared" si="18">F1212*1000*H1212</x:f>
        <x:v>511209.03599999996</x:v>
      </x:c>
      <x:c r="J1212" t="n">
        <x:v>7.747</x:v>
      </x:c>
    </x:row>
    <x:row r="1213">
      <x:c r="A1213" s="3" t="n">
        <x:v>2023</x:v>
      </x:c>
      <x:c r="B1213" s="2" t="str">
        <x:v>Diciembre</x:v>
      </x:c>
      <x:c r="C1213" s="2" t="str">
        <x:v>RE-006847-1</x:v>
      </x:c>
      <x:c r="D1213" s="2" t="str">
        <x:v>P.E. GAMOIDE</x:v>
      </x:c>
      <x:c r="E1213" s="4" t="n">
        <x:v>9.661</x:v>
      </x:c>
      <x:c r="F1213" s="4" t="n">
        <x:f>J1213*1</x:f>
        <x:v>9.394</x:v>
      </x:c>
      <x:c r="G1213" s="4" t="n">
        <x:v>32.5</x:v>
      </x:c>
      <x:c r="H1213" s="4" t="n">
        <x:v>72.17</x:v>
      </x:c>
      <x:c r="I1213" s="5" t="n">
        <x:f t="shared" si="18">F1213*1000*H1213</x:f>
        <x:v>677964.98</x:v>
      </x:c>
      <x:c r="J1213" t="n">
        <x:v>9.394</x:v>
      </x:c>
    </x:row>
    <x:row r="1214">
      <x:c r="A1214" s="3" t="n">
        <x:v>2023</x:v>
      </x:c>
      <x:c r="B1214" s="2" t="str">
        <x:v>Enero</x:v>
      </x:c>
      <x:c r="C1214" s="2" t="str">
        <x:v>RE-006848-1</x:v>
      </x:c>
      <x:c r="D1214" s="2" t="str">
        <x:v>P.E. RIOBOO</x:v>
      </x:c>
      <x:c r="E1214" s="4" t="n">
        <x:v>5.563</x:v>
      </x:c>
      <x:c r="F1214" s="4" t="n">
        <x:f>J1214*0.96</x:f>
        <x:v>5.25216</x:v>
      </x:c>
      <x:c r="G1214" s="4" t="n">
        <x:v>20.8</x:v>
      </x:c>
      <x:c r="H1214" s="4" t="n">
        <x:v>69.55</x:v>
      </x:c>
      <x:c r="I1214" s="5" t="n">
        <x:f t="shared" si="18">F1214*1000*H1214</x:f>
        <x:v>365287.728</x:v>
      </x:c>
      <x:c r="J1214" t="n">
        <x:v>5.471</x:v>
      </x:c>
    </x:row>
    <x:row r="1215">
      <x:c r="A1215" s="3" t="n">
        <x:v>2023</x:v>
      </x:c>
      <x:c r="B1215" s="2" t="str">
        <x:v>Febrero</x:v>
      </x:c>
      <x:c r="C1215" s="2" t="str">
        <x:v>RE-006848-1</x:v>
      </x:c>
      <x:c r="D1215" s="2" t="str">
        <x:v>P.E. RIOBOO</x:v>
      </x:c>
      <x:c r="E1215" s="4" t="n">
        <x:v>5.605</x:v>
      </x:c>
      <x:c r="F1215" s="4" t="n">
        <x:f>J1215*1.03</x:f>
        <x:v>5.6135</x:v>
      </x:c>
      <x:c r="G1215" s="4" t="n">
        <x:v>20.8</x:v>
      </x:c>
      <x:c r="H1215" s="4" t="n">
        <x:v>133.47</x:v>
      </x:c>
      <x:c r="I1215" s="5" t="n">
        <x:f t="shared" si="18">F1215*1000*H1215</x:f>
        <x:v>749233.845</x:v>
      </x:c>
      <x:c r="J1215" t="n">
        <x:v>5.45</x:v>
      </x:c>
    </x:row>
    <x:row r="1216">
      <x:c r="A1216" s="3" t="n">
        <x:v>2023</x:v>
      </x:c>
      <x:c r="B1216" s="2" t="str">
        <x:v>Marzo</x:v>
      </x:c>
      <x:c r="C1216" s="2" t="str">
        <x:v>RE-006848-1</x:v>
      </x:c>
      <x:c r="D1216" s="2" t="str">
        <x:v>P.E. RIOBOO</x:v>
      </x:c>
      <x:c r="E1216" s="4" t="n">
        <x:v>5.323</x:v>
      </x:c>
      <x:c r="F1216" s="4" t="n">
        <x:f>J1216*0.99</x:f>
        <x:v>5.12424</x:v>
      </x:c>
      <x:c r="G1216" s="4" t="n">
        <x:v>20.8</x:v>
      </x:c>
      <x:c r="H1216" s="4" t="n">
        <x:v>89.61</x:v>
      </x:c>
      <x:c r="I1216" s="5" t="n">
        <x:f t="shared" si="18">F1216*1000*H1216</x:f>
        <x:v>459183.1464000001</x:v>
      </x:c>
      <x:c r="J1216" t="n">
        <x:v>5.176</x:v>
      </x:c>
    </x:row>
    <x:row r="1217">
      <x:c r="A1217" s="3" t="n">
        <x:v>2023</x:v>
      </x:c>
      <x:c r="B1217" s="2" t="str">
        <x:v>Abril</x:v>
      </x:c>
      <x:c r="C1217" s="2" t="str">
        <x:v>RE-006848-1</x:v>
      </x:c>
      <x:c r="D1217" s="2" t="str">
        <x:v>P.E. RIOBOO</x:v>
      </x:c>
      <x:c r="E1217" s="4" t="n">
        <x:v>4.884</x:v>
      </x:c>
      <x:c r="F1217" s="4" t="n">
        <x:f>J1217*0.95</x:f>
        <x:v>4.5447999999999995</x:v>
      </x:c>
      <x:c r="G1217" s="4" t="n">
        <x:v>20.8</x:v>
      </x:c>
      <x:c r="H1217" s="4" t="n">
        <x:v>73.73</x:v>
      </x:c>
      <x:c r="I1217" s="5" t="n">
        <x:f t="shared" si="18">F1217*1000*H1217</x:f>
        <x:v>335088.104</x:v>
      </x:c>
      <x:c r="J1217" t="n">
        <x:v>4.784</x:v>
      </x:c>
    </x:row>
    <x:row r="1218">
      <x:c r="A1218" s="3" t="n">
        <x:v>2023</x:v>
      </x:c>
      <x:c r="B1218" s="2" t="str">
        <x:v>Mayo</x:v>
      </x:c>
      <x:c r="C1218" s="2" t="str">
        <x:v>RE-006848-1</x:v>
      </x:c>
      <x:c r="D1218" s="2" t="str">
        <x:v>P.E. RIOBOO</x:v>
      </x:c>
      <x:c r="E1218" s="4" t="n">
        <x:v>4.076</x:v>
      </x:c>
      <x:c r="F1218" s="4" t="n">
        <x:f>J1218*1.02</x:f>
        <x:v>4.07694</x:v>
      </x:c>
      <x:c r="G1218" s="4" t="n">
        <x:v>20.8</x:v>
      </x:c>
      <x:c r="H1218" s="4" t="n">
        <x:v>74.21</x:v>
      </x:c>
      <x:c r="I1218" s="5" t="n">
        <x:f t="shared" ref="I1218:I1281" si="19">F1218*1000*H1218</x:f>
        <x:v>302549.71739999996</x:v>
      </x:c>
      <x:c r="J1218" t="n">
        <x:v>3.997</x:v>
      </x:c>
    </x:row>
    <x:row r="1219">
      <x:c r="A1219" s="3" t="n">
        <x:v>2023</x:v>
      </x:c>
      <x:c r="B1219" s="2" t="str">
        <x:v>Junio</x:v>
      </x:c>
      <x:c r="C1219" s="2" t="str">
        <x:v>RE-006848-1</x:v>
      </x:c>
      <x:c r="D1219" s="2" t="str">
        <x:v>P.E. RIOBOO</x:v>
      </x:c>
      <x:c r="E1219" s="4" t="n">
        <x:v>3.649</x:v>
      </x:c>
      <x:c r="F1219" s="4" t="n">
        <x:f>J1219*0.98</x:f>
        <x:v>3.51918</x:v>
      </x:c>
      <x:c r="G1219" s="4" t="n">
        <x:v>20.8</x:v>
      </x:c>
      <x:c r="H1219" s="4" t="n">
        <x:v>93.02</x:v>
      </x:c>
      <x:c r="I1219" s="5" t="n">
        <x:f t="shared" si="19">F1219*1000*H1219</x:f>
        <x:v>327354.1236</x:v>
      </x:c>
      <x:c r="J1219" t="n">
        <x:v>3.591</x:v>
      </x:c>
    </x:row>
    <x:row r="1220">
      <x:c r="A1220" s="3" t="n">
        <x:v>2023</x:v>
      </x:c>
      <x:c r="B1220" s="2" t="str">
        <x:v>Julio</x:v>
      </x:c>
      <x:c r="C1220" s="2" t="str">
        <x:v>RE-006848-1</x:v>
      </x:c>
      <x:c r="D1220" s="2" t="str">
        <x:v>P.E. RIOBOO</x:v>
      </x:c>
      <x:c r="E1220" s="4" t="n">
        <x:v>2.942</x:v>
      </x:c>
      <x:c r="F1220" s="4" t="n">
        <x:f>J1220*0.94</x:f>
        <x:v>2.679</x:v>
      </x:c>
      <x:c r="G1220" s="4" t="n">
        <x:v>20.8</x:v>
      </x:c>
      <x:c r="H1220" s="4" t="n">
        <x:v>90.47</x:v>
      </x:c>
      <x:c r="I1220" s="5" t="n">
        <x:f t="shared" si="19">F1220*1000*H1220</x:f>
        <x:v>242369.13</x:v>
      </x:c>
      <x:c r="J1220" t="n">
        <x:v>2.85</x:v>
      </x:c>
    </x:row>
    <x:row r="1221">
      <x:c r="A1221" s="3" t="n">
        <x:v>2023</x:v>
      </x:c>
      <x:c r="B1221" s="2" t="str">
        <x:v>Agosto</x:v>
      </x:c>
      <x:c r="C1221" s="2" t="str">
        <x:v>RE-006848-1</x:v>
      </x:c>
      <x:c r="D1221" s="2" t="str">
        <x:v>P.E. RIOBOO</x:v>
      </x:c>
      <x:c r="E1221" s="4" t="n">
        <x:v>3.016</x:v>
      </x:c>
      <x:c r="F1221" s="4" t="n">
        <x:f>J1221*1.01</x:f>
        <x:v>2.98354</x:v>
      </x:c>
      <x:c r="G1221" s="4" t="n">
        <x:v>20.8</x:v>
      </x:c>
      <x:c r="H1221" s="4" t="n">
        <x:v>96.05</x:v>
      </x:c>
      <x:c r="I1221" s="5" t="n">
        <x:f t="shared" si="19">F1221*1000*H1221</x:f>
        <x:v>286569.017</x:v>
      </x:c>
      <x:c r="J1221" t="n">
        <x:v>2.954</x:v>
      </x:c>
    </x:row>
    <x:row r="1222">
      <x:c r="A1222" s="3" t="n">
        <x:v>2023</x:v>
      </x:c>
      <x:c r="B1222" s="2" t="str">
        <x:v>Septiembre</x:v>
      </x:c>
      <x:c r="C1222" s="2" t="str">
        <x:v>RE-006848-1</x:v>
      </x:c>
      <x:c r="D1222" s="2" t="str">
        <x:v>P.E. RIOBOO</x:v>
      </x:c>
      <x:c r="E1222" s="4" t="n">
        <x:v>3.42</x:v>
      </x:c>
      <x:c r="F1222" s="4" t="n">
        <x:f>J1222*0.97</x:f>
        <x:v>3.2475599999999996</x:v>
      </x:c>
      <x:c r="G1222" s="4" t="n">
        <x:v>20.8</x:v>
      </x:c>
      <x:c r="H1222" s="4" t="n">
        <x:v>103.34</x:v>
      </x:c>
      <x:c r="I1222" s="5" t="n">
        <x:f t="shared" si="19">F1222*1000*H1222</x:f>
        <x:v>335602.85039999994</x:v>
      </x:c>
      <x:c r="J1222" t="n">
        <x:v>3.348</x:v>
      </x:c>
    </x:row>
    <x:row r="1223">
      <x:c r="A1223" s="3" t="n">
        <x:v>2023</x:v>
      </x:c>
      <x:c r="B1223" s="2" t="str">
        <x:v>Octubre</x:v>
      </x:c>
      <x:c r="C1223" s="2" t="str">
        <x:v>RE-006848-1</x:v>
      </x:c>
      <x:c r="D1223" s="2" t="str">
        <x:v>P.E. RIOBOO</x:v>
      </x:c>
      <x:c r="E1223" s="4" t="n">
        <x:v>5.245</x:v>
      </x:c>
      <x:c r="F1223" s="4" t="n">
        <x:f>J1223*1.04</x:f>
        <x:v>5.2842400000000005</x:v>
      </x:c>
      <x:c r="G1223" s="4" t="n">
        <x:v>20.8</x:v>
      </x:c>
      <x:c r="H1223" s="4" t="n">
        <x:v>90.14</x:v>
      </x:c>
      <x:c r="I1223" s="5" t="n">
        <x:f t="shared" si="19">F1223*1000*H1223</x:f>
        <x:v>476321.39360000007</x:v>
      </x:c>
      <x:c r="J1223" t="n">
        <x:v>5.081</x:v>
      </x:c>
    </x:row>
    <x:row r="1224">
      <x:c r="A1224" s="3" t="n">
        <x:v>2023</x:v>
      </x:c>
      <x:c r="B1224" s="2" t="str">
        <x:v>Noviembre</x:v>
      </x:c>
      <x:c r="C1224" s="2" t="str">
        <x:v>RE-006848-1</x:v>
      </x:c>
      <x:c r="D1224" s="2" t="str">
        <x:v>P.E. RIOBOO</x:v>
      </x:c>
      <x:c r="E1224" s="4" t="n">
        <x:v>5.323</x:v>
      </x:c>
      <x:c r="F1224" s="4" t="n">
        <x:f>J1224*1</x:f>
        <x:v>5.207</x:v>
      </x:c>
      <x:c r="G1224" s="4" t="n">
        <x:v>20.8</x:v>
      </x:c>
      <x:c r="H1224" s="4" t="n">
        <x:v>63.45</x:v>
      </x:c>
      <x:c r="I1224" s="5" t="n">
        <x:f t="shared" si="19">F1224*1000*H1224</x:f>
        <x:v>330384.15</x:v>
      </x:c>
      <x:c r="J1224" t="n">
        <x:v>5.207</x:v>
      </x:c>
    </x:row>
    <x:row r="1225">
      <x:c r="A1225" s="3" t="n">
        <x:v>2023</x:v>
      </x:c>
      <x:c r="B1225" s="2" t="str">
        <x:v>Diciembre</x:v>
      </x:c>
      <x:c r="C1225" s="2" t="str">
        <x:v>RE-006848-1</x:v>
      </x:c>
      <x:c r="D1225" s="2" t="str">
        <x:v>P.E. RIOBOO</x:v>
      </x:c>
      <x:c r="E1225" s="4" t="n">
        <x:v>6.707</x:v>
      </x:c>
      <x:c r="F1225" s="4" t="n">
        <x:f>J1225*0.96</x:f>
        <x:v>6.28896</x:v>
      </x:c>
      <x:c r="G1225" s="4" t="n">
        <x:v>20.8</x:v>
      </x:c>
      <x:c r="H1225" s="4" t="n">
        <x:v>72.17</x:v>
      </x:c>
      <x:c r="I1225" s="5" t="n">
        <x:f t="shared" si="19">F1225*1000*H1225</x:f>
        <x:v>453874.2432</x:v>
      </x:c>
      <x:c r="J1225" t="n">
        <x:v>6.551</x:v>
      </x:c>
    </x:row>
    <x:row r="1226">
      <x:c r="A1226" s="3" t="n">
        <x:v>2023</x:v>
      </x:c>
      <x:c r="B1226" s="2" t="str">
        <x:v>Enero</x:v>
      </x:c>
      <x:c r="C1226" s="2" t="str">
        <x:v>RE-006849-1</x:v>
      </x:c>
      <x:c r="D1226" s="2" t="str">
        <x:v>P.E. BUIO</x:v>
      </x:c>
      <x:c r="E1226" s="4" t="n">
        <x:v>11.88</x:v>
      </x:c>
      <x:c r="F1226" s="4" t="n">
        <x:f>J1226*1.03</x:f>
        <x:v>12.02113</x:v>
      </x:c>
      <x:c r="G1226" s="4" t="n">
        <x:v>40.3</x:v>
      </x:c>
      <x:c r="H1226" s="4" t="n">
        <x:v>69.55</x:v>
      </x:c>
      <x:c r="I1226" s="5" t="n">
        <x:f t="shared" si="19">F1226*1000*H1226</x:f>
        <x:v>836069.5914999999</x:v>
      </x:c>
      <x:c r="J1226" t="n">
        <x:v>11.671</x:v>
      </x:c>
    </x:row>
    <x:row r="1227">
      <x:c r="A1227" s="3" t="n">
        <x:v>2023</x:v>
      </x:c>
      <x:c r="B1227" s="2" t="str">
        <x:v>Enero</x:v>
      </x:c>
      <x:c r="C1227" s="2" t="str">
        <x:v>RE-006849-2</x:v>
      </x:c>
      <x:c r="D1227" s="2" t="str">
        <x:v>P.E. BUIO</x:v>
      </x:c>
      <x:c r="E1227" s="4" t="n">
        <x:v>0</x:v>
      </x:c>
      <x:c r="F1227" s="4" t="n">
        <x:f>J1227*1.03</x:f>
        <x:v>0</x:v>
      </x:c>
      <x:c r="G1227" s="4" t="n">
        <x:v>0</x:v>
      </x:c>
      <x:c r="H1227" s="4" t="n">
        <x:v>69.55</x:v>
      </x:c>
      <x:c r="I1227" s="5" t="n">
        <x:f t="shared" si="19">F1227*1000*H1227</x:f>
        <x:v>0</x:v>
      </x:c>
      <x:c r="J1227" t="n">
        <x:v>0</x:v>
      </x:c>
    </x:row>
    <x:row r="1228">
      <x:c r="A1228" s="3" t="n">
        <x:v>2023</x:v>
      </x:c>
      <x:c r="B1228" s="2" t="str">
        <x:v>Febrero</x:v>
      </x:c>
      <x:c r="C1228" s="2" t="str">
        <x:v>RE-006849-1</x:v>
      </x:c>
      <x:c r="D1228" s="2" t="str">
        <x:v>P.E. BUIO</x:v>
      </x:c>
      <x:c r="E1228" s="4" t="n">
        <x:v>10.086</x:v>
      </x:c>
      <x:c r="F1228" s="4" t="n">
        <x:f>J1228*0.99</x:f>
        <x:v>9.80397</x:v>
      </x:c>
      <x:c r="G1228" s="4" t="n">
        <x:v>40.3</x:v>
      </x:c>
      <x:c r="H1228" s="4" t="n">
        <x:v>133.47</x:v>
      </x:c>
      <x:c r="I1228" s="5" t="n">
        <x:f t="shared" si="19">F1228*1000*H1228</x:f>
        <x:v>1308535.8758999999</x:v>
      </x:c>
      <x:c r="J1228" t="n">
        <x:v>9.903</x:v>
      </x:c>
    </x:row>
    <x:row r="1229">
      <x:c r="A1229" s="3" t="n">
        <x:v>2023</x:v>
      </x:c>
      <x:c r="B1229" s="2" t="str">
        <x:v>Febrero</x:v>
      </x:c>
      <x:c r="C1229" s="2" t="str">
        <x:v>RE-006849-2</x:v>
      </x:c>
      <x:c r="D1229" s="2" t="str">
        <x:v>P.E. BUIO</x:v>
      </x:c>
      <x:c r="E1229" s="4" t="n">
        <x:v>0</x:v>
      </x:c>
      <x:c r="F1229" s="4" t="n">
        <x:f>J1229*0.99</x:f>
        <x:v>0</x:v>
      </x:c>
      <x:c r="G1229" s="4" t="n">
        <x:v>0</x:v>
      </x:c>
      <x:c r="H1229" s="4" t="n">
        <x:v>133.47</x:v>
      </x:c>
      <x:c r="I1229" s="5" t="n">
        <x:f t="shared" si="19">F1229*1000*H1229</x:f>
        <x:v>0</x:v>
      </x:c>
      <x:c r="J1229" t="n">
        <x:v>0</x:v>
      </x:c>
    </x:row>
    <x:row r="1230">
      <x:c r="A1230" s="3" t="n">
        <x:v>2023</x:v>
      </x:c>
      <x:c r="B1230" s="2" t="str">
        <x:v>Marzo</x:v>
      </x:c>
      <x:c r="C1230" s="2" t="str">
        <x:v>RE-006849-1</x:v>
      </x:c>
      <x:c r="D1230" s="2" t="str">
        <x:v>P.E. BUIO</x:v>
      </x:c>
      <x:c r="E1230" s="4" t="n">
        <x:v>10.233</x:v>
      </x:c>
      <x:c r="F1230" s="4" t="n">
        <x:f>J1230*0.95</x:f>
        <x:v>9.5741</x:v>
      </x:c>
      <x:c r="G1230" s="4" t="n">
        <x:v>40.3</x:v>
      </x:c>
      <x:c r="H1230" s="4" t="n">
        <x:v>89.61</x:v>
      </x:c>
      <x:c r="I1230" s="5" t="n">
        <x:f t="shared" si="19">F1230*1000*H1230</x:f>
        <x:v>857935.101</x:v>
      </x:c>
      <x:c r="J1230" t="n">
        <x:v>10.078</x:v>
      </x:c>
    </x:row>
    <x:row r="1231">
      <x:c r="A1231" s="3" t="n">
        <x:v>2023</x:v>
      </x:c>
      <x:c r="B1231" s="2" t="str">
        <x:v>Marzo</x:v>
      </x:c>
      <x:c r="C1231" s="2" t="str">
        <x:v>RE-006849-2</x:v>
      </x:c>
      <x:c r="D1231" s="2" t="str">
        <x:v>P.E. BUIO</x:v>
      </x:c>
      <x:c r="E1231" s="4" t="n">
        <x:v>0</x:v>
      </x:c>
      <x:c r="F1231" s="4" t="n">
        <x:f>J1231*0.95</x:f>
        <x:v>0</x:v>
      </x:c>
      <x:c r="G1231" s="4" t="n">
        <x:v>0</x:v>
      </x:c>
      <x:c r="H1231" s="4" t="n">
        <x:v>89.61</x:v>
      </x:c>
      <x:c r="I1231" s="5" t="n">
        <x:f t="shared" si="19">F1231*1000*H1231</x:f>
        <x:v>0</x:v>
      </x:c>
      <x:c r="J1231" t="n">
        <x:v>0</x:v>
      </x:c>
    </x:row>
    <x:row r="1232">
      <x:c r="A1232" s="3" t="n">
        <x:v>2023</x:v>
      </x:c>
      <x:c r="B1232" s="2" t="str">
        <x:v>Abril</x:v>
      </x:c>
      <x:c r="C1232" s="2" t="str">
        <x:v>RE-006849-1</x:v>
      </x:c>
      <x:c r="D1232" s="2" t="str">
        <x:v>P.E. BUIO</x:v>
      </x:c>
      <x:c r="E1232" s="4" t="n">
        <x:v>7.819</x:v>
      </x:c>
      <x:c r="F1232" s="4" t="n">
        <x:f>J1232*1.02</x:f>
        <x:v>7.8468599999999995</x:v>
      </x:c>
      <x:c r="G1232" s="4" t="n">
        <x:v>40.3</x:v>
      </x:c>
      <x:c r="H1232" s="4" t="n">
        <x:v>73.73</x:v>
      </x:c>
      <x:c r="I1232" s="5" t="n">
        <x:f t="shared" si="19">F1232*1000*H1232</x:f>
        <x:v>578548.9878</x:v>
      </x:c>
      <x:c r="J1232" t="n">
        <x:v>7.693</x:v>
      </x:c>
    </x:row>
    <x:row r="1233">
      <x:c r="A1233" s="3" t="n">
        <x:v>2023</x:v>
      </x:c>
      <x:c r="B1233" s="2" t="str">
        <x:v>Abril</x:v>
      </x:c>
      <x:c r="C1233" s="2" t="str">
        <x:v>RE-006849-2</x:v>
      </x:c>
      <x:c r="D1233" s="2" t="str">
        <x:v>P.E. BUIO</x:v>
      </x:c>
      <x:c r="E1233" s="4" t="n">
        <x:v>0</x:v>
      </x:c>
      <x:c r="F1233" s="4" t="n">
        <x:f>J1233*1.02</x:f>
        <x:v>0</x:v>
      </x:c>
      <x:c r="G1233" s="4" t="n">
        <x:v>0</x:v>
      </x:c>
      <x:c r="H1233" s="4" t="n">
        <x:v>73.73</x:v>
      </x:c>
      <x:c r="I1233" s="5" t="n">
        <x:f t="shared" si="19">F1233*1000*H1233</x:f>
        <x:v>0</x:v>
      </x:c>
      <x:c r="J1233" t="n">
        <x:v>0</x:v>
      </x:c>
    </x:row>
    <x:row r="1234">
      <x:c r="A1234" s="3" t="n">
        <x:v>2023</x:v>
      </x:c>
      <x:c r="B1234" s="2" t="str">
        <x:v>Mayo</x:v>
      </x:c>
      <x:c r="C1234" s="2" t="str">
        <x:v>RE-006849-1</x:v>
      </x:c>
      <x:c r="D1234" s="2" t="str">
        <x:v>P.E. BUIO</x:v>
      </x:c>
      <x:c r="E1234" s="4" t="n">
        <x:v>8.148</x:v>
      </x:c>
      <x:c r="F1234" s="4" t="n">
        <x:f>J1234*0.98</x:f>
        <x:v>7.85274</x:v>
      </x:c>
      <x:c r="G1234" s="4" t="n">
        <x:v>40.3</x:v>
      </x:c>
      <x:c r="H1234" s="4" t="n">
        <x:v>74.21</x:v>
      </x:c>
      <x:c r="I1234" s="5" t="n">
        <x:f t="shared" si="19">F1234*1000*H1234</x:f>
        <x:v>582751.8354</x:v>
      </x:c>
      <x:c r="J1234" t="n">
        <x:v>8.013</x:v>
      </x:c>
    </x:row>
    <x:row r="1235">
      <x:c r="A1235" s="3" t="n">
        <x:v>2023</x:v>
      </x:c>
      <x:c r="B1235" s="2" t="str">
        <x:v>Mayo</x:v>
      </x:c>
      <x:c r="C1235" s="2" t="str">
        <x:v>RE-006849-2</x:v>
      </x:c>
      <x:c r="D1235" s="2" t="str">
        <x:v>P.E. BUIO</x:v>
      </x:c>
      <x:c r="E1235" s="4" t="n">
        <x:v>0</x:v>
      </x:c>
      <x:c r="F1235" s="4" t="n">
        <x:f>J1235*0.98</x:f>
        <x:v>0</x:v>
      </x:c>
      <x:c r="G1235" s="4" t="n">
        <x:v>0</x:v>
      </x:c>
      <x:c r="H1235" s="4" t="n">
        <x:v>74.21</x:v>
      </x:c>
      <x:c r="I1235" s="5" t="n">
        <x:f t="shared" si="19">F1235*1000*H1235</x:f>
        <x:v>0</x:v>
      </x:c>
      <x:c r="J1235" t="n">
        <x:v>0</x:v>
      </x:c>
    </x:row>
    <x:row r="1236">
      <x:c r="A1236" s="3" t="n">
        <x:v>2023</x:v>
      </x:c>
      <x:c r="B1236" s="2" t="str">
        <x:v>Junio</x:v>
      </x:c>
      <x:c r="C1236" s="2" t="str">
        <x:v>RE-006849-1</x:v>
      </x:c>
      <x:c r="D1236" s="2" t="str">
        <x:v>P.E. BUIO</x:v>
      </x:c>
      <x:c r="E1236" s="4" t="n">
        <x:v>6.346</x:v>
      </x:c>
      <x:c r="F1236" s="4" t="n">
        <x:f>J1236*0.94</x:f>
        <x:v>5.84586</x:v>
      </x:c>
      <x:c r="G1236" s="4" t="n">
        <x:v>40.3</x:v>
      </x:c>
      <x:c r="H1236" s="4" t="n">
        <x:v>93.02</x:v>
      </x:c>
      <x:c r="I1236" s="5" t="n">
        <x:f t="shared" si="19">F1236*1000*H1236</x:f>
        <x:v>543781.8971999999</x:v>
      </x:c>
      <x:c r="J1236" t="n">
        <x:v>6.219</x:v>
      </x:c>
    </x:row>
    <x:row r="1237">
      <x:c r="A1237" s="3" t="n">
        <x:v>2023</x:v>
      </x:c>
      <x:c r="B1237" s="2" t="str">
        <x:v>Junio</x:v>
      </x:c>
      <x:c r="C1237" s="2" t="str">
        <x:v>RE-006849-2</x:v>
      </x:c>
      <x:c r="D1237" s="2" t="str">
        <x:v>P.E. BUIO</x:v>
      </x:c>
      <x:c r="E1237" s="4" t="n">
        <x:v>0</x:v>
      </x:c>
      <x:c r="F1237" s="4" t="n">
        <x:f>J1237*0.94</x:f>
        <x:v>0</x:v>
      </x:c>
      <x:c r="G1237" s="4" t="n">
        <x:v>0</x:v>
      </x:c>
      <x:c r="H1237" s="4" t="n">
        <x:v>93.02</x:v>
      </x:c>
      <x:c r="I1237" s="5" t="n">
        <x:f t="shared" si="19">F1237*1000*H1237</x:f>
        <x:v>0</x:v>
      </x:c>
      <x:c r="J1237" t="n">
        <x:v>0</x:v>
      </x:c>
    </x:row>
    <x:row r="1238">
      <x:c r="A1238" s="3" t="n">
        <x:v>2023</x:v>
      </x:c>
      <x:c r="B1238" s="2" t="str">
        <x:v>Julio</x:v>
      </x:c>
      <x:c r="C1238" s="2" t="str">
        <x:v>RE-006849-1</x:v>
      </x:c>
      <x:c r="D1238" s="2" t="str">
        <x:v>P.E. BUIO</x:v>
      </x:c>
      <x:c r="E1238" s="4" t="n">
        <x:v>6.415</x:v>
      </x:c>
      <x:c r="F1238" s="4" t="n">
        <x:f>J1238*1.01</x:f>
        <x:v>6.29533</x:v>
      </x:c>
      <x:c r="G1238" s="4" t="n">
        <x:v>40.3</x:v>
      </x:c>
      <x:c r="H1238" s="4" t="n">
        <x:v>90.47</x:v>
      </x:c>
      <x:c r="I1238" s="5" t="n">
        <x:f t="shared" si="19">F1238*1000*H1238</x:f>
        <x:v>569538.5051</x:v>
      </x:c>
      <x:c r="J1238" t="n">
        <x:v>6.233</x:v>
      </x:c>
    </x:row>
    <x:row r="1239">
      <x:c r="A1239" s="3" t="n">
        <x:v>2023</x:v>
      </x:c>
      <x:c r="B1239" s="2" t="str">
        <x:v>Julio</x:v>
      </x:c>
      <x:c r="C1239" s="2" t="str">
        <x:v>RE-006849-2</x:v>
      </x:c>
      <x:c r="D1239" s="2" t="str">
        <x:v>P.E. BUIO</x:v>
      </x:c>
      <x:c r="E1239" s="4" t="n">
        <x:v>0</x:v>
      </x:c>
      <x:c r="F1239" s="4" t="n">
        <x:f>J1239*1.01</x:f>
        <x:v>0</x:v>
      </x:c>
      <x:c r="G1239" s="4" t="n">
        <x:v>0</x:v>
      </x:c>
      <x:c r="H1239" s="4" t="n">
        <x:v>90.47</x:v>
      </x:c>
      <x:c r="I1239" s="5" t="n">
        <x:f t="shared" si="19">F1239*1000*H1239</x:f>
        <x:v>0</x:v>
      </x:c>
      <x:c r="J1239" t="n">
        <x:v>0</x:v>
      </x:c>
    </x:row>
    <x:row r="1240">
      <x:c r="A1240" s="3" t="n">
        <x:v>2023</x:v>
      </x:c>
      <x:c r="B1240" s="2" t="str">
        <x:v>Agosto</x:v>
      </x:c>
      <x:c r="C1240" s="2" t="str">
        <x:v>RE-006849-1</x:v>
      </x:c>
      <x:c r="D1240" s="2" t="str">
        <x:v>P.E. BUIO</x:v>
      </x:c>
      <x:c r="E1240" s="4" t="n">
        <x:v>6.643</x:v>
      </x:c>
      <x:c r="F1240" s="4" t="n">
        <x:f>J1240*0.97</x:f>
        <x:v>6.33701</x:v>
      </x:c>
      <x:c r="G1240" s="4" t="n">
        <x:v>40.3</x:v>
      </x:c>
      <x:c r="H1240" s="4" t="n">
        <x:v>96.05</x:v>
      </x:c>
      <x:c r="I1240" s="5" t="n">
        <x:f t="shared" si="19">F1240*1000*H1240</x:f>
        <x:v>608669.8105</x:v>
      </x:c>
      <x:c r="J1240" t="n">
        <x:v>6.533</x:v>
      </x:c>
    </x:row>
    <x:row r="1241">
      <x:c r="A1241" s="3" t="n">
        <x:v>2023</x:v>
      </x:c>
      <x:c r="B1241" s="2" t="str">
        <x:v>Agosto</x:v>
      </x:c>
      <x:c r="C1241" s="2" t="str">
        <x:v>RE-006849-2</x:v>
      </x:c>
      <x:c r="D1241" s="2" t="str">
        <x:v>P.E. BUIO</x:v>
      </x:c>
      <x:c r="E1241" s="4" t="n">
        <x:v>0</x:v>
      </x:c>
      <x:c r="F1241" s="4" t="n">
        <x:f>J1241*0.97</x:f>
        <x:v>0</x:v>
      </x:c>
      <x:c r="G1241" s="4" t="n">
        <x:v>0</x:v>
      </x:c>
      <x:c r="H1241" s="4" t="n">
        <x:v>96.05</x:v>
      </x:c>
      <x:c r="I1241" s="5" t="n">
        <x:f t="shared" si="19">F1241*1000*H1241</x:f>
        <x:v>0</x:v>
      </x:c>
      <x:c r="J1241" t="n">
        <x:v>0</x:v>
      </x:c>
    </x:row>
    <x:row r="1242">
      <x:c r="A1242" s="3" t="n">
        <x:v>2023</x:v>
      </x:c>
      <x:c r="B1242" s="2" t="str">
        <x:v>Septiembre</x:v>
      </x:c>
      <x:c r="C1242" s="2" t="str">
        <x:v>RE-006849-1</x:v>
      </x:c>
      <x:c r="D1242" s="2" t="str">
        <x:v>P.E. BUIO</x:v>
      </x:c>
      <x:c r="E1242" s="4" t="n">
        <x:v>7.666</x:v>
      </x:c>
      <x:c r="F1242" s="4" t="n">
        <x:f>J1242*1.04</x:f>
        <x:v>7.8197600000000005</x:v>
      </x:c>
      <x:c r="G1242" s="4" t="n">
        <x:v>40.3</x:v>
      </x:c>
      <x:c r="H1242" s="4" t="n">
        <x:v>103.34</x:v>
      </x:c>
      <x:c r="I1242" s="5" t="n">
        <x:f t="shared" si="19">F1242*1000*H1242</x:f>
        <x:v>808093.9984</x:v>
      </x:c>
      <x:c r="J1242" t="n">
        <x:v>7.519</x:v>
      </x:c>
    </x:row>
    <x:row r="1243">
      <x:c r="A1243" s="3" t="n">
        <x:v>2023</x:v>
      </x:c>
      <x:c r="B1243" s="2" t="str">
        <x:v>Septiembre</x:v>
      </x:c>
      <x:c r="C1243" s="2" t="str">
        <x:v>RE-006849-2</x:v>
      </x:c>
      <x:c r="D1243" s="2" t="str">
        <x:v>P.E. BUIO</x:v>
      </x:c>
      <x:c r="E1243" s="4" t="n">
        <x:v>0</x:v>
      </x:c>
      <x:c r="F1243" s="4" t="n">
        <x:f>J1243*1.04</x:f>
        <x:v>0</x:v>
      </x:c>
      <x:c r="G1243" s="4" t="n">
        <x:v>0</x:v>
      </x:c>
      <x:c r="H1243" s="4" t="n">
        <x:v>103.34</x:v>
      </x:c>
      <x:c r="I1243" s="5" t="n">
        <x:f t="shared" si="19">F1243*1000*H1243</x:f>
        <x:v>0</x:v>
      </x:c>
      <x:c r="J1243" t="n">
        <x:v>0</x:v>
      </x:c>
    </x:row>
    <x:row r="1244">
      <x:c r="A1244" s="3" t="n">
        <x:v>2023</x:v>
      </x:c>
      <x:c r="B1244" s="2" t="str">
        <x:v>Octubre</x:v>
      </x:c>
      <x:c r="C1244" s="2" t="str">
        <x:v>RE-006849-1</x:v>
      </x:c>
      <x:c r="D1244" s="2" t="str">
        <x:v>P.E. BUIO</x:v>
      </x:c>
      <x:c r="E1244" s="4" t="n">
        <x:v>10.515</x:v>
      </x:c>
      <x:c r="F1244" s="4" t="n">
        <x:f>J1244*1</x:f>
        <x:v>10.204</x:v>
      </x:c>
      <x:c r="G1244" s="4" t="n">
        <x:v>40.3</x:v>
      </x:c>
      <x:c r="H1244" s="4" t="n">
        <x:v>90.14</x:v>
      </x:c>
      <x:c r="I1244" s="5" t="n">
        <x:f t="shared" si="19">F1244*1000*H1244</x:f>
        <x:v>919788.56</x:v>
      </x:c>
      <x:c r="J1244" t="n">
        <x:v>10.204</x:v>
      </x:c>
    </x:row>
    <x:row r="1245">
      <x:c r="A1245" s="3" t="n">
        <x:v>2023</x:v>
      </x:c>
      <x:c r="B1245" s="2" t="str">
        <x:v>Octubre</x:v>
      </x:c>
      <x:c r="C1245" s="2" t="str">
        <x:v>RE-006849-2</x:v>
      </x:c>
      <x:c r="D1245" s="2" t="str">
        <x:v>P.E. BUIO</x:v>
      </x:c>
      <x:c r="E1245" s="4" t="n">
        <x:v>0</x:v>
      </x:c>
      <x:c r="F1245" s="4" t="n">
        <x:f>J1245*1</x:f>
        <x:v>0</x:v>
      </x:c>
      <x:c r="G1245" s="4" t="n">
        <x:v>0</x:v>
      </x:c>
      <x:c r="H1245" s="4" t="n">
        <x:v>90.14</x:v>
      </x:c>
      <x:c r="I1245" s="5" t="n">
        <x:f t="shared" si="19">F1245*1000*H1245</x:f>
        <x:v>0</x:v>
      </x:c>
      <x:c r="J1245" t="n">
        <x:v>0</x:v>
      </x:c>
    </x:row>
    <x:row r="1246">
      <x:c r="A1246" s="3" t="n">
        <x:v>2023</x:v>
      </x:c>
      <x:c r="B1246" s="2" t="str">
        <x:v>Noviembre</x:v>
      </x:c>
      <x:c r="C1246" s="2" t="str">
        <x:v>RE-006849-1</x:v>
      </x:c>
      <x:c r="D1246" s="2" t="str">
        <x:v>P.E. BUIO</x:v>
      </x:c>
      <x:c r="E1246" s="4" t="n">
        <x:v>10.413</x:v>
      </x:c>
      <x:c r="F1246" s="4" t="n">
        <x:f>J1246*0.96</x:f>
        <x:v>9.798720000000001</x:v>
      </x:c>
      <x:c r="G1246" s="4" t="n">
        <x:v>40.3</x:v>
      </x:c>
      <x:c r="H1246" s="4" t="n">
        <x:v>63.45</x:v>
      </x:c>
      <x:c r="I1246" s="5" t="n">
        <x:f t="shared" si="19">F1246*1000*H1246</x:f>
        <x:v>621728.7840000001</x:v>
      </x:c>
      <x:c r="J1246" t="n">
        <x:v>10.207</x:v>
      </x:c>
    </x:row>
    <x:row r="1247">
      <x:c r="A1247" s="3" t="n">
        <x:v>2023</x:v>
      </x:c>
      <x:c r="B1247" s="2" t="str">
        <x:v>Noviembre</x:v>
      </x:c>
      <x:c r="C1247" s="2" t="str">
        <x:v>RE-006849-2</x:v>
      </x:c>
      <x:c r="D1247" s="2" t="str">
        <x:v>P.E. BUIO</x:v>
      </x:c>
      <x:c r="E1247" s="4" t="n">
        <x:v>0</x:v>
      </x:c>
      <x:c r="F1247" s="4" t="n">
        <x:f>J1247*0.96</x:f>
        <x:v>0</x:v>
      </x:c>
      <x:c r="G1247" s="4" t="n">
        <x:v>0</x:v>
      </x:c>
      <x:c r="H1247" s="4" t="n">
        <x:v>63.45</x:v>
      </x:c>
      <x:c r="I1247" s="5" t="n">
        <x:f t="shared" si="19">F1247*1000*H1247</x:f>
        <x:v>0</x:v>
      </x:c>
      <x:c r="J1247" t="n">
        <x:v>0</x:v>
      </x:c>
    </x:row>
    <x:row r="1248">
      <x:c r="A1248" s="3" t="n">
        <x:v>2023</x:v>
      </x:c>
      <x:c r="B1248" s="2" t="str">
        <x:v>Diciembre</x:v>
      </x:c>
      <x:c r="C1248" s="2" t="str">
        <x:v>RE-006849-1</x:v>
      </x:c>
      <x:c r="D1248" s="2" t="str">
        <x:v>P.E. BUIO</x:v>
      </x:c>
      <x:c r="E1248" s="4" t="n">
        <x:v>12.293</x:v>
      </x:c>
      <x:c r="F1248" s="4" t="n">
        <x:f>J1248*1.03</x:f>
        <x:v>12.32498</x:v>
      </x:c>
      <x:c r="G1248" s="4" t="n">
        <x:v>40.3</x:v>
      </x:c>
      <x:c r="H1248" s="4" t="n">
        <x:v>72.17</x:v>
      </x:c>
      <x:c r="I1248" s="5" t="n">
        <x:f t="shared" si="19">F1248*1000*H1248</x:f>
        <x:v>889493.8066</x:v>
      </x:c>
      <x:c r="J1248" t="n">
        <x:v>11.966</x:v>
      </x:c>
    </x:row>
    <x:row r="1249">
      <x:c r="A1249" s="3" t="n">
        <x:v>2023</x:v>
      </x:c>
      <x:c r="B1249" s="2" t="str">
        <x:v>Diciembre</x:v>
      </x:c>
      <x:c r="C1249" s="2" t="str">
        <x:v>RE-006849-2</x:v>
      </x:c>
      <x:c r="D1249" s="2" t="str">
        <x:v>P.E. BUIO</x:v>
      </x:c>
      <x:c r="E1249" s="4" t="n">
        <x:v>0</x:v>
      </x:c>
      <x:c r="F1249" s="4" t="n">
        <x:f>J1249*1.03</x:f>
        <x:v>0</x:v>
      </x:c>
      <x:c r="G1249" s="4" t="n">
        <x:v>0</x:v>
      </x:c>
      <x:c r="H1249" s="4" t="n">
        <x:v>72.17</x:v>
      </x:c>
      <x:c r="I1249" s="5" t="n">
        <x:f t="shared" si="19">F1249*1000*H1249</x:f>
        <x:v>0</x:v>
      </x:c>
      <x:c r="J1249" t="n">
        <x:v>0</x:v>
      </x:c>
    </x:row>
    <x:row r="1250">
      <x:c r="A1250" s="3" t="n">
        <x:v>2023</x:v>
      </x:c>
      <x:c r="B1250" s="2" t="str">
        <x:v>Enero</x:v>
      </x:c>
      <x:c r="C1250" s="2" t="str">
        <x:v>RE-006971-1</x:v>
      </x:c>
      <x:c r="D1250" s="2" t="str">
        <x:v>P.E. SINGULAR DE PADRON</x:v>
      </x:c>
      <x:c r="E1250" s="4" t="n">
        <x:v>0.453</x:v>
      </x:c>
      <x:c r="F1250" s="4" t="n">
        <x:f>J1250*0.99</x:f>
        <x:v>0.43659</x:v>
      </x:c>
      <x:c r="G1250" s="4" t="n">
        <x:v>1.7</x:v>
      </x:c>
      <x:c r="H1250" s="4" t="n">
        <x:v>69.55</x:v>
      </x:c>
      <x:c r="I1250" s="5" t="n">
        <x:f t="shared" si="19">F1250*1000*H1250</x:f>
        <x:v>30364.834499999997</x:v>
      </x:c>
      <x:c r="J1250" t="n">
        <x:v>0.441</x:v>
      </x:c>
    </x:row>
    <x:row r="1251">
      <x:c r="A1251" s="3" t="n">
        <x:v>2023</x:v>
      </x:c>
      <x:c r="B1251" s="2" t="str">
        <x:v>Febrero</x:v>
      </x:c>
      <x:c r="C1251" s="2" t="str">
        <x:v>RE-006971-1</x:v>
      </x:c>
      <x:c r="D1251" s="2" t="str">
        <x:v>P.E. SINGULAR DE PADRON</x:v>
      </x:c>
      <x:c r="E1251" s="4" t="n">
        <x:v>0.441</x:v>
      </x:c>
      <x:c r="F1251" s="4" t="n">
        <x:f>J1251*0.95</x:f>
        <x:v>0.40754999999999997</x:v>
      </x:c>
      <x:c r="G1251" s="4" t="n">
        <x:v>1.7</x:v>
      </x:c>
      <x:c r="H1251" s="4" t="n">
        <x:v>133.47</x:v>
      </x:c>
      <x:c r="I1251" s="5" t="n">
        <x:f t="shared" si="19">F1251*1000*H1251</x:f>
        <x:v>54395.69849999999</x:v>
      </x:c>
      <x:c r="J1251" t="n">
        <x:v>0.429</x:v>
      </x:c>
    </x:row>
    <x:row r="1252">
      <x:c r="A1252" s="3" t="n">
        <x:v>2023</x:v>
      </x:c>
      <x:c r="B1252" s="2" t="str">
        <x:v>Marzo</x:v>
      </x:c>
      <x:c r="C1252" s="2" t="str">
        <x:v>RE-006971-1</x:v>
      </x:c>
      <x:c r="D1252" s="2" t="str">
        <x:v>P.E. SINGULAR DE PADRON</x:v>
      </x:c>
      <x:c r="E1252" s="4" t="n">
        <x:v>0.445</x:v>
      </x:c>
      <x:c r="F1252" s="4" t="n">
        <x:f>J1252*1.02</x:f>
        <x:v>0.44064</x:v>
      </x:c>
      <x:c r="G1252" s="4" t="n">
        <x:v>1.7</x:v>
      </x:c>
      <x:c r="H1252" s="4" t="n">
        <x:v>89.61</x:v>
      </x:c>
      <x:c r="I1252" s="5" t="n">
        <x:f t="shared" si="19">F1252*1000*H1252</x:f>
        <x:v>39485.7504</x:v>
      </x:c>
      <x:c r="J1252" t="n">
        <x:v>0.432</x:v>
      </x:c>
    </x:row>
    <x:row r="1253">
      <x:c r="A1253" s="3" t="n">
        <x:v>2023</x:v>
      </x:c>
      <x:c r="B1253" s="2" t="str">
        <x:v>Abril</x:v>
      </x:c>
      <x:c r="C1253" s="2" t="str">
        <x:v>RE-006971-1</x:v>
      </x:c>
      <x:c r="D1253" s="2" t="str">
        <x:v>P.E. SINGULAR DE PADRON</x:v>
      </x:c>
      <x:c r="E1253" s="4" t="n">
        <x:v>0.368</x:v>
      </x:c>
      <x:c r="F1253" s="4" t="n">
        <x:f>J1253*0.98</x:f>
        <x:v>0.35378</x:v>
      </x:c>
      <x:c r="G1253" s="4" t="n">
        <x:v>1.7</x:v>
      </x:c>
      <x:c r="H1253" s="4" t="n">
        <x:v>73.73</x:v>
      </x:c>
      <x:c r="I1253" s="5" t="n">
        <x:f t="shared" si="19">F1253*1000*H1253</x:f>
        <x:v>26084.199399999998</x:v>
      </x:c>
      <x:c r="J1253" t="n">
        <x:v>0.361</x:v>
      </x:c>
    </x:row>
    <x:row r="1254">
      <x:c r="A1254" s="3" t="n">
        <x:v>2023</x:v>
      </x:c>
      <x:c r="B1254" s="2" t="str">
        <x:v>Mayo</x:v>
      </x:c>
      <x:c r="C1254" s="2" t="str">
        <x:v>RE-006971-1</x:v>
      </x:c>
      <x:c r="D1254" s="2" t="str">
        <x:v>P.E. SINGULAR DE PADRON</x:v>
      </x:c>
      <x:c r="E1254" s="4" t="n">
        <x:v>0.279</x:v>
      </x:c>
      <x:c r="F1254" s="4" t="n">
        <x:f>J1254*0.94</x:f>
        <x:v>0.25474</x:v>
      </x:c>
      <x:c r="G1254" s="4" t="n">
        <x:v>1.7</x:v>
      </x:c>
      <x:c r="H1254" s="4" t="n">
        <x:v>74.21</x:v>
      </x:c>
      <x:c r="I1254" s="5" t="n">
        <x:f t="shared" si="19">F1254*1000*H1254</x:f>
        <x:v>18904.2554</x:v>
      </x:c>
      <x:c r="J1254" t="n">
        <x:v>0.271</x:v>
      </x:c>
    </x:row>
    <x:row r="1255">
      <x:c r="A1255" s="3" t="n">
        <x:v>2023</x:v>
      </x:c>
      <x:c r="B1255" s="2" t="str">
        <x:v>Junio</x:v>
      </x:c>
      <x:c r="C1255" s="2" t="str">
        <x:v>RE-006971-1</x:v>
      </x:c>
      <x:c r="D1255" s="2" t="str">
        <x:v>P.E. SINGULAR DE PADRON</x:v>
      </x:c>
      <x:c r="E1255" s="4" t="n">
        <x:v>0.277</x:v>
      </x:c>
      <x:c r="F1255" s="4" t="n">
        <x:f>J1255*1.01</x:f>
        <x:v>0.27068000000000003</x:v>
      </x:c>
      <x:c r="G1255" s="4" t="n">
        <x:v>1.7</x:v>
      </x:c>
      <x:c r="H1255" s="4" t="n">
        <x:v>93.02</x:v>
      </x:c>
      <x:c r="I1255" s="5" t="n">
        <x:f t="shared" si="19">F1255*1000*H1255</x:f>
        <x:v>25178.653599999998</x:v>
      </x:c>
      <x:c r="J1255" t="n">
        <x:v>0.268</x:v>
      </x:c>
    </x:row>
    <x:row r="1256">
      <x:c r="A1256" s="3" t="n">
        <x:v>2023</x:v>
      </x:c>
      <x:c r="B1256" s="2" t="str">
        <x:v>Julio</x:v>
      </x:c>
      <x:c r="C1256" s="2" t="str">
        <x:v>RE-006971-1</x:v>
      </x:c>
      <x:c r="D1256" s="2" t="str">
        <x:v>P.E. SINGULAR DE PADRON</x:v>
      </x:c>
      <x:c r="E1256" s="4" t="n">
        <x:v>0.238</x:v>
      </x:c>
      <x:c r="F1256" s="4" t="n">
        <x:f>J1256*0.97</x:f>
        <x:v>0.22504000000000002</x:v>
      </x:c>
      <x:c r="G1256" s="4" t="n">
        <x:v>1.7</x:v>
      </x:c>
      <x:c r="H1256" s="4" t="n">
        <x:v>90.47</x:v>
      </x:c>
      <x:c r="I1256" s="5" t="n">
        <x:f t="shared" si="19">F1256*1000*H1256</x:f>
        <x:v>20359.3688</x:v>
      </x:c>
      <x:c r="J1256" t="n">
        <x:v>0.232</x:v>
      </x:c>
    </x:row>
    <x:row r="1257">
      <x:c r="A1257" s="3" t="n">
        <x:v>2023</x:v>
      </x:c>
      <x:c r="B1257" s="2" t="str">
        <x:v>Agosto</x:v>
      </x:c>
      <x:c r="C1257" s="2" t="str">
        <x:v>RE-006971-1</x:v>
      </x:c>
      <x:c r="D1257" s="2" t="str">
        <x:v>P.E. SINGULAR DE PADRON</x:v>
      </x:c>
      <x:c r="E1257" s="4" t="n">
        <x:v>0.221</x:v>
      </x:c>
      <x:c r="F1257" s="4" t="n">
        <x:f>J1257*1.04</x:f>
        <x:v>0.22568000000000002</x:v>
      </x:c>
      <x:c r="G1257" s="4" t="n">
        <x:v>1.7</x:v>
      </x:c>
      <x:c r="H1257" s="4" t="n">
        <x:v>96.05</x:v>
      </x:c>
      <x:c r="I1257" s="5" t="n">
        <x:f t="shared" si="19">F1257*1000*H1257</x:f>
        <x:v>21676.564</x:v>
      </x:c>
      <x:c r="J1257" t="n">
        <x:v>0.217</x:v>
      </x:c>
    </x:row>
    <x:row r="1258">
      <x:c r="A1258" s="3" t="n">
        <x:v>2023</x:v>
      </x:c>
      <x:c r="B1258" s="2" t="str">
        <x:v>Septiembre</x:v>
      </x:c>
      <x:c r="C1258" s="2" t="str">
        <x:v>RE-006971-1</x:v>
      </x:c>
      <x:c r="D1258" s="2" t="str">
        <x:v>P.E. SINGULAR DE PADRON</x:v>
      </x:c>
      <x:c r="E1258" s="4" t="n">
        <x:v>0.289</x:v>
      </x:c>
      <x:c r="F1258" s="4" t="n">
        <x:f>J1258*1</x:f>
        <x:v>0.28</x:v>
      </x:c>
      <x:c r="G1258" s="4" t="n">
        <x:v>1.7</x:v>
      </x:c>
      <x:c r="H1258" s="4" t="n">
        <x:v>103.34</x:v>
      </x:c>
      <x:c r="I1258" s="5" t="n">
        <x:f t="shared" si="19">F1258*1000*H1258</x:f>
        <x:v>28935.2</x:v>
      </x:c>
      <x:c r="J1258" t="n">
        <x:v>0.28</x:v>
      </x:c>
    </x:row>
    <x:row r="1259">
      <x:c r="A1259" s="3" t="n">
        <x:v>2023</x:v>
      </x:c>
      <x:c r="B1259" s="2" t="str">
        <x:v>Octubre</x:v>
      </x:c>
      <x:c r="C1259" s="2" t="str">
        <x:v>RE-006971-1</x:v>
      </x:c>
      <x:c r="D1259" s="2" t="str">
        <x:v>P.E. SINGULAR DE PADRON</x:v>
      </x:c>
      <x:c r="E1259" s="4" t="n">
        <x:v>0.338</x:v>
      </x:c>
      <x:c r="F1259" s="4" t="n">
        <x:f>J1259*0.96</x:f>
        <x:v>0.31968</x:v>
      </x:c>
      <x:c r="G1259" s="4" t="n">
        <x:v>1.7</x:v>
      </x:c>
      <x:c r="H1259" s="4" t="n">
        <x:v>90.14</x:v>
      </x:c>
      <x:c r="I1259" s="5" t="n">
        <x:f t="shared" si="19">F1259*1000*H1259</x:f>
        <x:v>28815.9552</x:v>
      </x:c>
      <x:c r="J1259" t="n">
        <x:v>0.333</x:v>
      </x:c>
    </x:row>
    <x:row r="1260">
      <x:c r="A1260" s="3" t="n">
        <x:v>2023</x:v>
      </x:c>
      <x:c r="B1260" s="2" t="str">
        <x:v>Noviembre</x:v>
      </x:c>
      <x:c r="C1260" s="2" t="str">
        <x:v>RE-006971-1</x:v>
      </x:c>
      <x:c r="D1260" s="2" t="str">
        <x:v>P.E. SINGULAR DE PADRON</x:v>
      </x:c>
      <x:c r="E1260" s="4" t="n">
        <x:v>0.408</x:v>
      </x:c>
      <x:c r="F1260" s="4" t="n">
        <x:f>J1260*1.03</x:f>
        <x:v>0.41097000000000006</x:v>
      </x:c>
      <x:c r="G1260" s="4" t="n">
        <x:v>1.7</x:v>
      </x:c>
      <x:c r="H1260" s="4" t="n">
        <x:v>63.45</x:v>
      </x:c>
      <x:c r="I1260" s="5" t="n">
        <x:f t="shared" si="19">F1260*1000*H1260</x:f>
        <x:v>26076.046500000008</x:v>
      </x:c>
      <x:c r="J1260" t="n">
        <x:v>0.399</x:v>
      </x:c>
    </x:row>
    <x:row r="1261">
      <x:c r="A1261" s="3" t="n">
        <x:v>2023</x:v>
      </x:c>
      <x:c r="B1261" s="2" t="str">
        <x:v>Diciembre</x:v>
      </x:c>
      <x:c r="C1261" s="2" t="str">
        <x:v>RE-006971-1</x:v>
      </x:c>
      <x:c r="D1261" s="2" t="str">
        <x:v>P.E. SINGULAR DE PADRON</x:v>
      </x:c>
      <x:c r="E1261" s="4" t="n">
        <x:v>0.421</x:v>
      </x:c>
      <x:c r="F1261" s="4" t="n">
        <x:f>J1261*0.99</x:f>
        <x:v>0.4059</x:v>
      </x:c>
      <x:c r="G1261" s="4" t="n">
        <x:v>1.7</x:v>
      </x:c>
      <x:c r="H1261" s="4" t="n">
        <x:v>72.17</x:v>
      </x:c>
      <x:c r="I1261" s="5" t="n">
        <x:f t="shared" si="19">F1261*1000*H1261</x:f>
        <x:v>29293.803</x:v>
      </x:c>
      <x:c r="J1261" t="n">
        <x:v>0.41</x:v>
      </x:c>
    </x:row>
    <x:row r="1262">
      <x:c r="A1262" s="3" t="n">
        <x:v>2023</x:v>
      </x:c>
      <x:c r="B1262" s="2" t="str">
        <x:v>Enero</x:v>
      </x:c>
      <x:c r="C1262" s="2" t="str">
        <x:v>RE-007401-1</x:v>
      </x:c>
      <x:c r="D1262" s="2" t="str">
        <x:v>JOSE MIGUEL MARTINEZ BARREIR0</x:v>
      </x:c>
      <x:c r="E1262" s="4" t="n">
        <x:v>0.003</x:v>
      </x:c>
      <x:c r="F1262" s="4" t="n">
        <x:f>J1262*0.95</x:f>
        <x:v>0.00285</x:v>
      </x:c>
      <x:c r="G1262" s="4" t="n">
        <x:v>0.012</x:v>
      </x:c>
      <x:c r="H1262" s="4" t="n">
        <x:v>69.55</x:v>
      </x:c>
      <x:c r="I1262" s="5" t="n">
        <x:f t="shared" si="19">F1262*1000*H1262</x:f>
        <x:v>198.2175</x:v>
      </x:c>
      <x:c r="J1262" t="n">
        <x:v>0.003</x:v>
      </x:c>
    </x:row>
    <x:row r="1263">
      <x:c r="A1263" s="3" t="n">
        <x:v>2023</x:v>
      </x:c>
      <x:c r="B1263" s="2" t="str">
        <x:v>Febrero</x:v>
      </x:c>
      <x:c r="C1263" s="2" t="str">
        <x:v>RE-007401-1</x:v>
      </x:c>
      <x:c r="D1263" s="2" t="str">
        <x:v>JOSE MIGUEL MARTINEZ BARREIR0</x:v>
      </x:c>
      <x:c r="E1263" s="4" t="n">
        <x:v>0.003</x:v>
      </x:c>
      <x:c r="F1263" s="4" t="n">
        <x:f>J1263*1.02</x:f>
        <x:v>0.0030600000000000002</x:v>
      </x:c>
      <x:c r="G1263" s="4" t="n">
        <x:v>0.012</x:v>
      </x:c>
      <x:c r="H1263" s="4" t="n">
        <x:v>133.47</x:v>
      </x:c>
      <x:c r="I1263" s="5" t="n">
        <x:f t="shared" si="19">F1263*1000*H1263</x:f>
        <x:v>408.4182</x:v>
      </x:c>
      <x:c r="J1263" t="n">
        <x:v>0.003</x:v>
      </x:c>
    </x:row>
    <x:row r="1264">
      <x:c r="A1264" s="3" t="n">
        <x:v>2023</x:v>
      </x:c>
      <x:c r="B1264" s="2" t="str">
        <x:v>Marzo</x:v>
      </x:c>
      <x:c r="C1264" s="2" t="str">
        <x:v>RE-007401-1</x:v>
      </x:c>
      <x:c r="D1264" s="2" t="str">
        <x:v>JOSE MIGUEL MARTINEZ BARREIR0</x:v>
      </x:c>
      <x:c r="E1264" s="4" t="n">
        <x:v>0.003</x:v>
      </x:c>
      <x:c r="F1264" s="4" t="n">
        <x:f>J1264*0.98</x:f>
        <x:v>0.00294</x:v>
      </x:c>
      <x:c r="G1264" s="4" t="n">
        <x:v>0.012</x:v>
      </x:c>
      <x:c r="H1264" s="4" t="n">
        <x:v>89.61</x:v>
      </x:c>
      <x:c r="I1264" s="5" t="n">
        <x:f t="shared" si="19">F1264*1000*H1264</x:f>
        <x:v>263.4534</x:v>
      </x:c>
      <x:c r="J1264" t="n">
        <x:v>0.003</x:v>
      </x:c>
    </x:row>
    <x:row r="1265">
      <x:c r="A1265" s="3" t="n">
        <x:v>2023</x:v>
      </x:c>
      <x:c r="B1265" s="2" t="str">
        <x:v>Abril</x:v>
      </x:c>
      <x:c r="C1265" s="2" t="str">
        <x:v>RE-007401-1</x:v>
      </x:c>
      <x:c r="D1265" s="2" t="str">
        <x:v>JOSE MIGUEL MARTINEZ BARREIR0</x:v>
      </x:c>
      <x:c r="E1265" s="4" t="n">
        <x:v>0.003</x:v>
      </x:c>
      <x:c r="F1265" s="4" t="n">
        <x:f>J1265*0.94</x:f>
        <x:v>0.00282</x:v>
      </x:c>
      <x:c r="G1265" s="4" t="n">
        <x:v>0.012</x:v>
      </x:c>
      <x:c r="H1265" s="4" t="n">
        <x:v>73.73</x:v>
      </x:c>
      <x:c r="I1265" s="5" t="n">
        <x:f t="shared" si="19">F1265*1000*H1265</x:f>
        <x:v>207.9186</x:v>
      </x:c>
      <x:c r="J1265" t="n">
        <x:v>0.003</x:v>
      </x:c>
    </x:row>
    <x:row r="1266">
      <x:c r="A1266" s="3" t="n">
        <x:v>2023</x:v>
      </x:c>
      <x:c r="B1266" s="2" t="str">
        <x:v>Mayo</x:v>
      </x:c>
      <x:c r="C1266" s="2" t="str">
        <x:v>RE-007401-1</x:v>
      </x:c>
      <x:c r="D1266" s="2" t="str">
        <x:v>JOSE MIGUEL MARTINEZ BARREIR0</x:v>
      </x:c>
      <x:c r="E1266" s="4" t="n">
        <x:v>0.002</x:v>
      </x:c>
      <x:c r="F1266" s="4" t="n">
        <x:f>J1266*1.01</x:f>
        <x:v>0.00202</x:v>
      </x:c>
      <x:c r="G1266" s="4" t="n">
        <x:v>0.012</x:v>
      </x:c>
      <x:c r="H1266" s="4" t="n">
        <x:v>74.21</x:v>
      </x:c>
      <x:c r="I1266" s="5" t="n">
        <x:f t="shared" si="19">F1266*1000*H1266</x:f>
        <x:v>149.90419999999997</x:v>
      </x:c>
      <x:c r="J1266" t="n">
        <x:v>0.002</x:v>
      </x:c>
    </x:row>
    <x:row r="1267">
      <x:c r="A1267" s="3" t="n">
        <x:v>2023</x:v>
      </x:c>
      <x:c r="B1267" s="2" t="str">
        <x:v>Junio</x:v>
      </x:c>
      <x:c r="C1267" s="2" t="str">
        <x:v>RE-007401-1</x:v>
      </x:c>
      <x:c r="D1267" s="2" t="str">
        <x:v>JOSE MIGUEL MARTINEZ BARREIR0</x:v>
      </x:c>
      <x:c r="E1267" s="4" t="n">
        <x:v>0.002</x:v>
      </x:c>
      <x:c r="F1267" s="4" t="n">
        <x:f>J1267*0.97</x:f>
        <x:v>0.0019399999999999999</x:v>
      </x:c>
      <x:c r="G1267" s="4" t="n">
        <x:v>0.012</x:v>
      </x:c>
      <x:c r="H1267" s="4" t="n">
        <x:v>93.02</x:v>
      </x:c>
      <x:c r="I1267" s="5" t="n">
        <x:f t="shared" si="19">F1267*1000*H1267</x:f>
        <x:v>180.4588</x:v>
      </x:c>
      <x:c r="J1267" t="n">
        <x:v>0.002</x:v>
      </x:c>
    </x:row>
    <x:row r="1268">
      <x:c r="A1268" s="3" t="n">
        <x:v>2023</x:v>
      </x:c>
      <x:c r="B1268" s="2" t="str">
        <x:v>Julio</x:v>
      </x:c>
      <x:c r="C1268" s="2" t="str">
        <x:v>RE-007401-1</x:v>
      </x:c>
      <x:c r="D1268" s="2" t="str">
        <x:v>JOSE MIGUEL MARTINEZ BARREIR0</x:v>
      </x:c>
      <x:c r="E1268" s="4" t="n">
        <x:v>0.002</x:v>
      </x:c>
      <x:c r="F1268" s="4" t="n">
        <x:f>J1268*1.04</x:f>
        <x:v>0.0020800000000000003</x:v>
      </x:c>
      <x:c r="G1268" s="4" t="n">
        <x:v>0.012</x:v>
      </x:c>
      <x:c r="H1268" s="4" t="n">
        <x:v>90.47</x:v>
      </x:c>
      <x:c r="I1268" s="5" t="n">
        <x:f t="shared" si="19">F1268*1000*H1268</x:f>
        <x:v>188.1776</x:v>
      </x:c>
      <x:c r="J1268" t="n">
        <x:v>0.002</x:v>
      </x:c>
    </x:row>
    <x:row r="1269">
      <x:c r="A1269" s="3" t="n">
        <x:v>2023</x:v>
      </x:c>
      <x:c r="B1269" s="2" t="str">
        <x:v>Agosto</x:v>
      </x:c>
      <x:c r="C1269" s="2" t="str">
        <x:v>RE-007401-1</x:v>
      </x:c>
      <x:c r="D1269" s="2" t="str">
        <x:v>JOSE MIGUEL MARTINEZ BARREIR0</x:v>
      </x:c>
      <x:c r="E1269" s="4" t="n">
        <x:v>0.002</x:v>
      </x:c>
      <x:c r="F1269" s="4" t="n">
        <x:f>J1269*1</x:f>
        <x:v>0.002</x:v>
      </x:c>
      <x:c r="G1269" s="4" t="n">
        <x:v>0.012</x:v>
      </x:c>
      <x:c r="H1269" s="4" t="n">
        <x:v>96.05</x:v>
      </x:c>
      <x:c r="I1269" s="5" t="n">
        <x:f t="shared" si="19">F1269*1000*H1269</x:f>
        <x:v>192.1</x:v>
      </x:c>
      <x:c r="J1269" t="n">
        <x:v>0.002</x:v>
      </x:c>
    </x:row>
    <x:row r="1270">
      <x:c r="A1270" s="3" t="n">
        <x:v>2023</x:v>
      </x:c>
      <x:c r="B1270" s="2" t="str">
        <x:v>Septiembre</x:v>
      </x:c>
      <x:c r="C1270" s="2" t="str">
        <x:v>RE-007401-1</x:v>
      </x:c>
      <x:c r="D1270" s="2" t="str">
        <x:v>JOSE MIGUEL MARTINEZ BARREIR0</x:v>
      </x:c>
      <x:c r="E1270" s="4" t="n">
        <x:v>0.002</x:v>
      </x:c>
      <x:c r="F1270" s="4" t="n">
        <x:f>J1270*0.96</x:f>
        <x:v>0.00192</x:v>
      </x:c>
      <x:c r="G1270" s="4" t="n">
        <x:v>0.012</x:v>
      </x:c>
      <x:c r="H1270" s="4" t="n">
        <x:v>103.34</x:v>
      </x:c>
      <x:c r="I1270" s="5" t="n">
        <x:f t="shared" si="19">F1270*1000*H1270</x:f>
        <x:v>198.41280000000003</x:v>
      </x:c>
      <x:c r="J1270" t="n">
        <x:v>0.002</x:v>
      </x:c>
    </x:row>
    <x:row r="1271">
      <x:c r="A1271" s="3" t="n">
        <x:v>2023</x:v>
      </x:c>
      <x:c r="B1271" s="2" t="str">
        <x:v>Octubre</x:v>
      </x:c>
      <x:c r="C1271" s="2" t="str">
        <x:v>RE-007401-1</x:v>
      </x:c>
      <x:c r="D1271" s="2" t="str">
        <x:v>JOSE MIGUEL MARTINEZ BARREIR0</x:v>
      </x:c>
      <x:c r="E1271" s="4" t="n">
        <x:v>0.003</x:v>
      </x:c>
      <x:c r="F1271" s="4" t="n">
        <x:f>J1271*1.03</x:f>
        <x:v>0.0030900000000000003</x:v>
      </x:c>
      <x:c r="G1271" s="4" t="n">
        <x:v>0.012</x:v>
      </x:c>
      <x:c r="H1271" s="4" t="n">
        <x:v>90.14</x:v>
      </x:c>
      <x:c r="I1271" s="5" t="n">
        <x:f t="shared" si="19">F1271*1000*H1271</x:f>
        <x:v>278.5326</x:v>
      </x:c>
      <x:c r="J1271" t="n">
        <x:v>0.003</x:v>
      </x:c>
    </x:row>
    <x:row r="1272">
      <x:c r="A1272" s="3" t="n">
        <x:v>2023</x:v>
      </x:c>
      <x:c r="B1272" s="2" t="str">
        <x:v>Noviembre</x:v>
      </x:c>
      <x:c r="C1272" s="2" t="str">
        <x:v>RE-007401-1</x:v>
      </x:c>
      <x:c r="D1272" s="2" t="str">
        <x:v>JOSE MIGUEL MARTINEZ BARREIR0</x:v>
      </x:c>
      <x:c r="E1272" s="4" t="n">
        <x:v>0.003</x:v>
      </x:c>
      <x:c r="F1272" s="4" t="n">
        <x:f>J1272*0.99</x:f>
        <x:v>0.00297</x:v>
      </x:c>
      <x:c r="G1272" s="4" t="n">
        <x:v>0.012</x:v>
      </x:c>
      <x:c r="H1272" s="4" t="n">
        <x:v>63.45</x:v>
      </x:c>
      <x:c r="I1272" s="5" t="n">
        <x:f t="shared" si="19">F1272*1000*H1272</x:f>
        <x:v>188.44650000000001</x:v>
      </x:c>
      <x:c r="J1272" t="n">
        <x:v>0.003</x:v>
      </x:c>
    </x:row>
    <x:row r="1273">
      <x:c r="A1273" s="3" t="n">
        <x:v>2023</x:v>
      </x:c>
      <x:c r="B1273" s="2" t="str">
        <x:v>Diciembre</x:v>
      </x:c>
      <x:c r="C1273" s="2" t="str">
        <x:v>RE-007401-1</x:v>
      </x:c>
      <x:c r="D1273" s="2" t="str">
        <x:v>JOSE MIGUEL MARTINEZ BARREIR0</x:v>
      </x:c>
      <x:c r="E1273" s="4" t="n">
        <x:v>0.004</x:v>
      </x:c>
      <x:c r="F1273" s="4" t="n">
        <x:f>J1273*0.95</x:f>
        <x:v>0.0038</x:v>
      </x:c>
      <x:c r="G1273" s="4" t="n">
        <x:v>0.012</x:v>
      </x:c>
      <x:c r="H1273" s="4" t="n">
        <x:v>72.17</x:v>
      </x:c>
      <x:c r="I1273" s="5" t="n">
        <x:f t="shared" si="19">F1273*1000*H1273</x:f>
        <x:v>274.246</x:v>
      </x:c>
      <x:c r="J1273" t="n">
        <x:v>0.004</x:v>
      </x:c>
    </x:row>
    <x:row r="1274">
      <x:c r="A1274" s="3" t="n">
        <x:v>2023</x:v>
      </x:c>
      <x:c r="B1274" s="2" t="str">
        <x:v>Enero</x:v>
      </x:c>
      <x:c r="C1274" s="2" t="str">
        <x:v>RE-009065-1</x:v>
      </x:c>
      <x:c r="D1274" s="2" t="str">
        <x:v>P.E. PONTE REBORDELO</x:v>
      </x:c>
      <x:c r="E1274" s="4" t="n">
        <x:v>9.613</x:v>
      </x:c>
      <x:c r="F1274" s="4" t="n">
        <x:f>J1274*1.02</x:f>
        <x:v>9.579839999999999</x:v>
      </x:c>
      <x:c r="G1274" s="4" t="n">
        <x:v>40.3</x:v>
      </x:c>
      <x:c r="H1274" s="4" t="n">
        <x:v>69.55</x:v>
      </x:c>
      <x:c r="I1274" s="5" t="n">
        <x:f t="shared" si="19">F1274*1000*H1274</x:f>
        <x:v>666277.8719999999</x:v>
      </x:c>
      <x:c r="J1274" t="n">
        <x:v>9.392</x:v>
      </x:c>
    </x:row>
    <x:row r="1275">
      <x:c r="A1275" s="3" t="n">
        <x:v>2023</x:v>
      </x:c>
      <x:c r="B1275" s="2" t="str">
        <x:v>Febrero</x:v>
      </x:c>
      <x:c r="C1275" s="2" t="str">
        <x:v>RE-009065-1</x:v>
      </x:c>
      <x:c r="D1275" s="2" t="str">
        <x:v>P.E. PONTE REBORDELO</x:v>
      </x:c>
      <x:c r="E1275" s="4" t="n">
        <x:v>9.207</x:v>
      </x:c>
      <x:c r="F1275" s="4" t="n">
        <x:f>J1275*0.98</x:f>
        <x:v>8.88174</x:v>
      </x:c>
      <x:c r="G1275" s="4" t="n">
        <x:v>40.3</x:v>
      </x:c>
      <x:c r="H1275" s="4" t="n">
        <x:v>133.47</x:v>
      </x:c>
      <x:c r="I1275" s="5" t="n">
        <x:f t="shared" si="19">F1275*1000*H1275</x:f>
        <x:v>1185445.8377999999</x:v>
      </x:c>
      <x:c r="J1275" t="n">
        <x:v>9.063</x:v>
      </x:c>
    </x:row>
    <x:row r="1276">
      <x:c r="A1276" s="3" t="n">
        <x:v>2023</x:v>
      </x:c>
      <x:c r="B1276" s="2" t="str">
        <x:v>Marzo</x:v>
      </x:c>
      <x:c r="C1276" s="2" t="str">
        <x:v>RE-009065-1</x:v>
      </x:c>
      <x:c r="D1276" s="2" t="str">
        <x:v>P.E. PONTE REBORDELO</x:v>
      </x:c>
      <x:c r="E1276" s="4" t="n">
        <x:v>8.444</x:v>
      </x:c>
      <x:c r="F1276" s="4" t="n">
        <x:f>J1276*0.94</x:f>
        <x:v>7.72116</x:v>
      </x:c>
      <x:c r="G1276" s="4" t="n">
        <x:v>40.3</x:v>
      </x:c>
      <x:c r="H1276" s="4" t="n">
        <x:v>89.61</x:v>
      </x:c>
      <x:c r="I1276" s="5" t="n">
        <x:f t="shared" si="19">F1276*1000*H1276</x:f>
        <x:v>691893.1476</x:v>
      </x:c>
      <x:c r="J1276" t="n">
        <x:v>8.214</x:v>
      </x:c>
    </x:row>
    <x:row r="1277">
      <x:c r="A1277" s="3" t="n">
        <x:v>2023</x:v>
      </x:c>
      <x:c r="B1277" s="2" t="str">
        <x:v>Abril</x:v>
      </x:c>
      <x:c r="C1277" s="2" t="str">
        <x:v>RE-009065-1</x:v>
      </x:c>
      <x:c r="D1277" s="2" t="str">
        <x:v>P.E. PONTE REBORDELO</x:v>
      </x:c>
      <x:c r="E1277" s="4" t="n">
        <x:v>7.571</x:v>
      </x:c>
      <x:c r="F1277" s="4" t="n">
        <x:f>J1277*1.01</x:f>
        <x:v>7.4942</x:v>
      </x:c>
      <x:c r="G1277" s="4" t="n">
        <x:v>40.3</x:v>
      </x:c>
      <x:c r="H1277" s="4" t="n">
        <x:v>73.73</x:v>
      </x:c>
      <x:c r="I1277" s="5" t="n">
        <x:f t="shared" si="19">F1277*1000*H1277</x:f>
        <x:v>552547.366</x:v>
      </x:c>
      <x:c r="J1277" t="n">
        <x:v>7.42</x:v>
      </x:c>
    </x:row>
    <x:row r="1278">
      <x:c r="A1278" s="3" t="n">
        <x:v>2023</x:v>
      </x:c>
      <x:c r="B1278" s="2" t="str">
        <x:v>Mayo</x:v>
      </x:c>
      <x:c r="C1278" s="2" t="str">
        <x:v>RE-009065-1</x:v>
      </x:c>
      <x:c r="D1278" s="2" t="str">
        <x:v>P.E. PONTE REBORDELO</x:v>
      </x:c>
      <x:c r="E1278" s="4" t="n">
        <x:v>6.657</x:v>
      </x:c>
      <x:c r="F1278" s="4" t="n">
        <x:f>J1278*0.97</x:f>
        <x:v>6.27978</x:v>
      </x:c>
      <x:c r="G1278" s="4" t="n">
        <x:v>40.3</x:v>
      </x:c>
      <x:c r="H1278" s="4" t="n">
        <x:v>74.21</x:v>
      </x:c>
      <x:c r="I1278" s="5" t="n">
        <x:f t="shared" si="19">F1278*1000*H1278</x:f>
        <x:v>466022.4737999999</x:v>
      </x:c>
      <x:c r="J1278" t="n">
        <x:v>6.474</x:v>
      </x:c>
    </x:row>
    <x:row r="1279">
      <x:c r="A1279" s="3" t="n">
        <x:v>2023</x:v>
      </x:c>
      <x:c r="B1279" s="2" t="str">
        <x:v>Junio</x:v>
      </x:c>
      <x:c r="C1279" s="2" t="str">
        <x:v>RE-009065-1</x:v>
      </x:c>
      <x:c r="D1279" s="2" t="str">
        <x:v>P.E. PONTE REBORDELO</x:v>
      </x:c>
      <x:c r="E1279" s="4" t="n">
        <x:v>5.768</x:v>
      </x:c>
      <x:c r="F1279" s="4" t="n">
        <x:f>J1279*1.04</x:f>
        <x:v>5.83856</x:v>
      </x:c>
      <x:c r="G1279" s="4" t="n">
        <x:v>40.3</x:v>
      </x:c>
      <x:c r="H1279" s="4" t="n">
        <x:v>93.02</x:v>
      </x:c>
      <x:c r="I1279" s="5" t="n">
        <x:f t="shared" si="19">F1279*1000*H1279</x:f>
        <x:v>543102.8512</x:v>
      </x:c>
      <x:c r="J1279" t="n">
        <x:v>5.614</x:v>
      </x:c>
    </x:row>
    <x:row r="1280">
      <x:c r="A1280" s="3" t="n">
        <x:v>2023</x:v>
      </x:c>
      <x:c r="B1280" s="2" t="str">
        <x:v>Julio</x:v>
      </x:c>
      <x:c r="C1280" s="2" t="str">
        <x:v>RE-009065-1</x:v>
      </x:c>
      <x:c r="D1280" s="2" t="str">
        <x:v>P.E. PONTE REBORDELO</x:v>
      </x:c>
      <x:c r="E1280" s="4" t="n">
        <x:v>5.77</x:v>
      </x:c>
      <x:c r="F1280" s="4" t="n">
        <x:f>J1280*1</x:f>
        <x:v>5.667</x:v>
      </x:c>
      <x:c r="G1280" s="4" t="n">
        <x:v>40.3</x:v>
      </x:c>
      <x:c r="H1280" s="4" t="n">
        <x:v>90.47</x:v>
      </x:c>
      <x:c r="I1280" s="5" t="n">
        <x:f t="shared" si="19">F1280*1000*H1280</x:f>
        <x:v>512693.49</x:v>
      </x:c>
      <x:c r="J1280" t="n">
        <x:v>5.667</x:v>
      </x:c>
    </x:row>
    <x:row r="1281">
      <x:c r="A1281" s="3" t="n">
        <x:v>2023</x:v>
      </x:c>
      <x:c r="B1281" s="2" t="str">
        <x:v>Agosto</x:v>
      </x:c>
      <x:c r="C1281" s="2" t="str">
        <x:v>RE-009065-1</x:v>
      </x:c>
      <x:c r="D1281" s="2" t="str">
        <x:v>P.E. PONTE REBORDELO</x:v>
      </x:c>
      <x:c r="E1281" s="4" t="n">
        <x:v>5.649</x:v>
      </x:c>
      <x:c r="F1281" s="4" t="n">
        <x:f>J1281*0.96</x:f>
        <x:v>5.26368</x:v>
      </x:c>
      <x:c r="G1281" s="4" t="n">
        <x:v>40.3</x:v>
      </x:c>
      <x:c r="H1281" s="4" t="n">
        <x:v>96.05</x:v>
      </x:c>
      <x:c r="I1281" s="5" t="n">
        <x:f t="shared" si="19">F1281*1000*H1281</x:f>
        <x:v>505576.46400000004</x:v>
      </x:c>
      <x:c r="J1281" t="n">
        <x:v>5.483</x:v>
      </x:c>
    </x:row>
    <x:row r="1282">
      <x:c r="A1282" s="3" t="n">
        <x:v>2023</x:v>
      </x:c>
      <x:c r="B1282" s="2" t="str">
        <x:v>Septiembre</x:v>
      </x:c>
      <x:c r="C1282" s="2" t="str">
        <x:v>RE-009065-1</x:v>
      </x:c>
      <x:c r="D1282" s="2" t="str">
        <x:v>P.E. PONTE REBORDELO</x:v>
      </x:c>
      <x:c r="E1282" s="4" t="n">
        <x:v>7.361</x:v>
      </x:c>
      <x:c r="F1282" s="4" t="n">
        <x:f>J1282*1.03</x:f>
        <x:v>7.43969</x:v>
      </x:c>
      <x:c r="G1282" s="4" t="n">
        <x:v>40.3</x:v>
      </x:c>
      <x:c r="H1282" s="4" t="n">
        <x:v>103.34</x:v>
      </x:c>
      <x:c r="I1282" s="5" t="n">
        <x:f t="shared" ref="I1282:I1345" si="20">F1282*1000*H1282</x:f>
        <x:v>768817.5646</x:v>
      </x:c>
      <x:c r="J1282" t="n">
        <x:v>7.223</x:v>
      </x:c>
    </x:row>
    <x:row r="1283">
      <x:c r="A1283" s="3" t="n">
        <x:v>2023</x:v>
      </x:c>
      <x:c r="B1283" s="2" t="str">
        <x:v>Octubre</x:v>
      </x:c>
      <x:c r="C1283" s="2" t="str">
        <x:v>RE-009065-1</x:v>
      </x:c>
      <x:c r="D1283" s="2" t="str">
        <x:v>P.E. PONTE REBORDELO</x:v>
      </x:c>
      <x:c r="E1283" s="4" t="n">
        <x:v>9.271</x:v>
      </x:c>
      <x:c r="F1283" s="4" t="n">
        <x:f>J1283*0.99</x:f>
        <x:v>8.958509999999999</x:v>
      </x:c>
      <x:c r="G1283" s="4" t="n">
        <x:v>40.3</x:v>
      </x:c>
      <x:c r="H1283" s="4" t="n">
        <x:v>90.14</x:v>
      </x:c>
      <x:c r="I1283" s="5" t="n">
        <x:f t="shared" si="20">F1283*1000*H1283</x:f>
        <x:v>807520.0913999999</x:v>
      </x:c>
      <x:c r="J1283" t="n">
        <x:v>9.049</x:v>
      </x:c>
    </x:row>
    <x:row r="1284">
      <x:c r="A1284" s="3" t="n">
        <x:v>2023</x:v>
      </x:c>
      <x:c r="B1284" s="2" t="str">
        <x:v>Noviembre</x:v>
      </x:c>
      <x:c r="C1284" s="2" t="str">
        <x:v>RE-009065-1</x:v>
      </x:c>
      <x:c r="D1284" s="2" t="str">
        <x:v>P.E. PONTE REBORDELO</x:v>
      </x:c>
      <x:c r="E1284" s="4" t="n">
        <x:v>10.492</x:v>
      </x:c>
      <x:c r="F1284" s="4" t="n">
        <x:f>J1284*0.95</x:f>
        <x:v>9.65865</x:v>
      </x:c>
      <x:c r="G1284" s="4" t="n">
        <x:v>40.3</x:v>
      </x:c>
      <x:c r="H1284" s="4" t="n">
        <x:v>63.45</x:v>
      </x:c>
      <x:c r="I1284" s="5" t="n">
        <x:f t="shared" si="20">F1284*1000*H1284</x:f>
        <x:v>612841.3425</x:v>
      </x:c>
      <x:c r="J1284" t="n">
        <x:v>10.167</x:v>
      </x:c>
    </x:row>
    <x:row r="1285">
      <x:c r="A1285" s="3" t="n">
        <x:v>2023</x:v>
      </x:c>
      <x:c r="B1285" s="2" t="str">
        <x:v>Diciembre</x:v>
      </x:c>
      <x:c r="C1285" s="2" t="str">
        <x:v>RE-009065-1</x:v>
      </x:c>
      <x:c r="D1285" s="2" t="str">
        <x:v>P.E. PONTE REBORDELO</x:v>
      </x:c>
      <x:c r="E1285" s="4" t="n">
        <x:v>10.577</x:v>
      </x:c>
      <x:c r="F1285" s="4" t="n">
        <x:f>J1285*1.02</x:f>
        <x:v>10.5876</x:v>
      </x:c>
      <x:c r="G1285" s="4" t="n">
        <x:v>40.3</x:v>
      </x:c>
      <x:c r="H1285" s="4" t="n">
        <x:v>72.17</x:v>
      </x:c>
      <x:c r="I1285" s="5" t="n">
        <x:f t="shared" si="20">F1285*1000*H1285</x:f>
        <x:v>764107.0920000001</x:v>
      </x:c>
      <x:c r="J1285" t="n">
        <x:v>10.38</x:v>
      </x:c>
    </x:row>
    <x:row r="1286">
      <x:c r="A1286" s="3" t="n">
        <x:v>2023</x:v>
      </x:c>
      <x:c r="B1286" s="2" t="str">
        <x:v>Enero</x:v>
      </x:c>
      <x:c r="C1286" s="2" t="str">
        <x:v>RE-009084-1</x:v>
      </x:c>
      <x:c r="D1286" s="2" t="str">
        <x:v>P.E. FONTEAVIA</x:v>
      </x:c>
      <x:c r="E1286" s="4" t="n">
        <x:v>13.587</x:v>
      </x:c>
      <x:c r="F1286" s="4" t="n">
        <x:f>J1286*0.98</x:f>
        <x:v>12.98598</x:v>
      </x:c>
      <x:c r="G1286" s="4" t="n">
        <x:v>49.4</x:v>
      </x:c>
      <x:c r="H1286" s="4" t="n">
        <x:v>69.55</x:v>
      </x:c>
      <x:c r="I1286" s="5" t="n">
        <x:f t="shared" si="20">F1286*1000*H1286</x:f>
        <x:v>903174.909</x:v>
      </x:c>
      <x:c r="J1286" t="n">
        <x:v>13.251</x:v>
      </x:c>
    </x:row>
    <x:row r="1287">
      <x:c r="A1287" s="3" t="n">
        <x:v>2023</x:v>
      </x:c>
      <x:c r="B1287" s="2" t="str">
        <x:v>Enero</x:v>
      </x:c>
      <x:c r="C1287" s="2" t="str">
        <x:v>RE-009084-2</x:v>
      </x:c>
      <x:c r="D1287" s="2" t="str">
        <x:v>P.E. FONTEAVIA</x:v>
      </x:c>
      <x:c r="E1287" s="4" t="n">
        <x:v>0</x:v>
      </x:c>
      <x:c r="F1287" s="4" t="n">
        <x:f>J1287*0.98</x:f>
        <x:v>0</x:v>
      </x:c>
      <x:c r="G1287" s="4" t="n">
        <x:v>0</x:v>
      </x:c>
      <x:c r="H1287" s="4" t="n">
        <x:v>69.55</x:v>
      </x:c>
      <x:c r="I1287" s="5" t="n">
        <x:f t="shared" si="20">F1287*1000*H1287</x:f>
        <x:v>0</x:v>
      </x:c>
      <x:c r="J1287" t="n">
        <x:v>0</x:v>
      </x:c>
    </x:row>
    <x:row r="1288">
      <x:c r="A1288" s="3" t="n">
        <x:v>2023</x:v>
      </x:c>
      <x:c r="B1288" s="2" t="str">
        <x:v>Enero</x:v>
      </x:c>
      <x:c r="C1288" s="2" t="str">
        <x:v>RE-009084-3</x:v>
      </x:c>
      <x:c r="D1288" s="2" t="str">
        <x:v>P.E. FONTEAVIA</x:v>
      </x:c>
      <x:c r="E1288" s="4" t="n">
        <x:v>0</x:v>
      </x:c>
      <x:c r="F1288" s="4" t="n">
        <x:f>J1288*0.98</x:f>
        <x:v>0</x:v>
      </x:c>
      <x:c r="G1288" s="4" t="n">
        <x:v>0</x:v>
      </x:c>
      <x:c r="H1288" s="4" t="n">
        <x:v>69.55</x:v>
      </x:c>
      <x:c r="I1288" s="5" t="n">
        <x:f t="shared" si="20">F1288*1000*H1288</x:f>
        <x:v>0</x:v>
      </x:c>
      <x:c r="J1288" t="n">
        <x:v>0</x:v>
      </x:c>
    </x:row>
    <x:row r="1289">
      <x:c r="A1289" s="3" t="n">
        <x:v>2023</x:v>
      </x:c>
      <x:c r="B1289" s="2" t="str">
        <x:v>Febrero</x:v>
      </x:c>
      <x:c r="C1289" s="2" t="str">
        <x:v>RE-009084-1</x:v>
      </x:c>
      <x:c r="D1289" s="2" t="str">
        <x:v>P.E. FONTEAVIA</x:v>
      </x:c>
      <x:c r="E1289" s="4" t="n">
        <x:v>13.545</x:v>
      </x:c>
      <x:c r="F1289" s="4" t="n">
        <x:f>J1289*0.94</x:f>
        <x:v>12.455</x:v>
      </x:c>
      <x:c r="G1289" s="4" t="n">
        <x:v>49.4</x:v>
      </x:c>
      <x:c r="H1289" s="4" t="n">
        <x:v>133.47</x:v>
      </x:c>
      <x:c r="I1289" s="5" t="n">
        <x:f t="shared" si="20">F1289*1000*H1289</x:f>
        <x:v>1662368.85</x:v>
      </x:c>
      <x:c r="J1289" t="n">
        <x:v>13.25</x:v>
      </x:c>
    </x:row>
    <x:row r="1290">
      <x:c r="A1290" s="3" t="n">
        <x:v>2023</x:v>
      </x:c>
      <x:c r="B1290" s="2" t="str">
        <x:v>Febrero</x:v>
      </x:c>
      <x:c r="C1290" s="2" t="str">
        <x:v>RE-009084-2</x:v>
      </x:c>
      <x:c r="D1290" s="2" t="str">
        <x:v>P.E. FONTEAVIA</x:v>
      </x:c>
      <x:c r="E1290" s="4" t="n">
        <x:v>0</x:v>
      </x:c>
      <x:c r="F1290" s="4" t="n">
        <x:f>J1290*0.94</x:f>
        <x:v>0</x:v>
      </x:c>
      <x:c r="G1290" s="4" t="n">
        <x:v>0</x:v>
      </x:c>
      <x:c r="H1290" s="4" t="n">
        <x:v>133.47</x:v>
      </x:c>
      <x:c r="I1290" s="5" t="n">
        <x:f t="shared" si="20">F1290*1000*H1290</x:f>
        <x:v>0</x:v>
      </x:c>
      <x:c r="J1290" t="n">
        <x:v>0</x:v>
      </x:c>
    </x:row>
    <x:row r="1291">
      <x:c r="A1291" s="3" t="n">
        <x:v>2023</x:v>
      </x:c>
      <x:c r="B1291" s="2" t="str">
        <x:v>Febrero</x:v>
      </x:c>
      <x:c r="C1291" s="2" t="str">
        <x:v>RE-009084-3</x:v>
      </x:c>
      <x:c r="D1291" s="2" t="str">
        <x:v>P.E. FONTEAVIA</x:v>
      </x:c>
      <x:c r="E1291" s="4" t="n">
        <x:v>0</x:v>
      </x:c>
      <x:c r="F1291" s="4" t="n">
        <x:f>J1291*0.94</x:f>
        <x:v>0</x:v>
      </x:c>
      <x:c r="G1291" s="4" t="n">
        <x:v>0</x:v>
      </x:c>
      <x:c r="H1291" s="4" t="n">
        <x:v>133.47</x:v>
      </x:c>
      <x:c r="I1291" s="5" t="n">
        <x:f t="shared" si="20">F1291*1000*H1291</x:f>
        <x:v>0</x:v>
      </x:c>
      <x:c r="J1291" t="n">
        <x:v>0</x:v>
      </x:c>
    </x:row>
    <x:row r="1292">
      <x:c r="A1292" s="3" t="n">
        <x:v>2023</x:v>
      </x:c>
      <x:c r="B1292" s="2" t="str">
        <x:v>Marzo</x:v>
      </x:c>
      <x:c r="C1292" s="2" t="str">
        <x:v>RE-009084-1</x:v>
      </x:c>
      <x:c r="D1292" s="2" t="str">
        <x:v>P.E. FONTEAVIA</x:v>
      </x:c>
      <x:c r="E1292" s="4" t="n">
        <x:v>13.354</x:v>
      </x:c>
      <x:c r="F1292" s="4" t="n">
        <x:f>J1292*1.01</x:f>
        <x:v>13.125960000000001</x:v>
      </x:c>
      <x:c r="G1292" s="4" t="n">
        <x:v>49.4</x:v>
      </x:c>
      <x:c r="H1292" s="4" t="n">
        <x:v>89.61</x:v>
      </x:c>
      <x:c r="I1292" s="5" t="n">
        <x:f t="shared" si="20">F1292*1000*H1292</x:f>
        <x:v>1176217.2756</x:v>
      </x:c>
      <x:c r="J1292" t="n">
        <x:v>12.996</x:v>
      </x:c>
    </x:row>
    <x:row r="1293">
      <x:c r="A1293" s="3" t="n">
        <x:v>2023</x:v>
      </x:c>
      <x:c r="B1293" s="2" t="str">
        <x:v>Marzo</x:v>
      </x:c>
      <x:c r="C1293" s="2" t="str">
        <x:v>RE-009084-2</x:v>
      </x:c>
      <x:c r="D1293" s="2" t="str">
        <x:v>P.E. FONTEAVIA</x:v>
      </x:c>
      <x:c r="E1293" s="4" t="n">
        <x:v>0</x:v>
      </x:c>
      <x:c r="F1293" s="4" t="n">
        <x:f>J1293*1.01</x:f>
        <x:v>0</x:v>
      </x:c>
      <x:c r="G1293" s="4" t="n">
        <x:v>0</x:v>
      </x:c>
      <x:c r="H1293" s="4" t="n">
        <x:v>89.61</x:v>
      </x:c>
      <x:c r="I1293" s="5" t="n">
        <x:f t="shared" si="20">F1293*1000*H1293</x:f>
        <x:v>0</x:v>
      </x:c>
      <x:c r="J1293" t="n">
        <x:v>0</x:v>
      </x:c>
    </x:row>
    <x:row r="1294">
      <x:c r="A1294" s="3" t="n">
        <x:v>2023</x:v>
      </x:c>
      <x:c r="B1294" s="2" t="str">
        <x:v>Marzo</x:v>
      </x:c>
      <x:c r="C1294" s="2" t="str">
        <x:v>RE-009084-3</x:v>
      </x:c>
      <x:c r="D1294" s="2" t="str">
        <x:v>P.E. FONTEAVIA</x:v>
      </x:c>
      <x:c r="E1294" s="4" t="n">
        <x:v>0</x:v>
      </x:c>
      <x:c r="F1294" s="4" t="n">
        <x:f>J1294*1.01</x:f>
        <x:v>0</x:v>
      </x:c>
      <x:c r="G1294" s="4" t="n">
        <x:v>0</x:v>
      </x:c>
      <x:c r="H1294" s="4" t="n">
        <x:v>89.61</x:v>
      </x:c>
      <x:c r="I1294" s="5" t="n">
        <x:f t="shared" si="20">F1294*1000*H1294</x:f>
        <x:v>0</x:v>
      </x:c>
      <x:c r="J1294" t="n">
        <x:v>0</x:v>
      </x:c>
    </x:row>
    <x:row r="1295">
      <x:c r="A1295" s="3" t="n">
        <x:v>2023</x:v>
      </x:c>
      <x:c r="B1295" s="2" t="str">
        <x:v>Abril</x:v>
      </x:c>
      <x:c r="C1295" s="2" t="str">
        <x:v>RE-009084-1</x:v>
      </x:c>
      <x:c r="D1295" s="2" t="str">
        <x:v>P.E. FONTEAVIA</x:v>
      </x:c>
      <x:c r="E1295" s="4" t="n">
        <x:v>9.052</x:v>
      </x:c>
      <x:c r="F1295" s="4" t="n">
        <x:f>J1295*0.97</x:f>
        <x:v>8.6039</x:v>
      </x:c>
      <x:c r="G1295" s="4" t="n">
        <x:v>49.4</x:v>
      </x:c>
      <x:c r="H1295" s="4" t="n">
        <x:v>73.73</x:v>
      </x:c>
      <x:c r="I1295" s="5" t="n">
        <x:f t="shared" si="20">F1295*1000*H1295</x:f>
        <x:v>634365.547</x:v>
      </x:c>
      <x:c r="J1295" t="n">
        <x:v>8.87</x:v>
      </x:c>
    </x:row>
    <x:row r="1296">
      <x:c r="A1296" s="3" t="n">
        <x:v>2023</x:v>
      </x:c>
      <x:c r="B1296" s="2" t="str">
        <x:v>Abril</x:v>
      </x:c>
      <x:c r="C1296" s="2" t="str">
        <x:v>RE-009084-2</x:v>
      </x:c>
      <x:c r="D1296" s="2" t="str">
        <x:v>P.E. FONTEAVIA</x:v>
      </x:c>
      <x:c r="E1296" s="4" t="n">
        <x:v>0</x:v>
      </x:c>
      <x:c r="F1296" s="4" t="n">
        <x:f>J1296*0.97</x:f>
        <x:v>0</x:v>
      </x:c>
      <x:c r="G1296" s="4" t="n">
        <x:v>0</x:v>
      </x:c>
      <x:c r="H1296" s="4" t="n">
        <x:v>73.73</x:v>
      </x:c>
      <x:c r="I1296" s="5" t="n">
        <x:f t="shared" si="20">F1296*1000*H1296</x:f>
        <x:v>0</x:v>
      </x:c>
      <x:c r="J1296" t="n">
        <x:v>0</x:v>
      </x:c>
    </x:row>
    <x:row r="1297">
      <x:c r="A1297" s="3" t="n">
        <x:v>2023</x:v>
      </x:c>
      <x:c r="B1297" s="2" t="str">
        <x:v>Abril</x:v>
      </x:c>
      <x:c r="C1297" s="2" t="str">
        <x:v>RE-009084-3</x:v>
      </x:c>
      <x:c r="D1297" s="2" t="str">
        <x:v>P.E. FONTEAVIA</x:v>
      </x:c>
      <x:c r="E1297" s="4" t="n">
        <x:v>0</x:v>
      </x:c>
      <x:c r="F1297" s="4" t="n">
        <x:f>J1297*0.97</x:f>
        <x:v>0</x:v>
      </x:c>
      <x:c r="G1297" s="4" t="n">
        <x:v>0</x:v>
      </x:c>
      <x:c r="H1297" s="4" t="n">
        <x:v>73.73</x:v>
      </x:c>
      <x:c r="I1297" s="5" t="n">
        <x:f t="shared" si="20">F1297*1000*H1297</x:f>
        <x:v>0</x:v>
      </x:c>
      <x:c r="J1297" t="n">
        <x:v>0</x:v>
      </x:c>
    </x:row>
    <x:row r="1298">
      <x:c r="A1298" s="3" t="n">
        <x:v>2023</x:v>
      </x:c>
      <x:c r="B1298" s="2" t="str">
        <x:v>Mayo</x:v>
      </x:c>
      <x:c r="C1298" s="2" t="str">
        <x:v>RE-009084-1</x:v>
      </x:c>
      <x:c r="D1298" s="2" t="str">
        <x:v>P.E. FONTEAVIA</x:v>
      </x:c>
      <x:c r="E1298" s="4" t="n">
        <x:v>10.58</x:v>
      </x:c>
      <x:c r="F1298" s="4" t="n">
        <x:f>J1298*1.04</x:f>
        <x:v>10.82224</x:v>
      </x:c>
      <x:c r="G1298" s="4" t="n">
        <x:v>49.4</x:v>
      </x:c>
      <x:c r="H1298" s="4" t="n">
        <x:v>74.21</x:v>
      </x:c>
      <x:c r="I1298" s="5" t="n">
        <x:f t="shared" si="20">F1298*1000*H1298</x:f>
        <x:v>803118.4304000001</x:v>
      </x:c>
      <x:c r="J1298" t="n">
        <x:v>10.406</x:v>
      </x:c>
    </x:row>
    <x:row r="1299">
      <x:c r="A1299" s="3" t="n">
        <x:v>2023</x:v>
      </x:c>
      <x:c r="B1299" s="2" t="str">
        <x:v>Mayo</x:v>
      </x:c>
      <x:c r="C1299" s="2" t="str">
        <x:v>RE-009084-2</x:v>
      </x:c>
      <x:c r="D1299" s="2" t="str">
        <x:v>P.E. FONTEAVIA</x:v>
      </x:c>
      <x:c r="E1299" s="4" t="n">
        <x:v>0</x:v>
      </x:c>
      <x:c r="F1299" s="4" t="n">
        <x:f>J1299*1.04</x:f>
        <x:v>0</x:v>
      </x:c>
      <x:c r="G1299" s="4" t="n">
        <x:v>0</x:v>
      </x:c>
      <x:c r="H1299" s="4" t="n">
        <x:v>74.21</x:v>
      </x:c>
      <x:c r="I1299" s="5" t="n">
        <x:f t="shared" si="20">F1299*1000*H1299</x:f>
        <x:v>0</x:v>
      </x:c>
      <x:c r="J1299" t="n">
        <x:v>0</x:v>
      </x:c>
    </x:row>
    <x:row r="1300">
      <x:c r="A1300" s="3" t="n">
        <x:v>2023</x:v>
      </x:c>
      <x:c r="B1300" s="2" t="str">
        <x:v>Mayo</x:v>
      </x:c>
      <x:c r="C1300" s="2" t="str">
        <x:v>RE-009084-3</x:v>
      </x:c>
      <x:c r="D1300" s="2" t="str">
        <x:v>P.E. FONTEAVIA</x:v>
      </x:c>
      <x:c r="E1300" s="4" t="n">
        <x:v>0</x:v>
      </x:c>
      <x:c r="F1300" s="4" t="n">
        <x:f>J1300*1.04</x:f>
        <x:v>0</x:v>
      </x:c>
      <x:c r="G1300" s="4" t="n">
        <x:v>0</x:v>
      </x:c>
      <x:c r="H1300" s="4" t="n">
        <x:v>74.21</x:v>
      </x:c>
      <x:c r="I1300" s="5" t="n">
        <x:f t="shared" si="20">F1300*1000*H1300</x:f>
        <x:v>0</x:v>
      </x:c>
      <x:c r="J1300" t="n">
        <x:v>0</x:v>
      </x:c>
    </x:row>
    <x:row r="1301">
      <x:c r="A1301" s="3" t="n">
        <x:v>2023</x:v>
      </x:c>
      <x:c r="B1301" s="2" t="str">
        <x:v>Junio</x:v>
      </x:c>
      <x:c r="C1301" s="2" t="str">
        <x:v>RE-009084-1</x:v>
      </x:c>
      <x:c r="D1301" s="2" t="str">
        <x:v>P.E. FONTEAVIA</x:v>
      </x:c>
      <x:c r="E1301" s="4" t="n">
        <x:v>7.824</x:v>
      </x:c>
      <x:c r="F1301" s="4" t="n">
        <x:f>J1301*1</x:f>
        <x:v>7.628</x:v>
      </x:c>
      <x:c r="G1301" s="4" t="n">
        <x:v>49.4</x:v>
      </x:c>
      <x:c r="H1301" s="4" t="n">
        <x:v>93.02</x:v>
      </x:c>
      <x:c r="I1301" s="5" t="n">
        <x:f t="shared" si="20">F1301*1000*H1301</x:f>
        <x:v>709556.5599999999</x:v>
      </x:c>
      <x:c r="J1301" t="n">
        <x:v>7.628</x:v>
      </x:c>
    </x:row>
    <x:row r="1302">
      <x:c r="A1302" s="3" t="n">
        <x:v>2023</x:v>
      </x:c>
      <x:c r="B1302" s="2" t="str">
        <x:v>Junio</x:v>
      </x:c>
      <x:c r="C1302" s="2" t="str">
        <x:v>RE-009084-2</x:v>
      </x:c>
      <x:c r="D1302" s="2" t="str">
        <x:v>P.E. FONTEAVIA</x:v>
      </x:c>
      <x:c r="E1302" s="4" t="n">
        <x:v>0</x:v>
      </x:c>
      <x:c r="F1302" s="4" t="n">
        <x:f>J1302*1</x:f>
        <x:v>0</x:v>
      </x:c>
      <x:c r="G1302" s="4" t="n">
        <x:v>0</x:v>
      </x:c>
      <x:c r="H1302" s="4" t="n">
        <x:v>93.02</x:v>
      </x:c>
      <x:c r="I1302" s="5" t="n">
        <x:f t="shared" si="20">F1302*1000*H1302</x:f>
        <x:v>0</x:v>
      </x:c>
      <x:c r="J1302" t="n">
        <x:v>0</x:v>
      </x:c>
    </x:row>
    <x:row r="1303">
      <x:c r="A1303" s="3" t="n">
        <x:v>2023</x:v>
      </x:c>
      <x:c r="B1303" s="2" t="str">
        <x:v>Junio</x:v>
      </x:c>
      <x:c r="C1303" s="2" t="str">
        <x:v>RE-009084-3</x:v>
      </x:c>
      <x:c r="D1303" s="2" t="str">
        <x:v>P.E. FONTEAVIA</x:v>
      </x:c>
      <x:c r="E1303" s="4" t="n">
        <x:v>0</x:v>
      </x:c>
      <x:c r="F1303" s="4" t="n">
        <x:f>J1303*1</x:f>
        <x:v>0</x:v>
      </x:c>
      <x:c r="G1303" s="4" t="n">
        <x:v>0</x:v>
      </x:c>
      <x:c r="H1303" s="4" t="n">
        <x:v>93.02</x:v>
      </x:c>
      <x:c r="I1303" s="5" t="n">
        <x:f t="shared" si="20">F1303*1000*H1303</x:f>
        <x:v>0</x:v>
      </x:c>
      <x:c r="J1303" t="n">
        <x:v>0</x:v>
      </x:c>
    </x:row>
    <x:row r="1304">
      <x:c r="A1304" s="3" t="n">
        <x:v>2023</x:v>
      </x:c>
      <x:c r="B1304" s="2" t="str">
        <x:v>Julio</x:v>
      </x:c>
      <x:c r="C1304" s="2" t="str">
        <x:v>RE-009084-1</x:v>
      </x:c>
      <x:c r="D1304" s="2" t="str">
        <x:v>P.E. FONTEAVIA</x:v>
      </x:c>
      <x:c r="E1304" s="4" t="n">
        <x:v>7.339</x:v>
      </x:c>
      <x:c r="F1304" s="4" t="n">
        <x:f>J1304*0.96</x:f>
        <x:v>6.8476799999999995</x:v>
      </x:c>
      <x:c r="G1304" s="4" t="n">
        <x:v>49.4</x:v>
      </x:c>
      <x:c r="H1304" s="4" t="n">
        <x:v>90.47</x:v>
      </x:c>
      <x:c r="I1304" s="5" t="n">
        <x:f t="shared" si="20">F1304*1000*H1304</x:f>
        <x:v>619509.6096</x:v>
      </x:c>
      <x:c r="J1304" t="n">
        <x:v>7.133</x:v>
      </x:c>
    </x:row>
    <x:row r="1305">
      <x:c r="A1305" s="3" t="n">
        <x:v>2023</x:v>
      </x:c>
      <x:c r="B1305" s="2" t="str">
        <x:v>Julio</x:v>
      </x:c>
      <x:c r="C1305" s="2" t="str">
        <x:v>RE-009084-2</x:v>
      </x:c>
      <x:c r="D1305" s="2" t="str">
        <x:v>P.E. FONTEAVIA</x:v>
      </x:c>
      <x:c r="E1305" s="4" t="n">
        <x:v>0</x:v>
      </x:c>
      <x:c r="F1305" s="4" t="n">
        <x:f>J1305*0.96</x:f>
        <x:v>0</x:v>
      </x:c>
      <x:c r="G1305" s="4" t="n">
        <x:v>0</x:v>
      </x:c>
      <x:c r="H1305" s="4" t="n">
        <x:v>90.47</x:v>
      </x:c>
      <x:c r="I1305" s="5" t="n">
        <x:f t="shared" si="20">F1305*1000*H1305</x:f>
        <x:v>0</x:v>
      </x:c>
      <x:c r="J1305" t="n">
        <x:v>0</x:v>
      </x:c>
    </x:row>
    <x:row r="1306">
      <x:c r="A1306" s="3" t="n">
        <x:v>2023</x:v>
      </x:c>
      <x:c r="B1306" s="2" t="str">
        <x:v>Julio</x:v>
      </x:c>
      <x:c r="C1306" s="2" t="str">
        <x:v>RE-009084-3</x:v>
      </x:c>
      <x:c r="D1306" s="2" t="str">
        <x:v>P.E. FONTEAVIA</x:v>
      </x:c>
      <x:c r="E1306" s="4" t="n">
        <x:v>0</x:v>
      </x:c>
      <x:c r="F1306" s="4" t="n">
        <x:f>J1306*0.96</x:f>
        <x:v>0</x:v>
      </x:c>
      <x:c r="G1306" s="4" t="n">
        <x:v>0</x:v>
      </x:c>
      <x:c r="H1306" s="4" t="n">
        <x:v>90.47</x:v>
      </x:c>
      <x:c r="I1306" s="5" t="n">
        <x:f t="shared" si="20">F1306*1000*H1306</x:f>
        <x:v>0</x:v>
      </x:c>
      <x:c r="J1306" t="n">
        <x:v>0</x:v>
      </x:c>
    </x:row>
    <x:row r="1307">
      <x:c r="A1307" s="3" t="n">
        <x:v>2023</x:v>
      </x:c>
      <x:c r="B1307" s="2" t="str">
        <x:v>Agosto</x:v>
      </x:c>
      <x:c r="C1307" s="2" t="str">
        <x:v>RE-009084-1</x:v>
      </x:c>
      <x:c r="D1307" s="2" t="str">
        <x:v>P.E. FONTEAVIA</x:v>
      </x:c>
      <x:c r="E1307" s="4" t="n">
        <x:v>7.703</x:v>
      </x:c>
      <x:c r="F1307" s="4" t="n">
        <x:f>J1307*1.03</x:f>
        <x:v>7.77547</x:v>
      </x:c>
      <x:c r="G1307" s="4" t="n">
        <x:v>49.4</x:v>
      </x:c>
      <x:c r="H1307" s="4" t="n">
        <x:v>96.05</x:v>
      </x:c>
      <x:c r="I1307" s="5" t="n">
        <x:f t="shared" si="20">F1307*1000*H1307</x:f>
        <x:v>746833.8935</x:v>
      </x:c>
      <x:c r="J1307" t="n">
        <x:v>7.549</x:v>
      </x:c>
    </x:row>
    <x:row r="1308">
      <x:c r="A1308" s="3" t="n">
        <x:v>2023</x:v>
      </x:c>
      <x:c r="B1308" s="2" t="str">
        <x:v>Agosto</x:v>
      </x:c>
      <x:c r="C1308" s="2" t="str">
        <x:v>RE-009084-2</x:v>
      </x:c>
      <x:c r="D1308" s="2" t="str">
        <x:v>P.E. FONTEAVIA</x:v>
      </x:c>
      <x:c r="E1308" s="4" t="n">
        <x:v>0</x:v>
      </x:c>
      <x:c r="F1308" s="4" t="n">
        <x:f>J1308*1.03</x:f>
        <x:v>0</x:v>
      </x:c>
      <x:c r="G1308" s="4" t="n">
        <x:v>0</x:v>
      </x:c>
      <x:c r="H1308" s="4" t="n">
        <x:v>96.05</x:v>
      </x:c>
      <x:c r="I1308" s="5" t="n">
        <x:f t="shared" si="20">F1308*1000*H1308</x:f>
        <x:v>0</x:v>
      </x:c>
      <x:c r="J1308" t="n">
        <x:v>0</x:v>
      </x:c>
    </x:row>
    <x:row r="1309">
      <x:c r="A1309" s="3" t="n">
        <x:v>2023</x:v>
      </x:c>
      <x:c r="B1309" s="2" t="str">
        <x:v>Agosto</x:v>
      </x:c>
      <x:c r="C1309" s="2" t="str">
        <x:v>RE-009084-3</x:v>
      </x:c>
      <x:c r="D1309" s="2" t="str">
        <x:v>P.E. FONTEAVIA</x:v>
      </x:c>
      <x:c r="E1309" s="4" t="n">
        <x:v>0</x:v>
      </x:c>
      <x:c r="F1309" s="4" t="n">
        <x:f>J1309*1.03</x:f>
        <x:v>0</x:v>
      </x:c>
      <x:c r="G1309" s="4" t="n">
        <x:v>0</x:v>
      </x:c>
      <x:c r="H1309" s="4" t="n">
        <x:v>96.05</x:v>
      </x:c>
      <x:c r="I1309" s="5" t="n">
        <x:f t="shared" si="20">F1309*1000*H1309</x:f>
        <x:v>0</x:v>
      </x:c>
      <x:c r="J1309" t="n">
        <x:v>0</x:v>
      </x:c>
    </x:row>
    <x:row r="1310">
      <x:c r="A1310" s="3" t="n">
        <x:v>2023</x:v>
      </x:c>
      <x:c r="B1310" s="2" t="str">
        <x:v>Septiembre</x:v>
      </x:c>
      <x:c r="C1310" s="2" t="str">
        <x:v>RE-009084-1</x:v>
      </x:c>
      <x:c r="D1310" s="2" t="str">
        <x:v>P.E. FONTEAVIA</x:v>
      </x:c>
      <x:c r="E1310" s="4" t="n">
        <x:v>10.029</x:v>
      </x:c>
      <x:c r="F1310" s="4" t="n">
        <x:f>J1310*0.99</x:f>
        <x:v>9.63963</x:v>
      </x:c>
      <x:c r="G1310" s="4" t="n">
        <x:v>49.4</x:v>
      </x:c>
      <x:c r="H1310" s="4" t="n">
        <x:v>103.34</x:v>
      </x:c>
      <x:c r="I1310" s="5" t="n">
        <x:f t="shared" si="20">F1310*1000*H1310</x:f>
        <x:v>996159.3642000002</x:v>
      </x:c>
      <x:c r="J1310" t="n">
        <x:v>9.737</x:v>
      </x:c>
    </x:row>
    <x:row r="1311">
      <x:c r="A1311" s="3" t="n">
        <x:v>2023</x:v>
      </x:c>
      <x:c r="B1311" s="2" t="str">
        <x:v>Septiembre</x:v>
      </x:c>
      <x:c r="C1311" s="2" t="str">
        <x:v>RE-009084-2</x:v>
      </x:c>
      <x:c r="D1311" s="2" t="str">
        <x:v>P.E. FONTEAVIA</x:v>
      </x:c>
      <x:c r="E1311" s="4" t="n">
        <x:v>0</x:v>
      </x:c>
      <x:c r="F1311" s="4" t="n">
        <x:f>J1311*0.99</x:f>
        <x:v>0</x:v>
      </x:c>
      <x:c r="G1311" s="4" t="n">
        <x:v>0</x:v>
      </x:c>
      <x:c r="H1311" s="4" t="n">
        <x:v>103.34</x:v>
      </x:c>
      <x:c r="I1311" s="5" t="n">
        <x:f t="shared" si="20">F1311*1000*H1311</x:f>
        <x:v>0</x:v>
      </x:c>
      <x:c r="J1311" t="n">
        <x:v>0</x:v>
      </x:c>
    </x:row>
    <x:row r="1312">
      <x:c r="A1312" s="3" t="n">
        <x:v>2023</x:v>
      </x:c>
      <x:c r="B1312" s="2" t="str">
        <x:v>Septiembre</x:v>
      </x:c>
      <x:c r="C1312" s="2" t="str">
        <x:v>RE-009084-3</x:v>
      </x:c>
      <x:c r="D1312" s="2" t="str">
        <x:v>P.E. FONTEAVIA</x:v>
      </x:c>
      <x:c r="E1312" s="4" t="n">
        <x:v>0</x:v>
      </x:c>
      <x:c r="F1312" s="4" t="n">
        <x:f>J1312*0.99</x:f>
        <x:v>0</x:v>
      </x:c>
      <x:c r="G1312" s="4" t="n">
        <x:v>0</x:v>
      </x:c>
      <x:c r="H1312" s="4" t="n">
        <x:v>103.34</x:v>
      </x:c>
      <x:c r="I1312" s="5" t="n">
        <x:f t="shared" si="20">F1312*1000*H1312</x:f>
        <x:v>0</x:v>
      </x:c>
      <x:c r="J1312" t="n">
        <x:v>0</x:v>
      </x:c>
    </x:row>
    <x:row r="1313">
      <x:c r="A1313" s="3" t="n">
        <x:v>2023</x:v>
      </x:c>
      <x:c r="B1313" s="2" t="str">
        <x:v>Octubre</x:v>
      </x:c>
      <x:c r="C1313" s="2" t="str">
        <x:v>RE-009084-1</x:v>
      </x:c>
      <x:c r="D1313" s="2" t="str">
        <x:v>P.E. FONTEAVIA</x:v>
      </x:c>
      <x:c r="E1313" s="4" t="n">
        <x:v>11.575</x:v>
      </x:c>
      <x:c r="F1313" s="4" t="n">
        <x:f>J1313*0.95</x:f>
        <x:v>10.80055</x:v>
      </x:c>
      <x:c r="G1313" s="4" t="n">
        <x:v>49.4</x:v>
      </x:c>
      <x:c r="H1313" s="4" t="n">
        <x:v>90.14</x:v>
      </x:c>
      <x:c r="I1313" s="5" t="n">
        <x:f t="shared" si="20">F1313*1000*H1313</x:f>
        <x:v>973561.5769999999</x:v>
      </x:c>
      <x:c r="J1313" t="n">
        <x:v>11.369</x:v>
      </x:c>
    </x:row>
    <x:row r="1314">
      <x:c r="A1314" s="3" t="n">
        <x:v>2023</x:v>
      </x:c>
      <x:c r="B1314" s="2" t="str">
        <x:v>Octubre</x:v>
      </x:c>
      <x:c r="C1314" s="2" t="str">
        <x:v>RE-009084-2</x:v>
      </x:c>
      <x:c r="D1314" s="2" t="str">
        <x:v>P.E. FONTEAVIA</x:v>
      </x:c>
      <x:c r="E1314" s="4" t="n">
        <x:v>0</x:v>
      </x:c>
      <x:c r="F1314" s="4" t="n">
        <x:f>J1314*0.95</x:f>
        <x:v>0</x:v>
      </x:c>
      <x:c r="G1314" s="4" t="n">
        <x:v>0</x:v>
      </x:c>
      <x:c r="H1314" s="4" t="n">
        <x:v>90.14</x:v>
      </x:c>
      <x:c r="I1314" s="5" t="n">
        <x:f t="shared" si="20">F1314*1000*H1314</x:f>
        <x:v>0</x:v>
      </x:c>
      <x:c r="J1314" t="n">
        <x:v>0</x:v>
      </x:c>
    </x:row>
    <x:row r="1315">
      <x:c r="A1315" s="3" t="n">
        <x:v>2023</x:v>
      </x:c>
      <x:c r="B1315" s="2" t="str">
        <x:v>Octubre</x:v>
      </x:c>
      <x:c r="C1315" s="2" t="str">
        <x:v>RE-009084-3</x:v>
      </x:c>
      <x:c r="D1315" s="2" t="str">
        <x:v>P.E. FONTEAVIA</x:v>
      </x:c>
      <x:c r="E1315" s="4" t="n">
        <x:v>0</x:v>
      </x:c>
      <x:c r="F1315" s="4" t="n">
        <x:f>J1315*0.95</x:f>
        <x:v>0</x:v>
      </x:c>
      <x:c r="G1315" s="4" t="n">
        <x:v>0</x:v>
      </x:c>
      <x:c r="H1315" s="4" t="n">
        <x:v>90.14</x:v>
      </x:c>
      <x:c r="I1315" s="5" t="n">
        <x:f t="shared" si="20">F1315*1000*H1315</x:f>
        <x:v>0</x:v>
      </x:c>
      <x:c r="J1315" t="n">
        <x:v>0</x:v>
      </x:c>
    </x:row>
    <x:row r="1316">
      <x:c r="A1316" s="3" t="n">
        <x:v>2023</x:v>
      </x:c>
      <x:c r="B1316" s="2" t="str">
        <x:v>Noviembre</x:v>
      </x:c>
      <x:c r="C1316" s="2" t="str">
        <x:v>RE-009084-1</x:v>
      </x:c>
      <x:c r="D1316" s="2" t="str">
        <x:v>P.E. FONTEAVIA</x:v>
      </x:c>
      <x:c r="E1316" s="4" t="n">
        <x:v>14.292</x:v>
      </x:c>
      <x:c r="F1316" s="4" t="n">
        <x:f>J1316*1.02</x:f>
        <x:v>14.2596</x:v>
      </x:c>
      <x:c r="G1316" s="4" t="n">
        <x:v>49.4</x:v>
      </x:c>
      <x:c r="H1316" s="4" t="n">
        <x:v>63.45</x:v>
      </x:c>
      <x:c r="I1316" s="5" t="n">
        <x:f t="shared" si="20">F1316*1000*H1316</x:f>
        <x:v>904771.6200000001</x:v>
      </x:c>
      <x:c r="J1316" t="n">
        <x:v>13.98</x:v>
      </x:c>
    </x:row>
    <x:row r="1317">
      <x:c r="A1317" s="3" t="n">
        <x:v>2023</x:v>
      </x:c>
      <x:c r="B1317" s="2" t="str">
        <x:v>Noviembre</x:v>
      </x:c>
      <x:c r="C1317" s="2" t="str">
        <x:v>RE-009084-2</x:v>
      </x:c>
      <x:c r="D1317" s="2" t="str">
        <x:v>P.E. FONTEAVIA</x:v>
      </x:c>
      <x:c r="E1317" s="4" t="n">
        <x:v>0</x:v>
      </x:c>
      <x:c r="F1317" s="4" t="n">
        <x:f>J1317*1.02</x:f>
        <x:v>0</x:v>
      </x:c>
      <x:c r="G1317" s="4" t="n">
        <x:v>0</x:v>
      </x:c>
      <x:c r="H1317" s="4" t="n">
        <x:v>63.45</x:v>
      </x:c>
      <x:c r="I1317" s="5" t="n">
        <x:f t="shared" si="20">F1317*1000*H1317</x:f>
        <x:v>0</x:v>
      </x:c>
      <x:c r="J1317" t="n">
        <x:v>0</x:v>
      </x:c>
    </x:row>
    <x:row r="1318">
      <x:c r="A1318" s="3" t="n">
        <x:v>2023</x:v>
      </x:c>
      <x:c r="B1318" s="2" t="str">
        <x:v>Noviembre</x:v>
      </x:c>
      <x:c r="C1318" s="2" t="str">
        <x:v>RE-009084-3</x:v>
      </x:c>
      <x:c r="D1318" s="2" t="str">
        <x:v>P.E. FONTEAVIA</x:v>
      </x:c>
      <x:c r="E1318" s="4" t="n">
        <x:v>0</x:v>
      </x:c>
      <x:c r="F1318" s="4" t="n">
        <x:f>J1318*1.02</x:f>
        <x:v>0</x:v>
      </x:c>
      <x:c r="G1318" s="4" t="n">
        <x:v>0</x:v>
      </x:c>
      <x:c r="H1318" s="4" t="n">
        <x:v>63.45</x:v>
      </x:c>
      <x:c r="I1318" s="5" t="n">
        <x:f t="shared" si="20">F1318*1000*H1318</x:f>
        <x:v>0</x:v>
      </x:c>
      <x:c r="J1318" t="n">
        <x:v>0</x:v>
      </x:c>
    </x:row>
    <x:row r="1319">
      <x:c r="A1319" s="3" t="n">
        <x:v>2023</x:v>
      </x:c>
      <x:c r="B1319" s="2" t="str">
        <x:v>Diciembre</x:v>
      </x:c>
      <x:c r="C1319" s="2" t="str">
        <x:v>RE-009084-1</x:v>
      </x:c>
      <x:c r="D1319" s="2" t="str">
        <x:v>P.E. FONTEAVIA</x:v>
      </x:c>
      <x:c r="E1319" s="4" t="n">
        <x:v>13.658</x:v>
      </x:c>
      <x:c r="F1319" s="4" t="n">
        <x:f>J1319*0.98</x:f>
        <x:v>13.033019999999999</x:v>
      </x:c>
      <x:c r="G1319" s="4" t="n">
        <x:v>49.4</x:v>
      </x:c>
      <x:c r="H1319" s="4" t="n">
        <x:v>72.17</x:v>
      </x:c>
      <x:c r="I1319" s="5" t="n">
        <x:f t="shared" si="20">F1319*1000*H1319</x:f>
        <x:v>940593.0534</x:v>
      </x:c>
      <x:c r="J1319" t="n">
        <x:v>13.299</x:v>
      </x:c>
    </x:row>
    <x:row r="1320">
      <x:c r="A1320" s="3" t="n">
        <x:v>2023</x:v>
      </x:c>
      <x:c r="B1320" s="2" t="str">
        <x:v>Diciembre</x:v>
      </x:c>
      <x:c r="C1320" s="2" t="str">
        <x:v>RE-009084-2</x:v>
      </x:c>
      <x:c r="D1320" s="2" t="str">
        <x:v>P.E. FONTEAVIA</x:v>
      </x:c>
      <x:c r="E1320" s="4" t="n">
        <x:v>0</x:v>
      </x:c>
      <x:c r="F1320" s="4" t="n">
        <x:f>J1320*0.98</x:f>
        <x:v>0</x:v>
      </x:c>
      <x:c r="G1320" s="4" t="n">
        <x:v>0</x:v>
      </x:c>
      <x:c r="H1320" s="4" t="n">
        <x:v>72.17</x:v>
      </x:c>
      <x:c r="I1320" s="5" t="n">
        <x:f t="shared" si="20">F1320*1000*H1320</x:f>
        <x:v>0</x:v>
      </x:c>
      <x:c r="J1320" t="n">
        <x:v>0</x:v>
      </x:c>
    </x:row>
    <x:row r="1321">
      <x:c r="A1321" s="3" t="n">
        <x:v>2023</x:v>
      </x:c>
      <x:c r="B1321" s="2" t="str">
        <x:v>Diciembre</x:v>
      </x:c>
      <x:c r="C1321" s="2" t="str">
        <x:v>RE-009084-3</x:v>
      </x:c>
      <x:c r="D1321" s="2" t="str">
        <x:v>P.E. FONTEAVIA</x:v>
      </x:c>
      <x:c r="E1321" s="4" t="n">
        <x:v>0</x:v>
      </x:c>
      <x:c r="F1321" s="4" t="n">
        <x:f>J1321*0.98</x:f>
        <x:v>0</x:v>
      </x:c>
      <x:c r="G1321" s="4" t="n">
        <x:v>0</x:v>
      </x:c>
      <x:c r="H1321" s="4" t="n">
        <x:v>72.17</x:v>
      </x:c>
      <x:c r="I1321" s="5" t="n">
        <x:f t="shared" si="20">F1321*1000*H1321</x:f>
        <x:v>0</x:v>
      </x:c>
      <x:c r="J1321" t="n">
        <x:v>0</x:v>
      </x:c>
    </x:row>
    <x:row r="1322">
      <x:c r="A1322" s="3" t="n">
        <x:v>2023</x:v>
      </x:c>
      <x:c r="B1322" s="2" t="str">
        <x:v>Enero</x:v>
      </x:c>
      <x:c r="C1322" s="2" t="str">
        <x:v>RE-009783-1</x:v>
      </x:c>
      <x:c r="D1322" s="2" t="str">
        <x:v>P. E. MONTE DAS AUGAS</x:v>
      </x:c>
      <x:c r="E1322" s="4" t="n">
        <x:v>0.825</x:v>
      </x:c>
      <x:c r="F1322" s="4" t="n">
        <x:f>J1322*0.94</x:f>
        <x:v>0.75482</x:v>
      </x:c>
      <x:c r="G1322" s="4" t="n">
        <x:v>3</x:v>
      </x:c>
      <x:c r="H1322" s="4" t="n">
        <x:v>69.55</x:v>
      </x:c>
      <x:c r="I1322" s="5" t="n">
        <x:f t="shared" si="20">F1322*1000*H1322</x:f>
        <x:v>52497.731</x:v>
      </x:c>
      <x:c r="J1322" t="n">
        <x:v>0.803</x:v>
      </x:c>
    </x:row>
    <x:row r="1323">
      <x:c r="A1323" s="3" t="n">
        <x:v>2023</x:v>
      </x:c>
      <x:c r="B1323" s="2" t="str">
        <x:v>Febrero</x:v>
      </x:c>
      <x:c r="C1323" s="2" t="str">
        <x:v>RE-009783-1</x:v>
      </x:c>
      <x:c r="D1323" s="2" t="str">
        <x:v>P. E. MONTE DAS AUGAS</x:v>
      </x:c>
      <x:c r="E1323" s="4" t="n">
        <x:v>0.558</x:v>
      </x:c>
      <x:c r="F1323" s="4" t="n">
        <x:f>J1323*1.01</x:f>
        <x:v>0.5534800000000001</x:v>
      </x:c>
      <x:c r="G1323" s="4" t="n">
        <x:v>3</x:v>
      </x:c>
      <x:c r="H1323" s="4" t="n">
        <x:v>133.47</x:v>
      </x:c>
      <x:c r="I1323" s="5" t="n">
        <x:f t="shared" si="20">F1323*1000*H1323</x:f>
        <x:v>73872.97560000002</x:v>
      </x:c>
      <x:c r="J1323" t="n">
        <x:v>0.548</x:v>
      </x:c>
    </x:row>
    <x:row r="1324">
      <x:c r="A1324" s="3" t="n">
        <x:v>2023</x:v>
      </x:c>
      <x:c r="B1324" s="2" t="str">
        <x:v>Marzo</x:v>
      </x:c>
      <x:c r="C1324" s="2" t="str">
        <x:v>RE-009783-1</x:v>
      </x:c>
      <x:c r="D1324" s="2" t="str">
        <x:v>P. E. MONTE DAS AUGAS</x:v>
      </x:c>
      <x:c r="E1324" s="4" t="n">
        <x:v>0.667</x:v>
      </x:c>
      <x:c r="F1324" s="4" t="n">
        <x:f>J1324*0.97</x:f>
        <x:v>0.63147</x:v>
      </x:c>
      <x:c r="G1324" s="4" t="n">
        <x:v>3</x:v>
      </x:c>
      <x:c r="H1324" s="4" t="n">
        <x:v>89.61</x:v>
      </x:c>
      <x:c r="I1324" s="5" t="n">
        <x:f t="shared" si="20">F1324*1000*H1324</x:f>
        <x:v>56586.0267</x:v>
      </x:c>
      <x:c r="J1324" t="n">
        <x:v>0.651</x:v>
      </x:c>
    </x:row>
    <x:row r="1325">
      <x:c r="A1325" s="3" t="n">
        <x:v>2023</x:v>
      </x:c>
      <x:c r="B1325" s="2" t="str">
        <x:v>Abril</x:v>
      </x:c>
      <x:c r="C1325" s="2" t="str">
        <x:v>RE-009783-1</x:v>
      </x:c>
      <x:c r="D1325" s="2" t="str">
        <x:v>P. E. MONTE DAS AUGAS</x:v>
      </x:c>
      <x:c r="E1325" s="4" t="n">
        <x:v>0.548</x:v>
      </x:c>
      <x:c r="F1325" s="4" t="n">
        <x:f>J1325*1.04</x:f>
        <x:v>0.55744</x:v>
      </x:c>
      <x:c r="G1325" s="4" t="n">
        <x:v>3</x:v>
      </x:c>
      <x:c r="H1325" s="4" t="n">
        <x:v>73.73</x:v>
      </x:c>
      <x:c r="I1325" s="5" t="n">
        <x:f t="shared" si="20">F1325*1000*H1325</x:f>
        <x:v>41100.05120000001</x:v>
      </x:c>
      <x:c r="J1325" t="n">
        <x:v>0.536</x:v>
      </x:c>
    </x:row>
    <x:row r="1326">
      <x:c r="A1326" s="3" t="n">
        <x:v>2023</x:v>
      </x:c>
      <x:c r="B1326" s="2" t="str">
        <x:v>Mayo</x:v>
      </x:c>
      <x:c r="C1326" s="2" t="str">
        <x:v>RE-009783-1</x:v>
      </x:c>
      <x:c r="D1326" s="2" t="str">
        <x:v>P. E. MONTE DAS AUGAS</x:v>
      </x:c>
      <x:c r="E1326" s="4" t="n">
        <x:v>0.504</x:v>
      </x:c>
      <x:c r="F1326" s="4" t="n">
        <x:f>J1326*1</x:f>
        <x:v>0.49</x:v>
      </x:c>
      <x:c r="G1326" s="4" t="n">
        <x:v>3</x:v>
      </x:c>
      <x:c r="H1326" s="4" t="n">
        <x:v>74.21</x:v>
      </x:c>
      <x:c r="I1326" s="5" t="n">
        <x:f t="shared" si="20">F1326*1000*H1326</x:f>
        <x:v>36362.899999999994</x:v>
      </x:c>
      <x:c r="J1326" t="n">
        <x:v>0.49</x:v>
      </x:c>
    </x:row>
    <x:row r="1327">
      <x:c r="A1327" s="3" t="n">
        <x:v>2023</x:v>
      </x:c>
      <x:c r="B1327" s="2" t="str">
        <x:v>Junio</x:v>
      </x:c>
      <x:c r="C1327" s="2" t="str">
        <x:v>RE-009783-1</x:v>
      </x:c>
      <x:c r="D1327" s="2" t="str">
        <x:v>P. E. MONTE DAS AUGAS</x:v>
      </x:c>
      <x:c r="E1327" s="4" t="n">
        <x:v>0.367</x:v>
      </x:c>
      <x:c r="F1327" s="4" t="n">
        <x:f>J1327*0.96</x:f>
        <x:v>0.3408</x:v>
      </x:c>
      <x:c r="G1327" s="4" t="n">
        <x:v>3</x:v>
      </x:c>
      <x:c r="H1327" s="4" t="n">
        <x:v>93.02</x:v>
      </x:c>
      <x:c r="I1327" s="5" t="n">
        <x:f t="shared" si="20">F1327*1000*H1327</x:f>
        <x:v>31701.216</x:v>
      </x:c>
      <x:c r="J1327" t="n">
        <x:v>0.355</x:v>
      </x:c>
    </x:row>
    <x:row r="1328">
      <x:c r="A1328" s="3" t="n">
        <x:v>2023</x:v>
      </x:c>
      <x:c r="B1328" s="2" t="str">
        <x:v>Julio</x:v>
      </x:c>
      <x:c r="C1328" s="2" t="str">
        <x:v>RE-009783-1</x:v>
      </x:c>
      <x:c r="D1328" s="2" t="str">
        <x:v>P. E. MONTE DAS AUGAS</x:v>
      </x:c>
      <x:c r="E1328" s="4" t="n">
        <x:v>0.392</x:v>
      </x:c>
      <x:c r="F1328" s="4" t="n">
        <x:f>J1328*1.03</x:f>
        <x:v>0.39243</x:v>
      </x:c>
      <x:c r="G1328" s="4" t="n">
        <x:v>3</x:v>
      </x:c>
      <x:c r="H1328" s="4" t="n">
        <x:v>90.47</x:v>
      </x:c>
      <x:c r="I1328" s="5" t="n">
        <x:f t="shared" si="20">F1328*1000*H1328</x:f>
        <x:v>35503.1421</x:v>
      </x:c>
      <x:c r="J1328" t="n">
        <x:v>0.381</x:v>
      </x:c>
    </x:row>
    <x:row r="1329">
      <x:c r="A1329" s="3" t="n">
        <x:v>2023</x:v>
      </x:c>
      <x:c r="B1329" s="2" t="str">
        <x:v>Agosto</x:v>
      </x:c>
      <x:c r="C1329" s="2" t="str">
        <x:v>RE-009783-1</x:v>
      </x:c>
      <x:c r="D1329" s="2" t="str">
        <x:v>P. E. MONTE DAS AUGAS</x:v>
      </x:c>
      <x:c r="E1329" s="4" t="n">
        <x:v>0.387</x:v>
      </x:c>
      <x:c r="F1329" s="4" t="n">
        <x:f>J1329*0.99</x:f>
        <x:v>0.3762</x:v>
      </x:c>
      <x:c r="G1329" s="4" t="n">
        <x:v>3</x:v>
      </x:c>
      <x:c r="H1329" s="4" t="n">
        <x:v>96.05</x:v>
      </x:c>
      <x:c r="I1329" s="5" t="n">
        <x:f t="shared" si="20">F1329*1000*H1329</x:f>
        <x:v>36134.009999999995</x:v>
      </x:c>
      <x:c r="J1329" t="n">
        <x:v>0.38</x:v>
      </x:c>
    </x:row>
    <x:row r="1330">
      <x:c r="A1330" s="3" t="n">
        <x:v>2023</x:v>
      </x:c>
      <x:c r="B1330" s="2" t="str">
        <x:v>Septiembre</x:v>
      </x:c>
      <x:c r="C1330" s="2" t="str">
        <x:v>RE-009783-1</x:v>
      </x:c>
      <x:c r="D1330" s="2" t="str">
        <x:v>P. E. MONTE DAS AUGAS</x:v>
      </x:c>
      <x:c r="E1330" s="4" t="n">
        <x:v>0.497</x:v>
      </x:c>
      <x:c r="F1330" s="4" t="n">
        <x:f>J1330*0.95</x:f>
        <x:v>0.46454999999999996</x:v>
      </x:c>
      <x:c r="G1330" s="4" t="n">
        <x:v>3</x:v>
      </x:c>
      <x:c r="H1330" s="4" t="n">
        <x:v>103.34</x:v>
      </x:c>
      <x:c r="I1330" s="5" t="n">
        <x:f t="shared" si="20">F1330*1000*H1330</x:f>
        <x:v>48006.596999999994</x:v>
      </x:c>
      <x:c r="J1330" t="n">
        <x:v>0.489</x:v>
      </x:c>
    </x:row>
    <x:row r="1331">
      <x:c r="A1331" s="3" t="n">
        <x:v>2023</x:v>
      </x:c>
      <x:c r="B1331" s="2" t="str">
        <x:v>Octubre</x:v>
      </x:c>
      <x:c r="C1331" s="2" t="str">
        <x:v>RE-009783-1</x:v>
      </x:c>
      <x:c r="D1331" s="2" t="str">
        <x:v>P. E. MONTE DAS AUGAS</x:v>
      </x:c>
      <x:c r="E1331" s="4" t="n">
        <x:v>0.633</x:v>
      </x:c>
      <x:c r="F1331" s="4" t="n">
        <x:f>J1331*1.02</x:f>
        <x:v>0.62832</x:v>
      </x:c>
      <x:c r="G1331" s="4" t="n">
        <x:v>3</x:v>
      </x:c>
      <x:c r="H1331" s="4" t="n">
        <x:v>90.14</x:v>
      </x:c>
      <x:c r="I1331" s="5" t="n">
        <x:f t="shared" si="20">F1331*1000*H1331</x:f>
        <x:v>56636.7648</x:v>
      </x:c>
      <x:c r="J1331" t="n">
        <x:v>0.616</x:v>
      </x:c>
    </x:row>
    <x:row r="1332">
      <x:c r="A1332" s="3" t="n">
        <x:v>2023</x:v>
      </x:c>
      <x:c r="B1332" s="2" t="str">
        <x:v>Noviembre</x:v>
      </x:c>
      <x:c r="C1332" s="2" t="str">
        <x:v>RE-009783-1</x:v>
      </x:c>
      <x:c r="D1332" s="2" t="str">
        <x:v>P. E. MONTE DAS AUGAS</x:v>
      </x:c>
      <x:c r="E1332" s="4" t="n">
        <x:v>0.678</x:v>
      </x:c>
      <x:c r="F1332" s="4" t="n">
        <x:f>J1332*0.98</x:f>
        <x:v>0.65366</x:v>
      </x:c>
      <x:c r="G1332" s="4" t="n">
        <x:v>3</x:v>
      </x:c>
      <x:c r="H1332" s="4" t="n">
        <x:v>63.45</x:v>
      </x:c>
      <x:c r="I1332" s="5" t="n">
        <x:f t="shared" si="20">F1332*1000*H1332</x:f>
        <x:v>41474.727</x:v>
      </x:c>
      <x:c r="J1332" t="n">
        <x:v>0.667</x:v>
      </x:c>
    </x:row>
    <x:row r="1333">
      <x:c r="A1333" s="3" t="n">
        <x:v>2023</x:v>
      </x:c>
      <x:c r="B1333" s="2" t="str">
        <x:v>Diciembre</x:v>
      </x:c>
      <x:c r="C1333" s="2" t="str">
        <x:v>RE-009783-1</x:v>
      </x:c>
      <x:c r="D1333" s="2" t="str">
        <x:v>P. E. MONTE DAS AUGAS</x:v>
      </x:c>
      <x:c r="E1333" s="4" t="n">
        <x:v>0.77</x:v>
      </x:c>
      <x:c r="F1333" s="4" t="n">
        <x:f>J1333*0.94</x:f>
        <x:v>0.70876</x:v>
      </x:c>
      <x:c r="G1333" s="4" t="n">
        <x:v>3</x:v>
      </x:c>
      <x:c r="H1333" s="4" t="n">
        <x:v>72.17</x:v>
      </x:c>
      <x:c r="I1333" s="5" t="n">
        <x:f t="shared" si="20">F1333*1000*H1333</x:f>
        <x:v>51151.2092</x:v>
      </x:c>
      <x:c r="J1333" t="n">
        <x:v>0.754</x:v>
      </x:c>
    </x:row>
    <x:row r="1334">
      <x:c r="A1334" s="3" t="n">
        <x:v>2023</x:v>
      </x:c>
      <x:c r="B1334" s="2" t="str">
        <x:v>Enero</x:v>
      </x:c>
      <x:c r="C1334" s="2" t="str">
        <x:v>RE-009891-1</x:v>
      </x:c>
      <x:c r="D1334" s="2" t="str">
        <x:v>P.E. BIDUEIROS 1ª FASE</x:v>
      </x:c>
      <x:c r="E1334" s="4" t="n">
        <x:v>1.8860344827586206</x:v>
      </x:c>
      <x:c r="F1334" s="4" t="n">
        <x:f>J1334*1.01</x:f>
        <x:v>1.8625793103448276</x:v>
      </x:c>
      <x:c r="G1334" s="4" t="n">
        <x:v>6.5</x:v>
      </x:c>
      <x:c r="H1334" s="4" t="n">
        <x:v>69.55</x:v>
      </x:c>
      <x:c r="I1334" s="5" t="n">
        <x:f t="shared" si="20">F1334*1000*H1334</x:f>
        <x:v>129542.39103448275</x:v>
      </x:c>
      <x:c r="J1334" t="n">
        <x:v>1.8441379310344828</x:v>
      </x:c>
    </x:row>
    <x:row r="1335">
      <x:c r="A1335" s="3" t="n">
        <x:v>2023</x:v>
      </x:c>
      <x:c r="B1335" s="2" t="str">
        <x:v>Enero</x:v>
      </x:c>
      <x:c r="C1335" s="2" t="str">
        <x:v>RE-009891-2</x:v>
      </x:c>
      <x:c r="D1335" s="2" t="str">
        <x:v>P.E. BIDUEIROS 1ª FASE</x:v>
      </x:c>
      <x:c r="E1335" s="4" t="n">
        <x:v>4.5264827586206895</x:v>
      </x:c>
      <x:c r="F1335" s="4" t="n">
        <x:f>J1335*1.01</x:f>
        <x:v>4.470190344827587</x:v>
      </x:c>
      <x:c r="G1335" s="4" t="n">
        <x:v>15.6</x:v>
      </x:c>
      <x:c r="H1335" s="4" t="n">
        <x:v>69.55</x:v>
      </x:c>
      <x:c r="I1335" s="5" t="n">
        <x:f t="shared" si="20">F1335*1000*H1335</x:f>
        <x:v>310901.7384827586</x:v>
      </x:c>
      <x:c r="J1335" t="n">
        <x:v>4.425931034482759</x:v>
      </x:c>
    </x:row>
    <x:row r="1336">
      <x:c r="A1336" s="3" t="n">
        <x:v>2023</x:v>
      </x:c>
      <x:c r="B1336" s="2" t="str">
        <x:v>Enero</x:v>
      </x:c>
      <x:c r="C1336" s="2" t="str">
        <x:v>RE-009891-3</x:v>
      </x:c>
      <x:c r="D1336" s="2" t="str">
        <x:v>P.E. BIDUEIROS 1ª FASE</x:v>
      </x:c>
      <x:c r="E1336" s="4" t="n">
        <x:v>4.5264827586206895</x:v>
      </x:c>
      <x:c r="F1336" s="4" t="n">
        <x:f>J1336*1.01</x:f>
        <x:v>4.470190344827586</x:v>
      </x:c>
      <x:c r="G1336" s="4" t="n">
        <x:v>15.6</x:v>
      </x:c>
      <x:c r="H1336" s="4" t="n">
        <x:v>69.55</x:v>
      </x:c>
      <x:c r="I1336" s="5" t="n">
        <x:f t="shared" si="20">F1336*1000*H1336</x:f>
        <x:v>310901.7384827586</x:v>
      </x:c>
      <x:c r="J1336" t="n">
        <x:v>4.425931034482758</x:v>
      </x:c>
    </x:row>
    <x:row r="1337">
      <x:c r="A1337" s="3" t="n">
        <x:v>2023</x:v>
      </x:c>
      <x:c r="B1337" s="2" t="str">
        <x:v>Febrero</x:v>
      </x:c>
      <x:c r="C1337" s="2" t="str">
        <x:v>RE-009891-1</x:v>
      </x:c>
      <x:c r="D1337" s="2" t="str">
        <x:v>P.E. BIDUEIROS 1ª FASE</x:v>
      </x:c>
      <x:c r="E1337" s="4" t="n">
        <x:v>1.7296551724137932</x:v>
      </x:c>
      <x:c r="F1337" s="4" t="n">
        <x:f>J1337*0.97</x:f>
        <x:v>1.6294327586206896</x:v>
      </x:c>
      <x:c r="G1337" s="4" t="n">
        <x:v>6.5</x:v>
      </x:c>
      <x:c r="H1337" s="4" t="n">
        <x:v>133.47</x:v>
      </x:c>
      <x:c r="I1337" s="5" t="n">
        <x:f t="shared" si="20">F1337*1000*H1337</x:f>
        <x:v>217480.39029310344</x:v>
      </x:c>
      <x:c r="J1337" t="n">
        <x:v>1.6798275862068965</x:v>
      </x:c>
    </x:row>
    <x:row r="1338">
      <x:c r="A1338" s="3" t="n">
        <x:v>2023</x:v>
      </x:c>
      <x:c r="B1338" s="2" t="str">
        <x:v>Febrero</x:v>
      </x:c>
      <x:c r="C1338" s="2" t="str">
        <x:v>RE-009891-2</x:v>
      </x:c>
      <x:c r="D1338" s="2" t="str">
        <x:v>P.E. BIDUEIROS 1ª FASE</x:v>
      </x:c>
      <x:c r="E1338" s="4" t="n">
        <x:v>4.151172413793104</x:v>
      </x:c>
      <x:c r="F1338" s="4" t="n">
        <x:f>J1338*0.97</x:f>
        <x:v>3.9106386206896557</x:v>
      </x:c>
      <x:c r="G1338" s="4" t="n">
        <x:v>15.6</x:v>
      </x:c>
      <x:c r="H1338" s="4" t="n">
        <x:v>133.47</x:v>
      </x:c>
      <x:c r="I1338" s="5" t="n">
        <x:f t="shared" si="20">F1338*1000*H1338</x:f>
        <x:v>521952.93670344836</x:v>
      </x:c>
      <x:c r="J1338" t="n">
        <x:v>4.031586206896552</x:v>
      </x:c>
    </x:row>
    <x:row r="1339">
      <x:c r="A1339" s="3" t="n">
        <x:v>2023</x:v>
      </x:c>
      <x:c r="B1339" s="2" t="str">
        <x:v>Febrero</x:v>
      </x:c>
      <x:c r="C1339" s="2" t="str">
        <x:v>RE-009891-3</x:v>
      </x:c>
      <x:c r="D1339" s="2" t="str">
        <x:v>P.E. BIDUEIROS 1ª FASE</x:v>
      </x:c>
      <x:c r="E1339" s="4" t="n">
        <x:v>4.151172413793104</x:v>
      </x:c>
      <x:c r="F1339" s="4" t="n">
        <x:f>J1339*0.97</x:f>
        <x:v>3.910638620689655</x:v>
      </x:c>
      <x:c r="G1339" s="4" t="n">
        <x:v>15.6</x:v>
      </x:c>
      <x:c r="H1339" s="4" t="n">
        <x:v>133.47</x:v>
      </x:c>
      <x:c r="I1339" s="5" t="n">
        <x:f t="shared" si="20">F1339*1000*H1339</x:f>
        <x:v>521952.93670344824</x:v>
      </x:c>
      <x:c r="J1339" t="n">
        <x:v>4.031586206896551</x:v>
      </x:c>
    </x:row>
    <x:row r="1340">
      <x:c r="A1340" s="3" t="n">
        <x:v>2023</x:v>
      </x:c>
      <x:c r="B1340" s="2" t="str">
        <x:v>Marzo</x:v>
      </x:c>
      <x:c r="C1340" s="2" t="str">
        <x:v>RE-009891-1</x:v>
      </x:c>
      <x:c r="D1340" s="2" t="str">
        <x:v>P.E. BIDUEIROS 1ª FASE</x:v>
      </x:c>
      <x:c r="E1340" s="4" t="n">
        <x:v>1.87</x:v>
      </x:c>
      <x:c r="F1340" s="4" t="n">
        <x:f>J1340*1.04</x:f>
        <x:v>1.8834758620689656</x:v>
      </x:c>
      <x:c r="G1340" s="4" t="n">
        <x:v>6.5</x:v>
      </x:c>
      <x:c r="H1340" s="4" t="n">
        <x:v>89.61</x:v>
      </x:c>
      <x:c r="I1340" s="5" t="n">
        <x:f t="shared" si="20">F1340*1000*H1340</x:f>
        <x:v>168778.272</x:v>
      </x:c>
      <x:c r="J1340" t="n">
        <x:v>1.8110344827586207</x:v>
      </x:c>
    </x:row>
    <x:row r="1341">
      <x:c r="A1341" s="3" t="n">
        <x:v>2023</x:v>
      </x:c>
      <x:c r="B1341" s="2" t="str">
        <x:v>Marzo</x:v>
      </x:c>
      <x:c r="C1341" s="2" t="str">
        <x:v>RE-009891-2</x:v>
      </x:c>
      <x:c r="D1341" s="2" t="str">
        <x:v>P.E. BIDUEIROS 1ª FASE</x:v>
      </x:c>
      <x:c r="E1341" s="4" t="n">
        <x:v>4.488</x:v>
      </x:c>
      <x:c r="F1341" s="4" t="n">
        <x:f>J1341*1.04</x:f>
        <x:v>4.520342068965517</x:v>
      </x:c>
      <x:c r="G1341" s="4" t="n">
        <x:v>15.6</x:v>
      </x:c>
      <x:c r="H1341" s="4" t="n">
        <x:v>89.61</x:v>
      </x:c>
      <x:c r="I1341" s="5" t="n">
        <x:f t="shared" si="20">F1341*1000*H1341</x:f>
        <x:v>405067.85279999994</x:v>
      </x:c>
      <x:c r="J1341" t="n">
        <x:v>4.34648275862069</x:v>
      </x:c>
    </x:row>
    <x:row r="1342">
      <x:c r="A1342" s="3" t="n">
        <x:v>2023</x:v>
      </x:c>
      <x:c r="B1342" s="2" t="str">
        <x:v>Marzo</x:v>
      </x:c>
      <x:c r="C1342" s="2" t="str">
        <x:v>RE-009891-3</x:v>
      </x:c>
      <x:c r="D1342" s="2" t="str">
        <x:v>P.E. BIDUEIROS 1ª FASE</x:v>
      </x:c>
      <x:c r="E1342" s="4" t="n">
        <x:v>4.4879999999999995</x:v>
      </x:c>
      <x:c r="F1342" s="4" t="n">
        <x:f>J1342*1.04</x:f>
        <x:v>4.520342068965516</x:v>
      </x:c>
      <x:c r="G1342" s="4" t="n">
        <x:v>15.6</x:v>
      </x:c>
      <x:c r="H1342" s="4" t="n">
        <x:v>89.61</x:v>
      </x:c>
      <x:c r="I1342" s="5" t="n">
        <x:f t="shared" si="20">F1342*1000*H1342</x:f>
        <x:v>405067.8527999999</x:v>
      </x:c>
      <x:c r="J1342" t="n">
        <x:v>4.346482758620689</x:v>
      </x:c>
    </x:row>
    <x:row r="1343">
      <x:c r="A1343" s="3" t="n">
        <x:v>2023</x:v>
      </x:c>
      <x:c r="B1343" s="2" t="str">
        <x:v>Abril</x:v>
      </x:c>
      <x:c r="C1343" s="2" t="str">
        <x:v>RE-009891-1</x:v>
      </x:c>
      <x:c r="D1343" s="2" t="str">
        <x:v>P.E. BIDUEIROS 1ª FASE</x:v>
      </x:c>
      <x:c r="E1343" s="4" t="n">
        <x:v>1.4051724137931034</x:v>
      </x:c>
      <x:c r="F1343" s="4" t="n">
        <x:f>J1343*1</x:f>
        <x:v>1.3836206896551724</x:v>
      </x:c>
      <x:c r="G1343" s="4" t="n">
        <x:v>6.5</x:v>
      </x:c>
      <x:c r="H1343" s="4" t="n">
        <x:v>73.73</x:v>
      </x:c>
      <x:c r="I1343" s="5" t="n">
        <x:f t="shared" si="20">F1343*1000*H1343</x:f>
        <x:v>102014.35344827586</x:v>
      </x:c>
      <x:c r="J1343" t="n">
        <x:v>1.3836206896551724</x:v>
      </x:c>
    </x:row>
    <x:row r="1344">
      <x:c r="A1344" s="3" t="n">
        <x:v>2023</x:v>
      </x:c>
      <x:c r="B1344" s="2" t="str">
        <x:v>Abril</x:v>
      </x:c>
      <x:c r="C1344" s="2" t="str">
        <x:v>RE-009891-2</x:v>
      </x:c>
      <x:c r="D1344" s="2" t="str">
        <x:v>P.E. BIDUEIROS 1ª FASE</x:v>
      </x:c>
      <x:c r="E1344" s="4" t="n">
        <x:v>3.372413793103448</x:v>
      </x:c>
      <x:c r="F1344" s="4" t="n">
        <x:f>J1344*1</x:f>
        <x:v>3.320689655172414</x:v>
      </x:c>
      <x:c r="G1344" s="4" t="n">
        <x:v>15.6</x:v>
      </x:c>
      <x:c r="H1344" s="4" t="n">
        <x:v>73.73</x:v>
      </x:c>
      <x:c r="I1344" s="5" t="n">
        <x:f t="shared" si="20">F1344*1000*H1344</x:f>
        <x:v>244834.4482758621</x:v>
      </x:c>
      <x:c r="J1344" t="n">
        <x:v>3.320689655172414</x:v>
      </x:c>
    </x:row>
    <x:row r="1345">
      <x:c r="A1345" s="3" t="n">
        <x:v>2023</x:v>
      </x:c>
      <x:c r="B1345" s="2" t="str">
        <x:v>Abril</x:v>
      </x:c>
      <x:c r="C1345" s="2" t="str">
        <x:v>RE-009891-3</x:v>
      </x:c>
      <x:c r="D1345" s="2" t="str">
        <x:v>P.E. BIDUEIROS 1ª FASE</x:v>
      </x:c>
      <x:c r="E1345" s="4" t="n">
        <x:v>3.3724137931034486</x:v>
      </x:c>
      <x:c r="F1345" s="4" t="n">
        <x:f>J1345*1</x:f>
        <x:v>3.320689655172414</x:v>
      </x:c>
      <x:c r="G1345" s="4" t="n">
        <x:v>15.6</x:v>
      </x:c>
      <x:c r="H1345" s="4" t="n">
        <x:v>73.73</x:v>
      </x:c>
      <x:c r="I1345" s="5" t="n">
        <x:f t="shared" si="20">F1345*1000*H1345</x:f>
        <x:v>244834.4482758621</x:v>
      </x:c>
      <x:c r="J1345" t="n">
        <x:v>3.320689655172414</x:v>
      </x:c>
    </x:row>
    <x:row r="1346">
      <x:c r="A1346" s="3" t="n">
        <x:v>2023</x:v>
      </x:c>
      <x:c r="B1346" s="2" t="str">
        <x:v>Mayo</x:v>
      </x:c>
      <x:c r="C1346" s="2" t="str">
        <x:v>RE-009891-1</x:v>
      </x:c>
      <x:c r="D1346" s="2" t="str">
        <x:v>P.E. BIDUEIROS 1ª FASE</x:v>
      </x:c>
      <x:c r="E1346" s="4" t="n">
        <x:v>1.291551724137931</x:v>
      </x:c>
      <x:c r="F1346" s="4" t="n">
        <x:f>J1346*0.96</x:f>
        <x:v>1.2198620689655173</x:v>
      </x:c>
      <x:c r="G1346" s="4" t="n">
        <x:v>6.5</x:v>
      </x:c>
      <x:c r="H1346" s="4" t="n">
        <x:v>74.21</x:v>
      </x:c>
      <x:c r="I1346" s="5" t="n">
        <x:f t="shared" ref="I1346:I1409" si="21">F1346*1000*H1346</x:f>
        <x:v>90525.96413793102</x:v>
      </x:c>
      <x:c r="J1346" t="n">
        <x:v>1.2706896551724138</x:v>
      </x:c>
    </x:row>
    <x:row r="1347">
      <x:c r="A1347" s="3" t="n">
        <x:v>2023</x:v>
      </x:c>
      <x:c r="B1347" s="2" t="str">
        <x:v>Mayo</x:v>
      </x:c>
      <x:c r="C1347" s="2" t="str">
        <x:v>RE-009891-2</x:v>
      </x:c>
      <x:c r="D1347" s="2" t="str">
        <x:v>P.E. BIDUEIROS 1ª FASE</x:v>
      </x:c>
      <x:c r="E1347" s="4" t="n">
        <x:v>3.0997241379310343</x:v>
      </x:c>
      <x:c r="F1347" s="4" t="n">
        <x:f>J1347*0.96</x:f>
        <x:v>2.927668965517241</x:v>
      </x:c>
      <x:c r="G1347" s="4" t="n">
        <x:v>15.6</x:v>
      </x:c>
      <x:c r="H1347" s="4" t="n">
        <x:v>74.21</x:v>
      </x:c>
      <x:c r="I1347" s="5" t="n">
        <x:f t="shared" si="21">F1347*1000*H1347</x:f>
        <x:v>217262.3139310344</x:v>
      </x:c>
      <x:c r="J1347" t="n">
        <x:v>3.049655172413793</x:v>
      </x:c>
    </x:row>
    <x:row r="1348">
      <x:c r="A1348" s="3" t="n">
        <x:v>2023</x:v>
      </x:c>
      <x:c r="B1348" s="2" t="str">
        <x:v>Mayo</x:v>
      </x:c>
      <x:c r="C1348" s="2" t="str">
        <x:v>RE-009891-3</x:v>
      </x:c>
      <x:c r="D1348" s="2" t="str">
        <x:v>P.E. BIDUEIROS 1ª FASE</x:v>
      </x:c>
      <x:c r="E1348" s="4" t="n">
        <x:v>3.099724137931034</x:v>
      </x:c>
      <x:c r="F1348" s="4" t="n">
        <x:f>J1348*0.96</x:f>
        <x:v>2.927668965517241</x:v>
      </x:c>
      <x:c r="G1348" s="4" t="n">
        <x:v>15.6</x:v>
      </x:c>
      <x:c r="H1348" s="4" t="n">
        <x:v>74.21</x:v>
      </x:c>
      <x:c r="I1348" s="5" t="n">
        <x:f t="shared" si="21">F1348*1000*H1348</x:f>
        <x:v>217262.3139310344</x:v>
      </x:c>
      <x:c r="J1348" t="n">
        <x:v>3.049655172413793</x:v>
      </x:c>
    </x:row>
    <x:row r="1349">
      <x:c r="A1349" s="3" t="n">
        <x:v>2023</x:v>
      </x:c>
      <x:c r="B1349" s="2" t="str">
        <x:v>Junio</x:v>
      </x:c>
      <x:c r="C1349" s="2" t="str">
        <x:v>RE-009891-1</x:v>
      </x:c>
      <x:c r="D1349" s="2" t="str">
        <x:v>P.E. BIDUEIROS 1ª FASE</x:v>
      </x:c>
      <x:c r="E1349" s="4" t="n">
        <x:v>1.0703448275862069</x:v>
      </x:c>
      <x:c r="F1349" s="4" t="n">
        <x:f>J1349*1.03</x:f>
        <x:v>1.0740413793103447</x:v>
      </x:c>
      <x:c r="G1349" s="4" t="n">
        <x:v>6.5</x:v>
      </x:c>
      <x:c r="H1349" s="4" t="n">
        <x:v>93.02</x:v>
      </x:c>
      <x:c r="I1349" s="5" t="n">
        <x:f t="shared" si="21">F1349*1000*H1349</x:f>
        <x:v>99907.32910344825</x:v>
      </x:c>
      <x:c r="J1349" t="n">
        <x:v>1.042758620689655</x:v>
      </x:c>
    </x:row>
    <x:row r="1350">
      <x:c r="A1350" s="3" t="n">
        <x:v>2023</x:v>
      </x:c>
      <x:c r="B1350" s="2" t="str">
        <x:v>Junio</x:v>
      </x:c>
      <x:c r="C1350" s="2" t="str">
        <x:v>RE-009891-2</x:v>
      </x:c>
      <x:c r="D1350" s="2" t="str">
        <x:v>P.E. BIDUEIROS 1ª FASE</x:v>
      </x:c>
      <x:c r="E1350" s="4" t="n">
        <x:v>2.5688275862068966</x:v>
      </x:c>
      <x:c r="F1350" s="4" t="n">
        <x:f>J1350*1.03</x:f>
        <x:v>2.5776993103448276</x:v>
      </x:c>
      <x:c r="G1350" s="4" t="n">
        <x:v>15.6</x:v>
      </x:c>
      <x:c r="H1350" s="4" t="n">
        <x:v>93.02</x:v>
      </x:c>
      <x:c r="I1350" s="5" t="n">
        <x:f t="shared" si="21">F1350*1000*H1350</x:f>
        <x:v>239777.58984827585</x:v>
      </x:c>
      <x:c r="J1350" t="n">
        <x:v>2.5026206896551724</x:v>
      </x:c>
    </x:row>
    <x:row r="1351">
      <x:c r="A1351" s="3" t="n">
        <x:v>2023</x:v>
      </x:c>
      <x:c r="B1351" s="2" t="str">
        <x:v>Junio</x:v>
      </x:c>
      <x:c r="C1351" s="2" t="str">
        <x:v>RE-009891-3</x:v>
      </x:c>
      <x:c r="D1351" s="2" t="str">
        <x:v>P.E. BIDUEIROS 1ª FASE</x:v>
      </x:c>
      <x:c r="E1351" s="4" t="n">
        <x:v>2.568827586206897</x:v>
      </x:c>
      <x:c r="F1351" s="4" t="n">
        <x:f>J1351*1.03</x:f>
        <x:v>2.5776993103448276</x:v>
      </x:c>
      <x:c r="G1351" s="4" t="n">
        <x:v>15.6</x:v>
      </x:c>
      <x:c r="H1351" s="4" t="n">
        <x:v>93.02</x:v>
      </x:c>
      <x:c r="I1351" s="5" t="n">
        <x:f t="shared" si="21">F1351*1000*H1351</x:f>
        <x:v>239777.58984827585</x:v>
      </x:c>
      <x:c r="J1351" t="n">
        <x:v>2.5026206896551724</x:v>
      </x:c>
    </x:row>
    <x:row r="1352">
      <x:c r="A1352" s="3" t="n">
        <x:v>2023</x:v>
      </x:c>
      <x:c r="B1352" s="2" t="str">
        <x:v>Julio</x:v>
      </x:c>
      <x:c r="C1352" s="2" t="str">
        <x:v>RE-009891-1</x:v>
      </x:c>
      <x:c r="D1352" s="2" t="str">
        <x:v>P.E. BIDUEIROS 1ª FASE</x:v>
      </x:c>
      <x:c r="E1352" s="4" t="n">
        <x:v>0.9851724137931035</x:v>
      </x:c>
      <x:c r="F1352" s="4" t="n">
        <x:f>J1352*0.99</x:f>
        <x:v>0.9606413793103448</x:v>
      </x:c>
      <x:c r="G1352" s="4" t="n">
        <x:v>6.5</x:v>
      </x:c>
      <x:c r="H1352" s="4" t="n">
        <x:v>90.47</x:v>
      </x:c>
      <x:c r="I1352" s="5" t="n">
        <x:f t="shared" si="21">F1352*1000*H1352</x:f>
        <x:v>86909.22558620689</x:v>
      </x:c>
      <x:c r="J1352" t="n">
        <x:v>0.9703448275862069</x:v>
      </x:c>
    </x:row>
    <x:row r="1353">
      <x:c r="A1353" s="3" t="n">
        <x:v>2023</x:v>
      </x:c>
      <x:c r="B1353" s="2" t="str">
        <x:v>Julio</x:v>
      </x:c>
      <x:c r="C1353" s="2" t="str">
        <x:v>RE-009891-2</x:v>
      </x:c>
      <x:c r="D1353" s="2" t="str">
        <x:v>P.E. BIDUEIROS 1ª FASE</x:v>
      </x:c>
      <x:c r="E1353" s="4" t="n">
        <x:v>2.3644137931034486</x:v>
      </x:c>
      <x:c r="F1353" s="4" t="n">
        <x:f>J1353*0.99</x:f>
        <x:v>2.3055393103448276</x:v>
      </x:c>
      <x:c r="G1353" s="4" t="n">
        <x:v>15.6</x:v>
      </x:c>
      <x:c r="H1353" s="4" t="n">
        <x:v>90.47</x:v>
      </x:c>
      <x:c r="I1353" s="5" t="n">
        <x:f t="shared" si="21">F1353*1000*H1353</x:f>
        <x:v>208582.14140689655</x:v>
      </x:c>
      <x:c r="J1353" t="n">
        <x:v>2.328827586206897</x:v>
      </x:c>
    </x:row>
    <x:row r="1354">
      <x:c r="A1354" s="3" t="n">
        <x:v>2023</x:v>
      </x:c>
      <x:c r="B1354" s="2" t="str">
        <x:v>Julio</x:v>
      </x:c>
      <x:c r="C1354" s="2" t="str">
        <x:v>RE-009891-3</x:v>
      </x:c>
      <x:c r="D1354" s="2" t="str">
        <x:v>P.E. BIDUEIROS 1ª FASE</x:v>
      </x:c>
      <x:c r="E1354" s="4" t="n">
        <x:v>2.3644137931034486</x:v>
      </x:c>
      <x:c r="F1354" s="4" t="n">
        <x:f>J1354*0.99</x:f>
        <x:v>2.305539310344827</x:v>
      </x:c>
      <x:c r="G1354" s="4" t="n">
        <x:v>15.6</x:v>
      </x:c>
      <x:c r="H1354" s="4" t="n">
        <x:v>90.47</x:v>
      </x:c>
      <x:c r="I1354" s="5" t="n">
        <x:f t="shared" si="21">F1354*1000*H1354</x:f>
        <x:v>208582.14140689652</x:v>
      </x:c>
      <x:c r="J1354" t="n">
        <x:v>2.3288275862068963</x:v>
      </x:c>
    </x:row>
    <x:row r="1355">
      <x:c r="A1355" s="3" t="n">
        <x:v>2023</x:v>
      </x:c>
      <x:c r="B1355" s="2" t="str">
        <x:v>Agosto</x:v>
      </x:c>
      <x:c r="C1355" s="2" t="str">
        <x:v>RE-009891-1</x:v>
      </x:c>
      <x:c r="D1355" s="2" t="str">
        <x:v>P.E. BIDUEIROS 1ª FASE</x:v>
      </x:c>
      <x:c r="E1355" s="4" t="n">
        <x:v>1.1496551724137931</x:v>
      </x:c>
      <x:c r="F1355" s="4" t="n">
        <x:f>J1355*0.95</x:f>
        <x:v>1.074810344827586</x:v>
      </x:c>
      <x:c r="G1355" s="4" t="n">
        <x:v>6.5</x:v>
      </x:c>
      <x:c r="H1355" s="4" t="n">
        <x:v>96.05</x:v>
      </x:c>
      <x:c r="I1355" s="5" t="n">
        <x:f t="shared" si="21">F1355*1000*H1355</x:f>
        <x:v>103235.53362068963</x:v>
      </x:c>
      <x:c r="J1355" t="n">
        <x:v>1.1313793103448275</x:v>
      </x:c>
    </x:row>
    <x:row r="1356">
      <x:c r="A1356" s="3" t="n">
        <x:v>2023</x:v>
      </x:c>
      <x:c r="B1356" s="2" t="str">
        <x:v>Agosto</x:v>
      </x:c>
      <x:c r="C1356" s="2" t="str">
        <x:v>RE-009891-2</x:v>
      </x:c>
      <x:c r="D1356" s="2" t="str">
        <x:v>P.E. BIDUEIROS 1ª FASE</x:v>
      </x:c>
      <x:c r="E1356" s="4" t="n">
        <x:v>2.7591724137931037</x:v>
      </x:c>
      <x:c r="F1356" s="4" t="n">
        <x:f>J1356*0.95</x:f>
        <x:v>2.5795448275862065</x:v>
      </x:c>
      <x:c r="G1356" s="4" t="n">
        <x:v>15.6</x:v>
      </x:c>
      <x:c r="H1356" s="4" t="n">
        <x:v>96.05</x:v>
      </x:c>
      <x:c r="I1356" s="5" t="n">
        <x:f t="shared" si="21">F1356*1000*H1356</x:f>
        <x:v>247765.2806896551</x:v>
      </x:c>
      <x:c r="J1356" t="n">
        <x:v>2.715310344827586</x:v>
      </x:c>
    </x:row>
    <x:row r="1357">
      <x:c r="A1357" s="3" t="n">
        <x:v>2023</x:v>
      </x:c>
      <x:c r="B1357" s="2" t="str">
        <x:v>Agosto</x:v>
      </x:c>
      <x:c r="C1357" s="2" t="str">
        <x:v>RE-009891-3</x:v>
      </x:c>
      <x:c r="D1357" s="2" t="str">
        <x:v>P.E. BIDUEIROS 1ª FASE</x:v>
      </x:c>
      <x:c r="E1357" s="4" t="n">
        <x:v>2.7591724137931033</x:v>
      </x:c>
      <x:c r="F1357" s="4" t="n">
        <x:f>J1357*0.95</x:f>
        <x:v>2.579544827586207</x:v>
      </x:c>
      <x:c r="G1357" s="4" t="n">
        <x:v>15.6</x:v>
      </x:c>
      <x:c r="H1357" s="4" t="n">
        <x:v>96.05</x:v>
      </x:c>
      <x:c r="I1357" s="5" t="n">
        <x:f t="shared" si="21">F1357*1000*H1357</x:f>
        <x:v>247765.28068965516</x:v>
      </x:c>
      <x:c r="J1357" t="n">
        <x:v>2.7153103448275866</x:v>
      </x:c>
    </x:row>
    <x:row r="1358">
      <x:c r="A1358" s="3" t="n">
        <x:v>2023</x:v>
      </x:c>
      <x:c r="B1358" s="2" t="str">
        <x:v>Septiembre</x:v>
      </x:c>
      <x:c r="C1358" s="2" t="str">
        <x:v>RE-009891-1</x:v>
      </x:c>
      <x:c r="D1358" s="2" t="str">
        <x:v>P.E. BIDUEIROS 1ª FASE</x:v>
      </x:c>
      <x:c r="E1358" s="4" t="n">
        <x:v>1.168103448275862</x:v>
      </x:c>
      <x:c r="F1358" s="4" t="n">
        <x:f>J1358*1.02</x:f>
        <x:v>1.1710655172413793</x:v>
      </x:c>
      <x:c r="G1358" s="4" t="n">
        <x:v>6.5</x:v>
      </x:c>
      <x:c r="H1358" s="4" t="n">
        <x:v>103.34</x:v>
      </x:c>
      <x:c r="I1358" s="5" t="n">
        <x:f t="shared" si="21">F1358*1000*H1358</x:f>
        <x:v>121017.91055172413</x:v>
      </x:c>
      <x:c r="J1358" t="n">
        <x:v>1.148103448275862</x:v>
      </x:c>
    </x:row>
    <x:row r="1359">
      <x:c r="A1359" s="3" t="n">
        <x:v>2023</x:v>
      </x:c>
      <x:c r="B1359" s="2" t="str">
        <x:v>Septiembre</x:v>
      </x:c>
      <x:c r="C1359" s="2" t="str">
        <x:v>RE-009891-2</x:v>
      </x:c>
      <x:c r="D1359" s="2" t="str">
        <x:v>P.E. BIDUEIROS 1ª FASE</x:v>
      </x:c>
      <x:c r="E1359" s="4" t="n">
        <x:v>2.803448275862069</x:v>
      </x:c>
      <x:c r="F1359" s="4" t="n">
        <x:f>J1359*1.02</x:f>
        <x:v>2.81055724137931</x:v>
      </x:c>
      <x:c r="G1359" s="4" t="n">
        <x:v>15.6</x:v>
      </x:c>
      <x:c r="H1359" s="4" t="n">
        <x:v>103.34</x:v>
      </x:c>
      <x:c r="I1359" s="5" t="n">
        <x:f t="shared" si="21">F1359*1000*H1359</x:f>
        <x:v>290442.9853241379</x:v>
      </x:c>
      <x:c r="J1359" t="n">
        <x:v>2.7554482758620686</x:v>
      </x:c>
    </x:row>
    <x:row r="1360">
      <x:c r="A1360" s="3" t="n">
        <x:v>2023</x:v>
      </x:c>
      <x:c r="B1360" s="2" t="str">
        <x:v>Septiembre</x:v>
      </x:c>
      <x:c r="C1360" s="2" t="str">
        <x:v>RE-009891-3</x:v>
      </x:c>
      <x:c r="D1360" s="2" t="str">
        <x:v>P.E. BIDUEIROS 1ª FASE</x:v>
      </x:c>
      <x:c r="E1360" s="4" t="n">
        <x:v>2.803448275862069</x:v>
      </x:c>
      <x:c r="F1360" s="4" t="n">
        <x:f>J1360*1.02</x:f>
        <x:v>2.8105572413793105</x:v>
      </x:c>
      <x:c r="G1360" s="4" t="n">
        <x:v>15.6</x:v>
      </x:c>
      <x:c r="H1360" s="4" t="n">
        <x:v>103.34</x:v>
      </x:c>
      <x:c r="I1360" s="5" t="n">
        <x:f t="shared" si="21">F1360*1000*H1360</x:f>
        <x:v>290442.98532413796</x:v>
      </x:c>
      <x:c r="J1360" t="n">
        <x:v>2.755448275862069</x:v>
      </x:c>
    </x:row>
    <x:row r="1361">
      <x:c r="A1361" s="3" t="n">
        <x:v>2023</x:v>
      </x:c>
      <x:c r="B1361" s="2" t="str">
        <x:v>Octubre</x:v>
      </x:c>
      <x:c r="C1361" s="2" t="str">
        <x:v>RE-009891-1</x:v>
      </x:c>
      <x:c r="D1361" s="2" t="str">
        <x:v>P.E. BIDUEIROS 1ª FASE</x:v>
      </x:c>
      <x:c r="E1361" s="4" t="n">
        <x:v>1.4710344827586206</x:v>
      </x:c>
      <x:c r="F1361" s="4" t="n">
        <x:f>J1361*0.98</x:f>
        <x:v>1.4176206896551726</x:v>
      </x:c>
      <x:c r="G1361" s="4" t="n">
        <x:v>6.5</x:v>
      </x:c>
      <x:c r="H1361" s="4" t="n">
        <x:v>90.14</x:v>
      </x:c>
      <x:c r="I1361" s="5" t="n">
        <x:f t="shared" si="21">F1361*1000*H1361</x:f>
        <x:v>127784.32896551726</x:v>
      </x:c>
      <x:c r="J1361" t="n">
        <x:v>1.4465517241379313</x:v>
      </x:c>
    </x:row>
    <x:row r="1362">
      <x:c r="A1362" s="3" t="n">
        <x:v>2023</x:v>
      </x:c>
      <x:c r="B1362" s="2" t="str">
        <x:v>Octubre</x:v>
      </x:c>
      <x:c r="C1362" s="2" t="str">
        <x:v>RE-009891-2</x:v>
      </x:c>
      <x:c r="D1362" s="2" t="str">
        <x:v>P.E. BIDUEIROS 1ª FASE</x:v>
      </x:c>
      <x:c r="E1362" s="4" t="n">
        <x:v>3.53048275862069</x:v>
      </x:c>
      <x:c r="F1362" s="4" t="n">
        <x:f>J1362*0.98</x:f>
        <x:v>3.402289655172414</x:v>
      </x:c>
      <x:c r="G1362" s="4" t="n">
        <x:v>15.6</x:v>
      </x:c>
      <x:c r="H1362" s="4" t="n">
        <x:v>90.14</x:v>
      </x:c>
      <x:c r="I1362" s="5" t="n">
        <x:f t="shared" si="21">F1362*1000*H1362</x:f>
        <x:v>306682.38951724145</x:v>
      </x:c>
      <x:c r="J1362" t="n">
        <x:v>3.471724137931035</x:v>
      </x:c>
    </x:row>
    <x:row r="1363">
      <x:c r="A1363" s="3" t="n">
        <x:v>2023</x:v>
      </x:c>
      <x:c r="B1363" s="2" t="str">
        <x:v>Octubre</x:v>
      </x:c>
      <x:c r="C1363" s="2" t="str">
        <x:v>RE-009891-3</x:v>
      </x:c>
      <x:c r="D1363" s="2" t="str">
        <x:v>P.E. BIDUEIROS 1ª FASE</x:v>
      </x:c>
      <x:c r="E1363" s="4" t="n">
        <x:v>3.530482758620689</x:v>
      </x:c>
      <x:c r="F1363" s="4" t="n">
        <x:f>J1363*0.98</x:f>
        <x:v>3.402289655172413</x:v>
      </x:c>
      <x:c r="G1363" s="4" t="n">
        <x:v>15.6</x:v>
      </x:c>
      <x:c r="H1363" s="4" t="n">
        <x:v>90.14</x:v>
      </x:c>
      <x:c r="I1363" s="5" t="n">
        <x:f t="shared" si="21">F1363*1000*H1363</x:f>
        <x:v>306682.38951724133</x:v>
      </x:c>
      <x:c r="J1363" t="n">
        <x:v>3.4717241379310337</x:v>
      </x:c>
    </x:row>
    <x:row r="1364">
      <x:c r="A1364" s="3" t="n">
        <x:v>2023</x:v>
      </x:c>
      <x:c r="B1364" s="2" t="str">
        <x:v>Noviembre</x:v>
      </x:c>
      <x:c r="C1364" s="2" t="str">
        <x:v>RE-009891-1</x:v>
      </x:c>
      <x:c r="D1364" s="2" t="str">
        <x:v>P.E. BIDUEIROS 1ª FASE</x:v>
      </x:c>
      <x:c r="E1364" s="4" t="n">
        <x:v>1.803448275862069</x:v>
      </x:c>
      <x:c r="F1364" s="4" t="n">
        <x:f>J1364*0.94</x:f>
        <x:v>1.6543999999999999</x:v>
      </x:c>
      <x:c r="G1364" s="4" t="n">
        <x:v>6.5</x:v>
      </x:c>
      <x:c r="H1364" s="4" t="n">
        <x:v>63.45</x:v>
      </x:c>
      <x:c r="I1364" s="5" t="n">
        <x:f t="shared" si="21">F1364*1000*H1364</x:f>
        <x:v>104971.68</x:v>
      </x:c>
      <x:c r="J1364" t="n">
        <x:v>1.76</x:v>
      </x:c>
    </x:row>
    <x:row r="1365">
      <x:c r="A1365" s="3" t="n">
        <x:v>2023</x:v>
      </x:c>
      <x:c r="B1365" s="2" t="str">
        <x:v>Noviembre</x:v>
      </x:c>
      <x:c r="C1365" s="2" t="str">
        <x:v>RE-009891-2</x:v>
      </x:c>
      <x:c r="D1365" s="2" t="str">
        <x:v>P.E. BIDUEIROS 1ª FASE</x:v>
      </x:c>
      <x:c r="E1365" s="4" t="n">
        <x:v>4.328275862068965</x:v>
      </x:c>
      <x:c r="F1365" s="4" t="n">
        <x:f>J1365*0.94</x:f>
        <x:v>3.970559999999999</x:v>
      </x:c>
      <x:c r="G1365" s="4" t="n">
        <x:v>15.6</x:v>
      </x:c>
      <x:c r="H1365" s="4" t="n">
        <x:v>63.45</x:v>
      </x:c>
      <x:c r="I1365" s="5" t="n">
        <x:f t="shared" si="21">F1365*1000*H1365</x:f>
        <x:v>251932.03199999995</x:v>
      </x:c>
      <x:c r="J1365" t="n">
        <x:v>4.223999999999999</x:v>
      </x:c>
    </x:row>
    <x:row r="1366">
      <x:c r="A1366" s="3" t="n">
        <x:v>2023</x:v>
      </x:c>
      <x:c r="B1366" s="2" t="str">
        <x:v>Noviembre</x:v>
      </x:c>
      <x:c r="C1366" s="2" t="str">
        <x:v>RE-009891-3</x:v>
      </x:c>
      <x:c r="D1366" s="2" t="str">
        <x:v>P.E. BIDUEIROS 1ª FASE</x:v>
      </x:c>
      <x:c r="E1366" s="4" t="n">
        <x:v>4.328275862068967</x:v>
      </x:c>
      <x:c r="F1366" s="4" t="n">
        <x:f>J1366*0.94</x:f>
        <x:v>3.9705600000000008</x:v>
      </x:c>
      <x:c r="G1366" s="4" t="n">
        <x:v>15.6</x:v>
      </x:c>
      <x:c r="H1366" s="4" t="n">
        <x:v>63.45</x:v>
      </x:c>
      <x:c r="I1366" s="5" t="n">
        <x:f t="shared" si="21">F1366*1000*H1366</x:f>
        <x:v>251932.03200000006</x:v>
      </x:c>
      <x:c r="J1366" t="n">
        <x:v>4.224000000000001</x:v>
      </x:c>
    </x:row>
    <x:row r="1367">
      <x:c r="A1367" s="3" t="n">
        <x:v>2023</x:v>
      </x:c>
      <x:c r="B1367" s="2" t="str">
        <x:v>Diciembre</x:v>
      </x:c>
      <x:c r="C1367" s="2" t="str">
        <x:v>RE-009891-1</x:v>
      </x:c>
      <x:c r="D1367" s="2" t="str">
        <x:v>P.E. BIDUEIROS 1ª FASE</x:v>
      </x:c>
      <x:c r="E1367" s="4" t="n">
        <x:v>1.9691379310344828</x:v>
      </x:c>
      <x:c r="F1367" s="4" t="n">
        <x:f>J1367*1.01</x:f>
        <x:v>1.9534793103448276</x:v>
      </x:c>
      <x:c r="G1367" s="4" t="n">
        <x:v>6.5</x:v>
      </x:c>
      <x:c r="H1367" s="4" t="n">
        <x:v>72.17</x:v>
      </x:c>
      <x:c r="I1367" s="5" t="n">
        <x:f t="shared" si="21">F1367*1000*H1367</x:f>
        <x:v>140982.60182758622</x:v>
      </x:c>
      <x:c r="J1367" t="n">
        <x:v>1.9341379310344828</x:v>
      </x:c>
    </x:row>
    <x:row r="1368">
      <x:c r="A1368" s="3" t="n">
        <x:v>2023</x:v>
      </x:c>
      <x:c r="B1368" s="2" t="str">
        <x:v>Diciembre</x:v>
      </x:c>
      <x:c r="C1368" s="2" t="str">
        <x:v>RE-009891-2</x:v>
      </x:c>
      <x:c r="D1368" s="2" t="str">
        <x:v>P.E. BIDUEIROS 1ª FASE</x:v>
      </x:c>
      <x:c r="E1368" s="4" t="n">
        <x:v>4.725931034482758</x:v>
      </x:c>
      <x:c r="F1368" s="4" t="n">
        <x:f>J1368*1.01</x:f>
        <x:v>4.688350344827586</x:v>
      </x:c>
      <x:c r="G1368" s="4" t="n">
        <x:v>15.6</x:v>
      </x:c>
      <x:c r="H1368" s="4" t="n">
        <x:v>72.17</x:v>
      </x:c>
      <x:c r="I1368" s="5" t="n">
        <x:f t="shared" si="21">F1368*1000*H1368</x:f>
        <x:v>338358.2443862069</x:v>
      </x:c>
      <x:c r="J1368" t="n">
        <x:v>4.6419310344827585</x:v>
      </x:c>
    </x:row>
    <x:row r="1369">
      <x:c r="A1369" s="3" t="n">
        <x:v>2023</x:v>
      </x:c>
      <x:c r="B1369" s="2" t="str">
        <x:v>Diciembre</x:v>
      </x:c>
      <x:c r="C1369" s="2" t="str">
        <x:v>RE-009891-3</x:v>
      </x:c>
      <x:c r="D1369" s="2" t="str">
        <x:v>P.E. BIDUEIROS 1ª FASE</x:v>
      </x:c>
      <x:c r="E1369" s="4" t="n">
        <x:v>4.725931034482759</x:v>
      </x:c>
      <x:c r="F1369" s="4" t="n">
        <x:f>J1369*1.01</x:f>
        <x:v>4.688350344827586</x:v>
      </x:c>
      <x:c r="G1369" s="4" t="n">
        <x:v>15.6</x:v>
      </x:c>
      <x:c r="H1369" s="4" t="n">
        <x:v>72.17</x:v>
      </x:c>
      <x:c r="I1369" s="5" t="n">
        <x:f t="shared" si="21">F1369*1000*H1369</x:f>
        <x:v>338358.2443862069</x:v>
      </x:c>
      <x:c r="J1369" t="n">
        <x:v>4.6419310344827585</x:v>
      </x:c>
    </x:row>
    <x:row r="1370">
      <x:c r="A1370" s="3" t="n">
        <x:v>2023</x:v>
      </x:c>
      <x:c r="B1370" s="2" t="str">
        <x:v>Enero</x:v>
      </x:c>
      <x:c r="C1370" s="2" t="str">
        <x:v>RE-011250-1</x:v>
      </x:c>
      <x:c r="D1370" s="2" t="str">
        <x:v>P.E. PENA VENTOSA</x:v>
      </x:c>
      <x:c r="E1370" s="4" t="n">
        <x:v>13.698</x:v>
      </x:c>
      <x:c r="F1370" s="4" t="n">
        <x:f>J1370*0.97</x:f>
        <x:v>12.888390000000001</x:v>
      </x:c>
      <x:c r="G1370" s="4" t="n">
        <x:v>44.8</x:v>
      </x:c>
      <x:c r="H1370" s="4" t="n">
        <x:v>69.55</x:v>
      </x:c>
      <x:c r="I1370" s="5" t="n">
        <x:f t="shared" si="21">F1370*1000*H1370</x:f>
        <x:v>896387.5245</x:v>
      </x:c>
      <x:c r="J1370" t="n">
        <x:v>13.287</x:v>
      </x:c>
    </x:row>
    <x:row r="1371">
      <x:c r="A1371" s="3" t="n">
        <x:v>2023</x:v>
      </x:c>
      <x:c r="B1371" s="2" t="str">
        <x:v>Febrero</x:v>
      </x:c>
      <x:c r="C1371" s="2" t="str">
        <x:v>RE-011250-1</x:v>
      </x:c>
      <x:c r="D1371" s="2" t="str">
        <x:v>P.E. PENA VENTOSA</x:v>
      </x:c>
      <x:c r="E1371" s="4" t="n">
        <x:v>10.309</x:v>
      </x:c>
      <x:c r="F1371" s="4" t="n">
        <x:f>J1371*1.04</x:f>
        <x:v>10.49048</x:v>
      </x:c>
      <x:c r="G1371" s="4" t="n">
        <x:v>44.8</x:v>
      </x:c>
      <x:c r="H1371" s="4" t="n">
        <x:v>133.47</x:v>
      </x:c>
      <x:c r="I1371" s="5" t="n">
        <x:f t="shared" si="21">F1371*1000*H1371</x:f>
        <x:v>1400164.3656</x:v>
      </x:c>
      <x:c r="J1371" t="n">
        <x:v>10.087</x:v>
      </x:c>
    </x:row>
    <x:row r="1372">
      <x:c r="A1372" s="3" t="n">
        <x:v>2023</x:v>
      </x:c>
      <x:c r="B1372" s="2" t="str">
        <x:v>Marzo</x:v>
      </x:c>
      <x:c r="C1372" s="2" t="str">
        <x:v>RE-011250-1</x:v>
      </x:c>
      <x:c r="D1372" s="2" t="str">
        <x:v>P.E. PENA VENTOSA</x:v>
      </x:c>
      <x:c r="E1372" s="4" t="n">
        <x:v>11.781</x:v>
      </x:c>
      <x:c r="F1372" s="4" t="n">
        <x:f>J1372*1</x:f>
        <x:v>11.535</x:v>
      </x:c>
      <x:c r="G1372" s="4" t="n">
        <x:v>44.8</x:v>
      </x:c>
      <x:c r="H1372" s="4" t="n">
        <x:v>89.61</x:v>
      </x:c>
      <x:c r="I1372" s="5" t="n">
        <x:f t="shared" si="21">F1372*1000*H1372</x:f>
        <x:v>1033651.35</x:v>
      </x:c>
      <x:c r="J1372" t="n">
        <x:v>11.535</x:v>
      </x:c>
    </x:row>
    <x:row r="1373">
      <x:c r="A1373" s="3" t="n">
        <x:v>2023</x:v>
      </x:c>
      <x:c r="B1373" s="2" t="str">
        <x:v>Abril</x:v>
      </x:c>
      <x:c r="C1373" s="2" t="str">
        <x:v>RE-011250-1</x:v>
      </x:c>
      <x:c r="D1373" s="2" t="str">
        <x:v>P.E. PENA VENTOSA</x:v>
      </x:c>
      <x:c r="E1373" s="4" t="n">
        <x:v>9.325</x:v>
      </x:c>
      <x:c r="F1373" s="4" t="n">
        <x:f>J1373*0.96</x:f>
        <x:v>8.718720000000001</x:v>
      </x:c>
      <x:c r="G1373" s="4" t="n">
        <x:v>44.8</x:v>
      </x:c>
      <x:c r="H1373" s="4" t="n">
        <x:v>73.73</x:v>
      </x:c>
      <x:c r="I1373" s="5" t="n">
        <x:f t="shared" si="21">F1373*1000*H1373</x:f>
        <x:v>642831.2256000001</x:v>
      </x:c>
      <x:c r="J1373" t="n">
        <x:v>9.082</x:v>
      </x:c>
    </x:row>
    <x:row r="1374">
      <x:c r="A1374" s="3" t="n">
        <x:v>2023</x:v>
      </x:c>
      <x:c r="B1374" s="2" t="str">
        <x:v>Mayo</x:v>
      </x:c>
      <x:c r="C1374" s="2" t="str">
        <x:v>RE-011250-1</x:v>
      </x:c>
      <x:c r="D1374" s="2" t="str">
        <x:v>P.E. PENA VENTOSA</x:v>
      </x:c>
      <x:c r="E1374" s="4" t="n">
        <x:v>7.275</x:v>
      </x:c>
      <x:c r="F1374" s="4" t="n">
        <x:f>J1374*1.03</x:f>
        <x:v>7.3645000000000005</x:v>
      </x:c>
      <x:c r="G1374" s="4" t="n">
        <x:v>44.8</x:v>
      </x:c>
      <x:c r="H1374" s="4" t="n">
        <x:v>74.21</x:v>
      </x:c>
      <x:c r="I1374" s="5" t="n">
        <x:f t="shared" si="21">F1374*1000*H1374</x:f>
        <x:v>546519.545</x:v>
      </x:c>
      <x:c r="J1374" t="n">
        <x:v>7.15</x:v>
      </x:c>
    </x:row>
    <x:row r="1375">
      <x:c r="A1375" s="3" t="n">
        <x:v>2023</x:v>
      </x:c>
      <x:c r="B1375" s="2" t="str">
        <x:v>Junio</x:v>
      </x:c>
      <x:c r="C1375" s="2" t="str">
        <x:v>RE-011250-1</x:v>
      </x:c>
      <x:c r="D1375" s="2" t="str">
        <x:v>P.E. PENA VENTOSA</x:v>
      </x:c>
      <x:c r="E1375" s="4" t="n">
        <x:v>7.542</x:v>
      </x:c>
      <x:c r="F1375" s="4" t="n">
        <x:f>J1375*0.99</x:f>
        <x:v>7.3269899999999994</x:v>
      </x:c>
      <x:c r="G1375" s="4" t="n">
        <x:v>44.8</x:v>
      </x:c>
      <x:c r="H1375" s="4" t="n">
        <x:v>93.02</x:v>
      </x:c>
      <x:c r="I1375" s="5" t="n">
        <x:f t="shared" si="21">F1375*1000*H1375</x:f>
        <x:v>681556.6098</x:v>
      </x:c>
      <x:c r="J1375" t="n">
        <x:v>7.401</x:v>
      </x:c>
    </x:row>
    <x:row r="1376">
      <x:c r="A1376" s="3" t="n">
        <x:v>2023</x:v>
      </x:c>
      <x:c r="B1376" s="2" t="str">
        <x:v>Julio</x:v>
      </x:c>
      <x:c r="C1376" s="2" t="str">
        <x:v>RE-011250-1</x:v>
      </x:c>
      <x:c r="D1376" s="2" t="str">
        <x:v>P.E. PENA VENTOSA</x:v>
      </x:c>
      <x:c r="E1376" s="4" t="n">
        <x:v>5.707</x:v>
      </x:c>
      <x:c r="F1376" s="4" t="n">
        <x:f>J1376*0.95</x:f>
        <x:v>5.323799999999999</x:v>
      </x:c>
      <x:c r="G1376" s="4" t="n">
        <x:v>44.8</x:v>
      </x:c>
      <x:c r="H1376" s="4" t="n">
        <x:v>90.47</x:v>
      </x:c>
      <x:c r="I1376" s="5" t="n">
        <x:f t="shared" si="21">F1376*1000*H1376</x:f>
        <x:v>481644.1859999999</x:v>
      </x:c>
      <x:c r="J1376" t="n">
        <x:v>5.604</x:v>
      </x:c>
    </x:row>
    <x:row r="1377">
      <x:c r="A1377" s="3" t="n">
        <x:v>2023</x:v>
      </x:c>
      <x:c r="B1377" s="2" t="str">
        <x:v>Agosto</x:v>
      </x:c>
      <x:c r="C1377" s="2" t="str">
        <x:v>RE-011250-1</x:v>
      </x:c>
      <x:c r="D1377" s="2" t="str">
        <x:v>P.E. PENA VENTOSA</x:v>
      </x:c>
      <x:c r="E1377" s="4" t="n">
        <x:v>6.3</x:v>
      </x:c>
      <x:c r="F1377" s="4" t="n">
        <x:f>J1377*1.02</x:f>
        <x:v>6.27708</x:v>
      </x:c>
      <x:c r="G1377" s="4" t="n">
        <x:v>44.8</x:v>
      </x:c>
      <x:c r="H1377" s="4" t="n">
        <x:v>96.05</x:v>
      </x:c>
      <x:c r="I1377" s="5" t="n">
        <x:f t="shared" si="21">F1377*1000*H1377</x:f>
        <x:v>602913.534</x:v>
      </x:c>
      <x:c r="J1377" t="n">
        <x:v>6.154</x:v>
      </x:c>
    </x:row>
    <x:row r="1378">
      <x:c r="A1378" s="3" t="n">
        <x:v>2023</x:v>
      </x:c>
      <x:c r="B1378" s="2" t="str">
        <x:v>Septiembre</x:v>
      </x:c>
      <x:c r="C1378" s="2" t="str">
        <x:v>RE-011250-1</x:v>
      </x:c>
      <x:c r="D1378" s="2" t="str">
        <x:v>P.E. PENA VENTOSA</x:v>
      </x:c>
      <x:c r="E1378" s="4" t="n">
        <x:v>8.623</x:v>
      </x:c>
      <x:c r="F1378" s="4" t="n">
        <x:f>J1378*0.98</x:f>
        <x:v>8.324119999999999</x:v>
      </x:c>
      <x:c r="G1378" s="4" t="n">
        <x:v>44.8</x:v>
      </x:c>
      <x:c r="H1378" s="4" t="n">
        <x:v>103.34</x:v>
      </x:c>
      <x:c r="I1378" s="5" t="n">
        <x:f t="shared" si="21">F1378*1000*H1378</x:f>
        <x:v>860214.5608</x:v>
      </x:c>
      <x:c r="J1378" t="n">
        <x:v>8.494</x:v>
      </x:c>
    </x:row>
    <x:row r="1379">
      <x:c r="A1379" s="3" t="n">
        <x:v>2023</x:v>
      </x:c>
      <x:c r="B1379" s="2" t="str">
        <x:v>Octubre</x:v>
      </x:c>
      <x:c r="C1379" s="2" t="str">
        <x:v>RE-011250-1</x:v>
      </x:c>
      <x:c r="D1379" s="2" t="str">
        <x:v>P.E. PENA VENTOSA</x:v>
      </x:c>
      <x:c r="E1379" s="4" t="n">
        <x:v>10.809</x:v>
      </x:c>
      <x:c r="F1379" s="4" t="n">
        <x:f>J1379*0.94</x:f>
        <x:v>9.86718</x:v>
      </x:c>
      <x:c r="G1379" s="4" t="n">
        <x:v>44.8</x:v>
      </x:c>
      <x:c r="H1379" s="4" t="n">
        <x:v>90.14</x:v>
      </x:c>
      <x:c r="I1379" s="5" t="n">
        <x:f t="shared" si="21">F1379*1000*H1379</x:f>
        <x:v>889427.6052</x:v>
      </x:c>
      <x:c r="J1379" t="n">
        <x:v>10.497</x:v>
      </x:c>
    </x:row>
    <x:row r="1380">
      <x:c r="A1380" s="3" t="n">
        <x:v>2023</x:v>
      </x:c>
      <x:c r="B1380" s="2" t="str">
        <x:v>Noviembre</x:v>
      </x:c>
      <x:c r="C1380" s="2" t="str">
        <x:v>RE-011250-1</x:v>
      </x:c>
      <x:c r="D1380" s="2" t="str">
        <x:v>P.E. PENA VENTOSA</x:v>
      </x:c>
      <x:c r="E1380" s="4" t="n">
        <x:v>12.575</x:v>
      </x:c>
      <x:c r="F1380" s="4" t="n">
        <x:f>J1380*1.01</x:f>
        <x:v>12.38361</x:v>
      </x:c>
      <x:c r="G1380" s="4" t="n">
        <x:v>44.8</x:v>
      </x:c>
      <x:c r="H1380" s="4" t="n">
        <x:v>63.45</x:v>
      </x:c>
      <x:c r="I1380" s="5" t="n">
        <x:f t="shared" si="21">F1380*1000*H1380</x:f>
        <x:v>785740.0545</x:v>
      </x:c>
      <x:c r="J1380" t="n">
        <x:v>12.261</x:v>
      </x:c>
    </x:row>
    <x:row r="1381">
      <x:c r="A1381" s="3" t="n">
        <x:v>2023</x:v>
      </x:c>
      <x:c r="B1381" s="2" t="str">
        <x:v>Diciembre</x:v>
      </x:c>
      <x:c r="C1381" s="2" t="str">
        <x:v>RE-011250-1</x:v>
      </x:c>
      <x:c r="D1381" s="2" t="str">
        <x:v>P.E. PENA VENTOSA</x:v>
      </x:c>
      <x:c r="E1381" s="4" t="n">
        <x:v>14.32</x:v>
      </x:c>
      <x:c r="F1381" s="4" t="n">
        <x:f>J1381*0.97</x:f>
        <x:v>13.62656</x:v>
      </x:c>
      <x:c r="G1381" s="4" t="n">
        <x:v>44.8</x:v>
      </x:c>
      <x:c r="H1381" s="4" t="n">
        <x:v>72.17</x:v>
      </x:c>
      <x:c r="I1381" s="5" t="n">
        <x:f t="shared" si="21">F1381*1000*H1381</x:f>
        <x:v>983428.8352</x:v>
      </x:c>
      <x:c r="J1381" t="n">
        <x:v>14.048</x:v>
      </x:c>
    </x:row>
    <x:row r="1382">
      <x:c r="A1382" s="3" t="n">
        <x:v>2023</x:v>
      </x:c>
      <x:c r="B1382" s="2" t="str">
        <x:v>Enero</x:v>
      </x:c>
      <x:c r="C1382" s="2" t="str">
        <x:v>RE-011335-1</x:v>
      </x:c>
      <x:c r="D1382" s="2" t="str">
        <x:v>P.E. CORUXEIRAS</x:v>
      </x:c>
      <x:c r="E1382" s="4" t="n">
        <x:v>16.081</x:v>
      </x:c>
      <x:c r="F1382" s="4" t="n">
        <x:f>J1382*1.04</x:f>
        <x:v>16.24896</x:v>
      </x:c>
      <x:c r="G1382" s="4" t="n">
        <x:v>49.6</x:v>
      </x:c>
      <x:c r="H1382" s="4" t="n">
        <x:v>69.55</x:v>
      </x:c>
      <x:c r="I1382" s="5" t="n">
        <x:f t="shared" si="21">F1382*1000*H1382</x:f>
        <x:v>1130115.168</x:v>
      </x:c>
      <x:c r="J1382" t="n">
        <x:v>15.624</x:v>
      </x:c>
    </x:row>
    <x:row r="1383">
      <x:c r="A1383" s="3" t="n">
        <x:v>2023</x:v>
      </x:c>
      <x:c r="B1383" s="2" t="str">
        <x:v>Febrero</x:v>
      </x:c>
      <x:c r="C1383" s="2" t="str">
        <x:v>RE-011335-1</x:v>
      </x:c>
      <x:c r="D1383" s="2" t="str">
        <x:v>P.E. CORUXEIRAS</x:v>
      </x:c>
      <x:c r="E1383" s="4" t="n">
        <x:v>11.902</x:v>
      </x:c>
      <x:c r="F1383" s="4" t="n">
        <x:f>J1383*1</x:f>
        <x:v>11.625</x:v>
      </x:c>
      <x:c r="G1383" s="4" t="n">
        <x:v>49.6</x:v>
      </x:c>
      <x:c r="H1383" s="4" t="n">
        <x:v>133.47</x:v>
      </x:c>
      <x:c r="I1383" s="5" t="n">
        <x:f t="shared" si="21">F1383*1000*H1383</x:f>
        <x:v>1551588.75</x:v>
      </x:c>
      <x:c r="J1383" t="n">
        <x:v>11.625</x:v>
      </x:c>
    </x:row>
    <x:row r="1384">
      <x:c r="A1384" s="3" t="n">
        <x:v>2023</x:v>
      </x:c>
      <x:c r="B1384" s="2" t="str">
        <x:v>Marzo</x:v>
      </x:c>
      <x:c r="C1384" s="2" t="str">
        <x:v>RE-011335-1</x:v>
      </x:c>
      <x:c r="D1384" s="2" t="str">
        <x:v>P.E. CORUXEIRAS</x:v>
      </x:c>
      <x:c r="E1384" s="4" t="n">
        <x:v>13.278</x:v>
      </x:c>
      <x:c r="F1384" s="4" t="n">
        <x:f>J1384*0.96</x:f>
        <x:v>12.43872</x:v>
      </x:c>
      <x:c r="G1384" s="4" t="n">
        <x:v>49.6</x:v>
      </x:c>
      <x:c r="H1384" s="4" t="n">
        <x:v>89.61</x:v>
      </x:c>
      <x:c r="I1384" s="5" t="n">
        <x:f t="shared" si="21">F1384*1000*H1384</x:f>
        <x:v>1114633.6992</x:v>
      </x:c>
      <x:c r="J1384" t="n">
        <x:v>12.957</x:v>
      </x:c>
    </x:row>
    <x:row r="1385">
      <x:c r="A1385" s="3" t="n">
        <x:v>2023</x:v>
      </x:c>
      <x:c r="B1385" s="2" t="str">
        <x:v>Abril</x:v>
      </x:c>
      <x:c r="C1385" s="2" t="str">
        <x:v>RE-011335-1</x:v>
      </x:c>
      <x:c r="D1385" s="2" t="str">
        <x:v>P.E. CORUXEIRAS</x:v>
      </x:c>
      <x:c r="E1385" s="4" t="n">
        <x:v>11.291</x:v>
      </x:c>
      <x:c r="F1385" s="4" t="n">
        <x:f>J1385*1.03</x:f>
        <x:v>11.45566</x:v>
      </x:c>
      <x:c r="G1385" s="4" t="n">
        <x:v>49.6</x:v>
      </x:c>
      <x:c r="H1385" s="4" t="n">
        <x:v>73.73</x:v>
      </x:c>
      <x:c r="I1385" s="5" t="n">
        <x:f t="shared" si="21">F1385*1000*H1385</x:f>
        <x:v>844625.8118</x:v>
      </x:c>
      <x:c r="J1385" t="n">
        <x:v>11.122</x:v>
      </x:c>
    </x:row>
    <x:row r="1386">
      <x:c r="A1386" s="3" t="n">
        <x:v>2023</x:v>
      </x:c>
      <x:c r="B1386" s="2" t="str">
        <x:v>Mayo</x:v>
      </x:c>
      <x:c r="C1386" s="2" t="str">
        <x:v>RE-011335-1</x:v>
      </x:c>
      <x:c r="D1386" s="2" t="str">
        <x:v>P.E. CORUXEIRAS</x:v>
      </x:c>
      <x:c r="E1386" s="4" t="n">
        <x:v>9.336</x:v>
      </x:c>
      <x:c r="F1386" s="4" t="n">
        <x:f>J1386*0.99</x:f>
        <x:v>8.95059</x:v>
      </x:c>
      <x:c r="G1386" s="4" t="n">
        <x:v>49.6</x:v>
      </x:c>
      <x:c r="H1386" s="4" t="n">
        <x:v>74.21</x:v>
      </x:c>
      <x:c r="I1386" s="5" t="n">
        <x:f t="shared" si="21">F1386*1000*H1386</x:f>
        <x:v>664223.2838999999</x:v>
      </x:c>
      <x:c r="J1386" t="n">
        <x:v>9.041</x:v>
      </x:c>
    </x:row>
    <x:row r="1387">
      <x:c r="A1387" s="3" t="n">
        <x:v>2023</x:v>
      </x:c>
      <x:c r="B1387" s="2" t="str">
        <x:v>Junio</x:v>
      </x:c>
      <x:c r="C1387" s="2" t="str">
        <x:v>RE-011335-1</x:v>
      </x:c>
      <x:c r="D1387" s="2" t="str">
        <x:v>P.E. CORUXEIRAS</x:v>
      </x:c>
      <x:c r="E1387" s="4" t="n">
        <x:v>7.425</x:v>
      </x:c>
      <x:c r="F1387" s="4" t="n">
        <x:f>J1387*0.95</x:f>
        <x:v>6.891299999999999</x:v>
      </x:c>
      <x:c r="G1387" s="4" t="n">
        <x:v>49.6</x:v>
      </x:c>
      <x:c r="H1387" s="4" t="n">
        <x:v>93.02</x:v>
      </x:c>
      <x:c r="I1387" s="5" t="n">
        <x:f t="shared" si="21">F1387*1000*H1387</x:f>
        <x:v>641028.7259999999</x:v>
      </x:c>
      <x:c r="J1387" t="n">
        <x:v>7.254</x:v>
      </x:c>
    </x:row>
    <x:row r="1388">
      <x:c r="A1388" s="3" t="n">
        <x:v>2023</x:v>
      </x:c>
      <x:c r="B1388" s="2" t="str">
        <x:v>Julio</x:v>
      </x:c>
      <x:c r="C1388" s="2" t="str">
        <x:v>RE-011335-1</x:v>
      </x:c>
      <x:c r="D1388" s="2" t="str">
        <x:v>P.E. CORUXEIRAS</x:v>
      </x:c>
      <x:c r="E1388" s="4" t="n">
        <x:v>7.973</x:v>
      </x:c>
      <x:c r="F1388" s="4" t="n">
        <x:f>J1388*1.02</x:f>
        <x:v>7.99782</x:v>
      </x:c>
      <x:c r="G1388" s="4" t="n">
        <x:v>49.6</x:v>
      </x:c>
      <x:c r="H1388" s="4" t="n">
        <x:v>90.47</x:v>
      </x:c>
      <x:c r="I1388" s="5" t="n">
        <x:f t="shared" si="21">F1388*1000*H1388</x:f>
        <x:v>723562.7753999999</x:v>
      </x:c>
      <x:c r="J1388" t="n">
        <x:v>7.841</x:v>
      </x:c>
    </x:row>
    <x:row r="1389">
      <x:c r="A1389" s="3" t="n">
        <x:v>2023</x:v>
      </x:c>
      <x:c r="B1389" s="2" t="str">
        <x:v>Agosto</x:v>
      </x:c>
      <x:c r="C1389" s="2" t="str">
        <x:v>RE-011335-1</x:v>
      </x:c>
      <x:c r="D1389" s="2" t="str">
        <x:v>P.E. CORUXEIRAS</x:v>
      </x:c>
      <x:c r="E1389" s="4" t="n">
        <x:v>8.33</x:v>
      </x:c>
      <x:c r="F1389" s="4" t="n">
        <x:f>J1389*0.98</x:f>
        <x:v>7.95564</x:v>
      </x:c>
      <x:c r="G1389" s="4" t="n">
        <x:v>49.6</x:v>
      </x:c>
      <x:c r="H1389" s="4" t="n">
        <x:v>96.05</x:v>
      </x:c>
      <x:c r="I1389" s="5" t="n">
        <x:f t="shared" si="21">F1389*1000*H1389</x:f>
        <x:v>764139.222</x:v>
      </x:c>
      <x:c r="J1389" t="n">
        <x:v>8.118</x:v>
      </x:c>
    </x:row>
    <x:row r="1390">
      <x:c r="A1390" s="3" t="n">
        <x:v>2023</x:v>
      </x:c>
      <x:c r="B1390" s="2" t="str">
        <x:v>Septiembre</x:v>
      </x:c>
      <x:c r="C1390" s="2" t="str">
        <x:v>RE-011335-1</x:v>
      </x:c>
      <x:c r="D1390" s="2" t="str">
        <x:v>P.E. CORUXEIRAS</x:v>
      </x:c>
      <x:c r="E1390" s="4" t="n">
        <x:v>10.682</x:v>
      </x:c>
      <x:c r="F1390" s="4" t="n">
        <x:f>J1390*0.94</x:f>
        <x:v>9.83992</x:v>
      </x:c>
      <x:c r="G1390" s="4" t="n">
        <x:v>49.6</x:v>
      </x:c>
      <x:c r="H1390" s="4" t="n">
        <x:v>103.34</x:v>
      </x:c>
      <x:c r="I1390" s="5" t="n">
        <x:f t="shared" si="21">F1390*1000*H1390</x:f>
        <x:v>1016857.3328000001</x:v>
      </x:c>
      <x:c r="J1390" t="n">
        <x:v>10.468</x:v>
      </x:c>
    </x:row>
    <x:row r="1391">
      <x:c r="A1391" s="3" t="n">
        <x:v>2023</x:v>
      </x:c>
      <x:c r="B1391" s="2" t="str">
        <x:v>Octubre</x:v>
      </x:c>
      <x:c r="C1391" s="2" t="str">
        <x:v>RE-011335-1</x:v>
      </x:c>
      <x:c r="D1391" s="2" t="str">
        <x:v>P.E. CORUXEIRAS</x:v>
      </x:c>
      <x:c r="E1391" s="4" t="n">
        <x:v>12.587</x:v>
      </x:c>
      <x:c r="F1391" s="4" t="n">
        <x:f>J1391*1.01</x:f>
        <x:v>12.43108</x:v>
      </x:c>
      <x:c r="G1391" s="4" t="n">
        <x:v>49.6</x:v>
      </x:c>
      <x:c r="H1391" s="4" t="n">
        <x:v>90.14</x:v>
      </x:c>
      <x:c r="I1391" s="5" t="n">
        <x:f t="shared" si="21">F1391*1000*H1391</x:f>
        <x:v>1120537.5512</x:v>
      </x:c>
      <x:c r="J1391" t="n">
        <x:v>12.308</x:v>
      </x:c>
    </x:row>
    <x:row r="1392">
      <x:c r="A1392" s="3" t="n">
        <x:v>2023</x:v>
      </x:c>
      <x:c r="B1392" s="2" t="str">
        <x:v>Noviembre</x:v>
      </x:c>
      <x:c r="C1392" s="2" t="str">
        <x:v>RE-011335-1</x:v>
      </x:c>
      <x:c r="D1392" s="2" t="str">
        <x:v>P.E. CORUXEIRAS</x:v>
      </x:c>
      <x:c r="E1392" s="4" t="n">
        <x:v>15.36</x:v>
      </x:c>
      <x:c r="F1392" s="4" t="n">
        <x:f>J1392*0.97</x:f>
        <x:v>14.67319</x:v>
      </x:c>
      <x:c r="G1392" s="4" t="n">
        <x:v>49.6</x:v>
      </x:c>
      <x:c r="H1392" s="4" t="n">
        <x:v>63.45</x:v>
      </x:c>
      <x:c r="I1392" s="5" t="n">
        <x:f t="shared" si="21">F1392*1000*H1392</x:f>
        <x:v>931013.9055000001</x:v>
      </x:c>
      <x:c r="J1392" t="n">
        <x:v>15.127</x:v>
      </x:c>
    </x:row>
    <x:row r="1393">
      <x:c r="A1393" s="3" t="n">
        <x:v>2023</x:v>
      </x:c>
      <x:c r="B1393" s="2" t="str">
        <x:v>Diciembre</x:v>
      </x:c>
      <x:c r="C1393" s="2" t="str">
        <x:v>RE-011335-1</x:v>
      </x:c>
      <x:c r="D1393" s="2" t="str">
        <x:v>P.E. CORUXEIRAS</x:v>
      </x:c>
      <x:c r="E1393" s="4" t="n">
        <x:v>17.276</x:v>
      </x:c>
      <x:c r="F1393" s="4" t="n">
        <x:f>J1393*1.04</x:f>
        <x:v>17.620720000000002</x:v>
      </x:c>
      <x:c r="G1393" s="4" t="n">
        <x:v>49.6</x:v>
      </x:c>
      <x:c r="H1393" s="4" t="n">
        <x:v>72.17</x:v>
      </x:c>
      <x:c r="I1393" s="5" t="n">
        <x:f t="shared" si="21">F1393*1000*H1393</x:f>
        <x:v>1271687.3624000002</x:v>
      </x:c>
      <x:c r="J1393" t="n">
        <x:v>16.943</x:v>
      </x:c>
    </x:row>
    <x:row r="1394">
      <x:c r="A1394" s="3" t="n">
        <x:v>2023</x:v>
      </x:c>
      <x:c r="B1394" s="2" t="str">
        <x:v>Enero</x:v>
      </x:c>
      <x:c r="C1394" s="2" t="str">
        <x:v>RE-012089-1</x:v>
      </x:c>
      <x:c r="D1394" s="2" t="str">
        <x:v>P.E. CHAN DO TENON</x:v>
      </x:c>
      <x:c r="E1394" s="4" t="n">
        <x:v>7.223</x:v>
      </x:c>
      <x:c r="F1394" s="4" t="n">
        <x:f>J1394*1</x:f>
        <x:v>7.076</x:v>
      </x:c>
      <x:c r="G1394" s="4" t="n">
        <x:v>22.4</x:v>
      </x:c>
      <x:c r="H1394" s="4" t="n">
        <x:v>69.55</x:v>
      </x:c>
      <x:c r="I1394" s="5" t="n">
        <x:f t="shared" si="21">F1394*1000*H1394</x:f>
        <x:v>492135.8</x:v>
      </x:c>
      <x:c r="J1394" t="n">
        <x:v>7.076</x:v>
      </x:c>
    </x:row>
    <x:row r="1395">
      <x:c r="A1395" s="3" t="n">
        <x:v>2023</x:v>
      </x:c>
      <x:c r="B1395" s="2" t="str">
        <x:v>Enero</x:v>
      </x:c>
      <x:c r="C1395" s="2" t="str">
        <x:v>RE-012089-2</x:v>
      </x:c>
      <x:c r="D1395" s="2" t="str">
        <x:v>P.E. CHAN DO TENON</x:v>
      </x:c>
      <x:c r="E1395" s="4" t="n">
        <x:v>0</x:v>
      </x:c>
      <x:c r="F1395" s="4" t="n">
        <x:f>J1395*1</x:f>
        <x:v>0</x:v>
      </x:c>
      <x:c r="G1395" s="4" t="n">
        <x:v>0</x:v>
      </x:c>
      <x:c r="H1395" s="4" t="n">
        <x:v>69.55</x:v>
      </x:c>
      <x:c r="I1395" s="5" t="n">
        <x:f t="shared" si="21">F1395*1000*H1395</x:f>
        <x:v>0</x:v>
      </x:c>
      <x:c r="J1395" t="n">
        <x:v>0</x:v>
      </x:c>
    </x:row>
    <x:row r="1396">
      <x:c r="A1396" s="3" t="n">
        <x:v>2023</x:v>
      </x:c>
      <x:c r="B1396" s="2" t="str">
        <x:v>Febrero</x:v>
      </x:c>
      <x:c r="C1396" s="2" t="str">
        <x:v>RE-012089-1</x:v>
      </x:c>
      <x:c r="D1396" s="2" t="str">
        <x:v>P.E. CHAN DO TENON</x:v>
      </x:c>
      <x:c r="E1396" s="4" t="n">
        <x:v>4.92</x:v>
      </x:c>
      <x:c r="F1396" s="4" t="n">
        <x:f>J1396*0.96</x:f>
        <x:v>4.60416</x:v>
      </x:c>
      <x:c r="G1396" s="4" t="n">
        <x:v>22.4</x:v>
      </x:c>
      <x:c r="H1396" s="4" t="n">
        <x:v>133.47</x:v>
      </x:c>
      <x:c r="I1396" s="5" t="n">
        <x:f t="shared" si="21">F1396*1000*H1396</x:f>
        <x:v>614517.2352</x:v>
      </x:c>
      <x:c r="J1396" t="n">
        <x:v>4.796</x:v>
      </x:c>
    </x:row>
    <x:row r="1397">
      <x:c r="A1397" s="3" t="n">
        <x:v>2023</x:v>
      </x:c>
      <x:c r="B1397" s="2" t="str">
        <x:v>Febrero</x:v>
      </x:c>
      <x:c r="C1397" s="2" t="str">
        <x:v>RE-012089-2</x:v>
      </x:c>
      <x:c r="D1397" s="2" t="str">
        <x:v>P.E. CHAN DO TENON</x:v>
      </x:c>
      <x:c r="E1397" s="4" t="n">
        <x:v>0</x:v>
      </x:c>
      <x:c r="F1397" s="4" t="n">
        <x:f>J1397*0.96</x:f>
        <x:v>0</x:v>
      </x:c>
      <x:c r="G1397" s="4" t="n">
        <x:v>0</x:v>
      </x:c>
      <x:c r="H1397" s="4" t="n">
        <x:v>133.47</x:v>
      </x:c>
      <x:c r="I1397" s="5" t="n">
        <x:f t="shared" si="21">F1397*1000*H1397</x:f>
        <x:v>0</x:v>
      </x:c>
      <x:c r="J1397" t="n">
        <x:v>0</x:v>
      </x:c>
    </x:row>
    <x:row r="1398">
      <x:c r="A1398" s="3" t="n">
        <x:v>2023</x:v>
      </x:c>
      <x:c r="B1398" s="2" t="str">
        <x:v>Marzo</x:v>
      </x:c>
      <x:c r="C1398" s="2" t="str">
        <x:v>RE-012089-1</x:v>
      </x:c>
      <x:c r="D1398" s="2" t="str">
        <x:v>P.E. CHAN DO TENON</x:v>
      </x:c>
      <x:c r="E1398" s="4" t="n">
        <x:v>6.474</x:v>
      </x:c>
      <x:c r="F1398" s="4" t="n">
        <x:f>J1398*1.03</x:f>
        <x:v>6.50548</x:v>
      </x:c>
      <x:c r="G1398" s="4" t="n">
        <x:v>22.4</x:v>
      </x:c>
      <x:c r="H1398" s="4" t="n">
        <x:v>89.61</x:v>
      </x:c>
      <x:c r="I1398" s="5" t="n">
        <x:f t="shared" si="21">F1398*1000*H1398</x:f>
        <x:v>582956.0628000001</x:v>
      </x:c>
      <x:c r="J1398" t="n">
        <x:v>6.316</x:v>
      </x:c>
    </x:row>
    <x:row r="1399">
      <x:c r="A1399" s="3" t="n">
        <x:v>2023</x:v>
      </x:c>
      <x:c r="B1399" s="2" t="str">
        <x:v>Marzo</x:v>
      </x:c>
      <x:c r="C1399" s="2" t="str">
        <x:v>RE-012089-2</x:v>
      </x:c>
      <x:c r="D1399" s="2" t="str">
        <x:v>P.E. CHAN DO TENON</x:v>
      </x:c>
      <x:c r="E1399" s="4" t="n">
        <x:v>0</x:v>
      </x:c>
      <x:c r="F1399" s="4" t="n">
        <x:f>J1399*1.03</x:f>
        <x:v>0</x:v>
      </x:c>
      <x:c r="G1399" s="4" t="n">
        <x:v>0</x:v>
      </x:c>
      <x:c r="H1399" s="4" t="n">
        <x:v>89.61</x:v>
      </x:c>
      <x:c r="I1399" s="5" t="n">
        <x:f t="shared" si="21">F1399*1000*H1399</x:f>
        <x:v>0</x:v>
      </x:c>
      <x:c r="J1399" t="n">
        <x:v>0</x:v>
      </x:c>
    </x:row>
    <x:row r="1400">
      <x:c r="A1400" s="3" t="n">
        <x:v>2023</x:v>
      </x:c>
      <x:c r="B1400" s="2" t="str">
        <x:v>Abril</x:v>
      </x:c>
      <x:c r="C1400" s="2" t="str">
        <x:v>RE-012089-1</x:v>
      </x:c>
      <x:c r="D1400" s="2" t="str">
        <x:v>P.E. CHAN DO TENON</x:v>
      </x:c>
      <x:c r="E1400" s="4" t="n">
        <x:v>5.142</x:v>
      </x:c>
      <x:c r="F1400" s="4" t="n">
        <x:f>J1400*0.99</x:f>
        <x:v>4.93614</x:v>
      </x:c>
      <x:c r="G1400" s="4" t="n">
        <x:v>22.4</x:v>
      </x:c>
      <x:c r="H1400" s="4" t="n">
        <x:v>73.73</x:v>
      </x:c>
      <x:c r="I1400" s="5" t="n">
        <x:f t="shared" si="21">F1400*1000*H1400</x:f>
        <x:v>363941.6022</x:v>
      </x:c>
      <x:c r="J1400" t="n">
        <x:v>4.986</x:v>
      </x:c>
    </x:row>
    <x:row r="1401">
      <x:c r="A1401" s="3" t="n">
        <x:v>2023</x:v>
      </x:c>
      <x:c r="B1401" s="2" t="str">
        <x:v>Abril</x:v>
      </x:c>
      <x:c r="C1401" s="2" t="str">
        <x:v>RE-012089-2</x:v>
      </x:c>
      <x:c r="D1401" s="2" t="str">
        <x:v>P.E. CHAN DO TENON</x:v>
      </x:c>
      <x:c r="E1401" s="4" t="n">
        <x:v>0</x:v>
      </x:c>
      <x:c r="F1401" s="4" t="n">
        <x:f>J1401*0.99</x:f>
        <x:v>0</x:v>
      </x:c>
      <x:c r="G1401" s="4" t="n">
        <x:v>0</x:v>
      </x:c>
      <x:c r="H1401" s="4" t="n">
        <x:v>73.73</x:v>
      </x:c>
      <x:c r="I1401" s="5" t="n">
        <x:f t="shared" si="21">F1401*1000*H1401</x:f>
        <x:v>0</x:v>
      </x:c>
      <x:c r="J1401" t="n">
        <x:v>0</x:v>
      </x:c>
    </x:row>
    <x:row r="1402">
      <x:c r="A1402" s="3" t="n">
        <x:v>2023</x:v>
      </x:c>
      <x:c r="B1402" s="2" t="str">
        <x:v>Mayo</x:v>
      </x:c>
      <x:c r="C1402" s="2" t="str">
        <x:v>RE-012089-1</x:v>
      </x:c>
      <x:c r="D1402" s="2" t="str">
        <x:v>P.E. CHAN DO TENON</x:v>
      </x:c>
      <x:c r="E1402" s="4" t="n">
        <x:v>3.816</x:v>
      </x:c>
      <x:c r="F1402" s="4" t="n">
        <x:f>J1402*0.95</x:f>
        <x:v>3.54065</x:v>
      </x:c>
      <x:c r="G1402" s="4" t="n">
        <x:v>22.4</x:v>
      </x:c>
      <x:c r="H1402" s="4" t="n">
        <x:v>74.21</x:v>
      </x:c>
      <x:c r="I1402" s="5" t="n">
        <x:f t="shared" si="21">F1402*1000*H1402</x:f>
        <x:v>262751.63649999996</x:v>
      </x:c>
      <x:c r="J1402" t="n">
        <x:v>3.727</x:v>
      </x:c>
    </x:row>
    <x:row r="1403">
      <x:c r="A1403" s="3" t="n">
        <x:v>2023</x:v>
      </x:c>
      <x:c r="B1403" s="2" t="str">
        <x:v>Mayo</x:v>
      </x:c>
      <x:c r="C1403" s="2" t="str">
        <x:v>RE-012089-2</x:v>
      </x:c>
      <x:c r="D1403" s="2" t="str">
        <x:v>P.E. CHAN DO TENON</x:v>
      </x:c>
      <x:c r="E1403" s="4" t="n">
        <x:v>0</x:v>
      </x:c>
      <x:c r="F1403" s="4" t="n">
        <x:f>J1403*0.95</x:f>
        <x:v>0</x:v>
      </x:c>
      <x:c r="G1403" s="4" t="n">
        <x:v>0</x:v>
      </x:c>
      <x:c r="H1403" s="4" t="n">
        <x:v>74.21</x:v>
      </x:c>
      <x:c r="I1403" s="5" t="n">
        <x:f t="shared" si="21">F1403*1000*H1403</x:f>
        <x:v>0</x:v>
      </x:c>
      <x:c r="J1403" t="n">
        <x:v>0</x:v>
      </x:c>
    </x:row>
    <x:row r="1404">
      <x:c r="A1404" s="3" t="n">
        <x:v>2023</x:v>
      </x:c>
      <x:c r="B1404" s="2" t="str">
        <x:v>Junio</x:v>
      </x:c>
      <x:c r="C1404" s="2" t="str">
        <x:v>RE-012089-1</x:v>
      </x:c>
      <x:c r="D1404" s="2" t="str">
        <x:v>P.E. CHAN DO TENON</x:v>
      </x:c>
      <x:c r="E1404" s="4" t="n">
        <x:v>4.009</x:v>
      </x:c>
      <x:c r="F1404" s="4" t="n">
        <x:f>J1404*1.02</x:f>
        <x:v>3.95862</x:v>
      </x:c>
      <x:c r="G1404" s="4" t="n">
        <x:v>22.4</x:v>
      </x:c>
      <x:c r="H1404" s="4" t="n">
        <x:v>93.02</x:v>
      </x:c>
      <x:c r="I1404" s="5" t="n">
        <x:f t="shared" si="21">F1404*1000*H1404</x:f>
        <x:v>368230.83239999996</x:v>
      </x:c>
      <x:c r="J1404" t="n">
        <x:v>3.881</x:v>
      </x:c>
    </x:row>
    <x:row r="1405">
      <x:c r="A1405" s="3" t="n">
        <x:v>2023</x:v>
      </x:c>
      <x:c r="B1405" s="2" t="str">
        <x:v>Junio</x:v>
      </x:c>
      <x:c r="C1405" s="2" t="str">
        <x:v>RE-012089-2</x:v>
      </x:c>
      <x:c r="D1405" s="2" t="str">
        <x:v>P.E. CHAN DO TENON</x:v>
      </x:c>
      <x:c r="E1405" s="4" t="n">
        <x:v>0</x:v>
      </x:c>
      <x:c r="F1405" s="4" t="n">
        <x:f>J1405*1.02</x:f>
        <x:v>0</x:v>
      </x:c>
      <x:c r="G1405" s="4" t="n">
        <x:v>0</x:v>
      </x:c>
      <x:c r="H1405" s="4" t="n">
        <x:v>93.02</x:v>
      </x:c>
      <x:c r="I1405" s="5" t="n">
        <x:f t="shared" si="21">F1405*1000*H1405</x:f>
        <x:v>0</x:v>
      </x:c>
      <x:c r="J1405" t="n">
        <x:v>0</x:v>
      </x:c>
    </x:row>
    <x:row r="1406">
      <x:c r="A1406" s="3" t="n">
        <x:v>2023</x:v>
      </x:c>
      <x:c r="B1406" s="2" t="str">
        <x:v>Julio</x:v>
      </x:c>
      <x:c r="C1406" s="2" t="str">
        <x:v>RE-012089-1</x:v>
      </x:c>
      <x:c r="D1406" s="2" t="str">
        <x:v>P.E. CHAN DO TENON</x:v>
      </x:c>
      <x:c r="E1406" s="4" t="n">
        <x:v>3.312</x:v>
      </x:c>
      <x:c r="F1406" s="4" t="n">
        <x:f>J1406*0.98</x:f>
        <x:v>3.17814</x:v>
      </x:c>
      <x:c r="G1406" s="4" t="n">
        <x:v>22.4</x:v>
      </x:c>
      <x:c r="H1406" s="4" t="n">
        <x:v>90.47</x:v>
      </x:c>
      <x:c r="I1406" s="5" t="n">
        <x:f t="shared" si="21">F1406*1000*H1406</x:f>
        <x:v>287526.3258</x:v>
      </x:c>
      <x:c r="J1406" t="n">
        <x:v>3.243</x:v>
      </x:c>
    </x:row>
    <x:row r="1407">
      <x:c r="A1407" s="3" t="n">
        <x:v>2023</x:v>
      </x:c>
      <x:c r="B1407" s="2" t="str">
        <x:v>Julio</x:v>
      </x:c>
      <x:c r="C1407" s="2" t="str">
        <x:v>RE-012089-2</x:v>
      </x:c>
      <x:c r="D1407" s="2" t="str">
        <x:v>P.E. CHAN DO TENON</x:v>
      </x:c>
      <x:c r="E1407" s="4" t="n">
        <x:v>0</x:v>
      </x:c>
      <x:c r="F1407" s="4" t="n">
        <x:f>J1407*0.98</x:f>
        <x:v>0</x:v>
      </x:c>
      <x:c r="G1407" s="4" t="n">
        <x:v>0</x:v>
      </x:c>
      <x:c r="H1407" s="4" t="n">
        <x:v>90.47</x:v>
      </x:c>
      <x:c r="I1407" s="5" t="n">
        <x:f t="shared" si="21">F1407*1000*H1407</x:f>
        <x:v>0</x:v>
      </x:c>
      <x:c r="J1407" t="n">
        <x:v>0</x:v>
      </x:c>
    </x:row>
    <x:row r="1408">
      <x:c r="A1408" s="3" t="n">
        <x:v>2023</x:v>
      </x:c>
      <x:c r="B1408" s="2" t="str">
        <x:v>Agosto</x:v>
      </x:c>
      <x:c r="C1408" s="2" t="str">
        <x:v>RE-012089-1</x:v>
      </x:c>
      <x:c r="D1408" s="2" t="str">
        <x:v>P.E. CHAN DO TENON</x:v>
      </x:c>
      <x:c r="E1408" s="4" t="n">
        <x:v>3.079</x:v>
      </x:c>
      <x:c r="F1408" s="4" t="n">
        <x:f>J1408*0.94</x:f>
        <x:v>2.8171799999999996</x:v>
      </x:c>
      <x:c r="G1408" s="4" t="n">
        <x:v>22.4</x:v>
      </x:c>
      <x:c r="H1408" s="4" t="n">
        <x:v>96.05</x:v>
      </x:c>
      <x:c r="I1408" s="5" t="n">
        <x:f t="shared" si="21">F1408*1000*H1408</x:f>
        <x:v>270590.1389999999</x:v>
      </x:c>
      <x:c r="J1408" t="n">
        <x:v>2.997</x:v>
      </x:c>
    </x:row>
    <x:row r="1409">
      <x:c r="A1409" s="3" t="n">
        <x:v>2023</x:v>
      </x:c>
      <x:c r="B1409" s="2" t="str">
        <x:v>Agosto</x:v>
      </x:c>
      <x:c r="C1409" s="2" t="str">
        <x:v>RE-012089-2</x:v>
      </x:c>
      <x:c r="D1409" s="2" t="str">
        <x:v>P.E. CHAN DO TENON</x:v>
      </x:c>
      <x:c r="E1409" s="4" t="n">
        <x:v>0</x:v>
      </x:c>
      <x:c r="F1409" s="4" t="n">
        <x:f>J1409*0.94</x:f>
        <x:v>0</x:v>
      </x:c>
      <x:c r="G1409" s="4" t="n">
        <x:v>0</x:v>
      </x:c>
      <x:c r="H1409" s="4" t="n">
        <x:v>96.05</x:v>
      </x:c>
      <x:c r="I1409" s="5" t="n">
        <x:f t="shared" si="21">F1409*1000*H1409</x:f>
        <x:v>0</x:v>
      </x:c>
      <x:c r="J1409" t="n">
        <x:v>0</x:v>
      </x:c>
    </x:row>
    <x:row r="1410">
      <x:c r="A1410" s="3" t="n">
        <x:v>2023</x:v>
      </x:c>
      <x:c r="B1410" s="2" t="str">
        <x:v>Septiembre</x:v>
      </x:c>
      <x:c r="C1410" s="2" t="str">
        <x:v>RE-012089-1</x:v>
      </x:c>
      <x:c r="D1410" s="2" t="str">
        <x:v>P.E. CHAN DO TENON</x:v>
      </x:c>
      <x:c r="E1410" s="4" t="n">
        <x:v>4.486</x:v>
      </x:c>
      <x:c r="F1410" s="4" t="n">
        <x:f>J1410*1.01</x:f>
        <x:v>4.43693</x:v>
      </x:c>
      <x:c r="G1410" s="4" t="n">
        <x:v>22.4</x:v>
      </x:c>
      <x:c r="H1410" s="4" t="n">
        <x:v>103.34</x:v>
      </x:c>
      <x:c r="I1410" s="5" t="n">
        <x:f t="shared" ref="I1410:I1473" si="22">F1410*1000*H1410</x:f>
        <x:v>458512.3462</x:v>
      </x:c>
      <x:c r="J1410" t="n">
        <x:v>4.393</x:v>
      </x:c>
    </x:row>
    <x:row r="1411">
      <x:c r="A1411" s="3" t="n">
        <x:v>2023</x:v>
      </x:c>
      <x:c r="B1411" s="2" t="str">
        <x:v>Septiembre</x:v>
      </x:c>
      <x:c r="C1411" s="2" t="str">
        <x:v>RE-012089-2</x:v>
      </x:c>
      <x:c r="D1411" s="2" t="str">
        <x:v>P.E. CHAN DO TENON</x:v>
      </x:c>
      <x:c r="E1411" s="4" t="n">
        <x:v>0</x:v>
      </x:c>
      <x:c r="F1411" s="4" t="n">
        <x:f>J1411*1.01</x:f>
        <x:v>0</x:v>
      </x:c>
      <x:c r="G1411" s="4" t="n">
        <x:v>0</x:v>
      </x:c>
      <x:c r="H1411" s="4" t="n">
        <x:v>103.34</x:v>
      </x:c>
      <x:c r="I1411" s="5" t="n">
        <x:f t="shared" si="22">F1411*1000*H1411</x:f>
        <x:v>0</x:v>
      </x:c>
      <x:c r="J1411" t="n">
        <x:v>0</x:v>
      </x:c>
    </x:row>
    <x:row r="1412">
      <x:c r="A1412" s="3" t="n">
        <x:v>2023</x:v>
      </x:c>
      <x:c r="B1412" s="2" t="str">
        <x:v>Octubre</x:v>
      </x:c>
      <x:c r="C1412" s="2" t="str">
        <x:v>RE-012089-1</x:v>
      </x:c>
      <x:c r="D1412" s="2" t="str">
        <x:v>P.E. CHAN DO TENON</x:v>
      </x:c>
      <x:c r="E1412" s="4" t="n">
        <x:v>5.511</x:v>
      </x:c>
      <x:c r="F1412" s="4" t="n">
        <x:f>J1412*0.97</x:f>
        <x:v>5.22733</x:v>
      </x:c>
      <x:c r="G1412" s="4" t="n">
        <x:v>22.4</x:v>
      </x:c>
      <x:c r="H1412" s="4" t="n">
        <x:v>90.14</x:v>
      </x:c>
      <x:c r="I1412" s="5" t="n">
        <x:f t="shared" si="22">F1412*1000*H1412</x:f>
        <x:v>471191.5262</x:v>
      </x:c>
      <x:c r="J1412" t="n">
        <x:v>5.389</x:v>
      </x:c>
    </x:row>
    <x:row r="1413">
      <x:c r="A1413" s="3" t="n">
        <x:v>2023</x:v>
      </x:c>
      <x:c r="B1413" s="2" t="str">
        <x:v>Octubre</x:v>
      </x:c>
      <x:c r="C1413" s="2" t="str">
        <x:v>RE-012089-2</x:v>
      </x:c>
      <x:c r="D1413" s="2" t="str">
        <x:v>P.E. CHAN DO TENON</x:v>
      </x:c>
      <x:c r="E1413" s="4" t="n">
        <x:v>0</x:v>
      </x:c>
      <x:c r="F1413" s="4" t="n">
        <x:f>J1413*0.97</x:f>
        <x:v>0</x:v>
      </x:c>
      <x:c r="G1413" s="4" t="n">
        <x:v>0</x:v>
      </x:c>
      <x:c r="H1413" s="4" t="n">
        <x:v>90.14</x:v>
      </x:c>
      <x:c r="I1413" s="5" t="n">
        <x:f t="shared" si="22">F1413*1000*H1413</x:f>
        <x:v>0</x:v>
      </x:c>
      <x:c r="J1413" t="n">
        <x:v>0</x:v>
      </x:c>
    </x:row>
    <x:row r="1414">
      <x:c r="A1414" s="3" t="n">
        <x:v>2023</x:v>
      </x:c>
      <x:c r="B1414" s="2" t="str">
        <x:v>Noviembre</x:v>
      </x:c>
      <x:c r="C1414" s="2" t="str">
        <x:v>RE-012089-1</x:v>
      </x:c>
      <x:c r="D1414" s="2" t="str">
        <x:v>P.E. CHAN DO TENON</x:v>
      </x:c>
      <x:c r="E1414" s="4" t="n">
        <x:v>5.622</x:v>
      </x:c>
      <x:c r="F1414" s="4" t="n">
        <x:f>J1414*1.04</x:f>
        <x:v>5.7272799999999995</x:v>
      </x:c>
      <x:c r="G1414" s="4" t="n">
        <x:v>22.4</x:v>
      </x:c>
      <x:c r="H1414" s="4" t="n">
        <x:v>63.45</x:v>
      </x:c>
      <x:c r="I1414" s="5" t="n">
        <x:f t="shared" si="22">F1414*1000*H1414</x:f>
        <x:v>363395.916</x:v>
      </x:c>
      <x:c r="J1414" t="n">
        <x:v>5.507</x:v>
      </x:c>
    </x:row>
    <x:row r="1415">
      <x:c r="A1415" s="3" t="n">
        <x:v>2023</x:v>
      </x:c>
      <x:c r="B1415" s="2" t="str">
        <x:v>Noviembre</x:v>
      </x:c>
      <x:c r="C1415" s="2" t="str">
        <x:v>RE-012089-2</x:v>
      </x:c>
      <x:c r="D1415" s="2" t="str">
        <x:v>P.E. CHAN DO TENON</x:v>
      </x:c>
      <x:c r="E1415" s="4" t="n">
        <x:v>0</x:v>
      </x:c>
      <x:c r="F1415" s="4" t="n">
        <x:f>J1415*1.04</x:f>
        <x:v>0</x:v>
      </x:c>
      <x:c r="G1415" s="4" t="n">
        <x:v>0</x:v>
      </x:c>
      <x:c r="H1415" s="4" t="n">
        <x:v>63.45</x:v>
      </x:c>
      <x:c r="I1415" s="5" t="n">
        <x:f t="shared" si="22">F1415*1000*H1415</x:f>
        <x:v>0</x:v>
      </x:c>
      <x:c r="J1415" t="n">
        <x:v>0</x:v>
      </x:c>
    </x:row>
    <x:row r="1416">
      <x:c r="A1416" s="3" t="n">
        <x:v>2023</x:v>
      </x:c>
      <x:c r="B1416" s="2" t="str">
        <x:v>Diciembre</x:v>
      </x:c>
      <x:c r="C1416" s="2" t="str">
        <x:v>RE-012089-1</x:v>
      </x:c>
      <x:c r="D1416" s="2" t="str">
        <x:v>P.E. CHAN DO TENON</x:v>
      </x:c>
      <x:c r="E1416" s="4" t="n">
        <x:v>6.994</x:v>
      </x:c>
      <x:c r="F1416" s="4" t="n">
        <x:f>J1416*1</x:f>
        <x:v>6.867</x:v>
      </x:c>
      <x:c r="G1416" s="4" t="n">
        <x:v>22.4</x:v>
      </x:c>
      <x:c r="H1416" s="4" t="n">
        <x:v>72.17</x:v>
      </x:c>
      <x:c r="I1416" s="5" t="n">
        <x:f t="shared" si="22">F1416*1000*H1416</x:f>
        <x:v>495591.39</x:v>
      </x:c>
      <x:c r="J1416" t="n">
        <x:v>6.867</x:v>
      </x:c>
    </x:row>
    <x:row r="1417">
      <x:c r="A1417" s="3" t="n">
        <x:v>2023</x:v>
      </x:c>
      <x:c r="B1417" s="2" t="str">
        <x:v>Diciembre</x:v>
      </x:c>
      <x:c r="C1417" s="2" t="str">
        <x:v>RE-012089-2</x:v>
      </x:c>
      <x:c r="D1417" s="2" t="str">
        <x:v>P.E. CHAN DO TENON</x:v>
      </x:c>
      <x:c r="E1417" s="4" t="n">
        <x:v>0</x:v>
      </x:c>
      <x:c r="F1417" s="4" t="n">
        <x:f>J1417*1</x:f>
        <x:v>0</x:v>
      </x:c>
      <x:c r="G1417" s="4" t="n">
        <x:v>0</x:v>
      </x:c>
      <x:c r="H1417" s="4" t="n">
        <x:v>72.17</x:v>
      </x:c>
      <x:c r="I1417" s="5" t="n">
        <x:f t="shared" si="22">F1417*1000*H1417</x:f>
        <x:v>0</x:v>
      </x:c>
      <x:c r="J1417" t="n">
        <x:v>0</x:v>
      </x:c>
    </x:row>
    <x:row r="1418">
      <x:c r="A1418" s="3" t="n">
        <x:v>2023</x:v>
      </x:c>
      <x:c r="B1418" s="2" t="str">
        <x:v>Enero</x:v>
      </x:c>
      <x:c r="C1418" s="2" t="str">
        <x:v>RE-012872-1</x:v>
      </x:c>
      <x:c r="D1418" s="2" t="str">
        <x:v>Parque Eólico Ampliación de Sil</x:v>
      </x:c>
      <x:c r="E1418" s="4" t="n">
        <x:v>8.1508</x:v>
      </x:c>
      <x:c r="F1418" s="4" t="n">
        <x:f>J1418*0.96</x:f>
        <x:v>7.666175999999999</x:v>
      </x:c>
      <x:c r="G1418" s="4" t="n">
        <x:v>28</x:v>
      </x:c>
      <x:c r="H1418" s="4" t="n">
        <x:v>69.55</x:v>
      </x:c>
      <x:c r="I1418" s="5" t="n">
        <x:f t="shared" si="22">F1418*1000*H1418</x:f>
        <x:v>533182.5408</x:v>
      </x:c>
      <x:c r="J1418" t="n">
        <x:v>7.9856</x:v>
      </x:c>
    </x:row>
    <x:row r="1419">
      <x:c r="A1419" s="3" t="n">
        <x:v>2023</x:v>
      </x:c>
      <x:c r="B1419" s="2" t="str">
        <x:v>Enero</x:v>
      </x:c>
      <x:c r="C1419" s="2" t="str">
        <x:v>RE-012872-2</x:v>
      </x:c>
      <x:c r="D1419" s="2" t="str">
        <x:v>Parque Eólico Ampliación de Sil</x:v>
      </x:c>
      <x:c r="E1419" s="4" t="n">
        <x:v>3.4932</x:v>
      </x:c>
      <x:c r="F1419" s="4" t="n">
        <x:f>J1419*0.96</x:f>
        <x:v>3.2855039999999995</x:v>
      </x:c>
      <x:c r="G1419" s="4" t="n">
        <x:v>12</x:v>
      </x:c>
      <x:c r="H1419" s="4" t="n">
        <x:v>69.55</x:v>
      </x:c>
      <x:c r="I1419" s="5" t="n">
        <x:f t="shared" si="22">F1419*1000*H1419</x:f>
        <x:v>228506.80319999997</x:v>
      </x:c>
      <x:c r="J1419" t="n">
        <x:v>3.4223999999999997</x:v>
      </x:c>
    </x:row>
    <x:row r="1420">
      <x:c r="A1420" s="3" t="n">
        <x:v>2023</x:v>
      </x:c>
      <x:c r="B1420" s="2" t="str">
        <x:v>Febrero</x:v>
      </x:c>
      <x:c r="C1420" s="2" t="str">
        <x:v>RE-012872-1</x:v>
      </x:c>
      <x:c r="D1420" s="2" t="str">
        <x:v>Parque Eólico Ampliación de Sil</x:v>
      </x:c>
      <x:c r="E1420" s="4" t="n">
        <x:v>5.931100000000001</x:v>
      </x:c>
      <x:c r="F1420" s="4" t="n">
        <x:f>J1420*1.03</x:f>
        <x:v>5.948970999999999</x:v>
      </x:c>
      <x:c r="G1420" s="4" t="n">
        <x:v>28</x:v>
      </x:c>
      <x:c r="H1420" s="4" t="n">
        <x:v>133.47</x:v>
      </x:c>
      <x:c r="I1420" s="5" t="n">
        <x:f t="shared" si="22">F1420*1000*H1420</x:f>
        <x:v>794009.1593699999</x:v>
      </x:c>
      <x:c r="J1420" t="n">
        <x:v>5.7757</x:v>
      </x:c>
    </x:row>
    <x:row r="1421">
      <x:c r="A1421" s="3" t="n">
        <x:v>2023</x:v>
      </x:c>
      <x:c r="B1421" s="2" t="str">
        <x:v>Febrero</x:v>
      </x:c>
      <x:c r="C1421" s="2" t="str">
        <x:v>RE-012872-2</x:v>
      </x:c>
      <x:c r="D1421" s="2" t="str">
        <x:v>Parque Eólico Ampliación de Sil</x:v>
      </x:c>
      <x:c r="E1421" s="4" t="n">
        <x:v>2.5419</x:v>
      </x:c>
      <x:c r="F1421" s="4" t="n">
        <x:f>J1421*1.03</x:f>
        <x:v>2.549559</x:v>
      </x:c>
      <x:c r="G1421" s="4" t="n">
        <x:v>12</x:v>
      </x:c>
      <x:c r="H1421" s="4" t="n">
        <x:v>133.47</x:v>
      </x:c>
      <x:c r="I1421" s="5" t="n">
        <x:f t="shared" si="22">F1421*1000*H1421</x:f>
        <x:v>340289.63972999994</x:v>
      </x:c>
      <x:c r="J1421" t="n">
        <x:v>2.4753</x:v>
      </x:c>
    </x:row>
    <x:row r="1422">
      <x:c r="A1422" s="3" t="n">
        <x:v>2023</x:v>
      </x:c>
      <x:c r="B1422" s="2" t="str">
        <x:v>Marzo</x:v>
      </x:c>
      <x:c r="C1422" s="2" t="str">
        <x:v>RE-012872-1</x:v>
      </x:c>
      <x:c r="D1422" s="2" t="str">
        <x:v>Parque Eólico Ampliación de Sil</x:v>
      </x:c>
      <x:c r="E1422" s="4" t="n">
        <x:v>7.1708</x:v>
      </x:c>
      <x:c r="F1422" s="4" t="n">
        <x:f>J1422*0.99</x:f>
        <x:v>6.908517</x:v>
      </x:c>
      <x:c r="G1422" s="4" t="n">
        <x:v>28</x:v>
      </x:c>
      <x:c r="H1422" s="4" t="n">
        <x:v>89.61</x:v>
      </x:c>
      <x:c r="I1422" s="5" t="n">
        <x:f t="shared" si="22">F1422*1000*H1422</x:f>
        <x:v>619072.20837</x:v>
      </x:c>
      <x:c r="J1422" t="n">
        <x:v>6.9783</x:v>
      </x:c>
    </x:row>
    <x:row r="1423">
      <x:c r="A1423" s="3" t="n">
        <x:v>2023</x:v>
      </x:c>
      <x:c r="B1423" s="2" t="str">
        <x:v>Marzo</x:v>
      </x:c>
      <x:c r="C1423" s="2" t="str">
        <x:v>RE-012872-2</x:v>
      </x:c>
      <x:c r="D1423" s="2" t="str">
        <x:v>Parque Eólico Ampliación de Sil</x:v>
      </x:c>
      <x:c r="E1423" s="4" t="n">
        <x:v>3.0732</x:v>
      </x:c>
      <x:c r="F1423" s="4" t="n">
        <x:f>J1423*0.99</x:f>
        <x:v>2.9607929999999993</x:v>
      </x:c>
      <x:c r="G1423" s="4" t="n">
        <x:v>12</x:v>
      </x:c>
      <x:c r="H1423" s="4" t="n">
        <x:v>89.61</x:v>
      </x:c>
      <x:c r="I1423" s="5" t="n">
        <x:f t="shared" si="22">F1423*1000*H1423</x:f>
        <x:v>265316.66072999995</x:v>
      </x:c>
      <x:c r="J1423" t="n">
        <x:v>2.9906999999999995</x:v>
      </x:c>
    </x:row>
    <x:row r="1424">
      <x:c r="A1424" s="3" t="n">
        <x:v>2023</x:v>
      </x:c>
      <x:c r="B1424" s="2" t="str">
        <x:v>Abril</x:v>
      </x:c>
      <x:c r="C1424" s="2" t="str">
        <x:v>RE-012872-1</x:v>
      </x:c>
      <x:c r="D1424" s="2" t="str">
        <x:v>Parque Eólico Ampliación de Sil</x:v>
      </x:c>
      <x:c r="E1424" s="4" t="n">
        <x:v>6.078799999999999</x:v>
      </x:c>
      <x:c r="F1424" s="4" t="n">
        <x:f>J1424*0.95</x:f>
        <x:v>5.663139999999999</x:v>
      </x:c>
      <x:c r="G1424" s="4" t="n">
        <x:v>28</x:v>
      </x:c>
      <x:c r="H1424" s="4" t="n">
        <x:v>73.73</x:v>
      </x:c>
      <x:c r="I1424" s="5" t="n">
        <x:f t="shared" si="22">F1424*1000*H1424</x:f>
        <x:v>417543.3122</x:v>
      </x:c>
      <x:c r="J1424" t="n">
        <x:v>5.9612</x:v>
      </x:c>
    </x:row>
    <x:row r="1425">
      <x:c r="A1425" s="3" t="n">
        <x:v>2023</x:v>
      </x:c>
      <x:c r="B1425" s="2" t="str">
        <x:v>Abril</x:v>
      </x:c>
      <x:c r="C1425" s="2" t="str">
        <x:v>RE-012872-2</x:v>
      </x:c>
      <x:c r="D1425" s="2" t="str">
        <x:v>Parque Eólico Ampliación de Sil</x:v>
      </x:c>
      <x:c r="E1425" s="4" t="n">
        <x:v>2.6052</x:v>
      </x:c>
      <x:c r="F1425" s="4" t="n">
        <x:f>J1425*0.95</x:f>
        <x:v>2.42706</x:v>
      </x:c>
      <x:c r="G1425" s="4" t="n">
        <x:v>12</x:v>
      </x:c>
      <x:c r="H1425" s="4" t="n">
        <x:v>73.73</x:v>
      </x:c>
      <x:c r="I1425" s="5" t="n">
        <x:f t="shared" si="22">F1425*1000*H1425</x:f>
        <x:v>178947.1338</x:v>
      </x:c>
      <x:c r="J1425" t="n">
        <x:v>2.5548</x:v>
      </x:c>
    </x:row>
    <x:row r="1426">
      <x:c r="A1426" s="3" t="n">
        <x:v>2023</x:v>
      </x:c>
      <x:c r="B1426" s="2" t="str">
        <x:v>Mayo</x:v>
      </x:c>
      <x:c r="C1426" s="2" t="str">
        <x:v>RE-012872-1</x:v>
      </x:c>
      <x:c r="D1426" s="2" t="str">
        <x:v>Parque Eólico Ampliación de Sil</x:v>
      </x:c>
      <x:c r="E1426" s="4" t="n">
        <x:v>5.3403</x:v>
      </x:c>
      <x:c r="F1426" s="4" t="n">
        <x:f>J1426*1.02</x:f>
        <x:v>5.33358</x:v>
      </x:c>
      <x:c r="G1426" s="4" t="n">
        <x:v>28</x:v>
      </x:c>
      <x:c r="H1426" s="4" t="n">
        <x:v>74.21</x:v>
      </x:c>
      <x:c r="I1426" s="5" t="n">
        <x:f t="shared" si="22">F1426*1000*H1426</x:f>
        <x:v>395804.97180000006</x:v>
      </x:c>
      <x:c r="J1426" t="n">
        <x:v>5.229</x:v>
      </x:c>
    </x:row>
    <x:row r="1427">
      <x:c r="A1427" s="3" t="n">
        <x:v>2023</x:v>
      </x:c>
      <x:c r="B1427" s="2" t="str">
        <x:v>Mayo</x:v>
      </x:c>
      <x:c r="C1427" s="2" t="str">
        <x:v>RE-012872-2</x:v>
      </x:c>
      <x:c r="D1427" s="2" t="str">
        <x:v>Parque Eólico Ampliación de Sil</x:v>
      </x:c>
      <x:c r="E1427" s="4" t="n">
        <x:v>2.2886999999999995</x:v>
      </x:c>
      <x:c r="F1427" s="4" t="n">
        <x:f>J1427*1.02</x:f>
        <x:v>2.2858199999999997</x:v>
      </x:c>
      <x:c r="G1427" s="4" t="n">
        <x:v>12</x:v>
      </x:c>
      <x:c r="H1427" s="4" t="n">
        <x:v>74.21</x:v>
      </x:c>
      <x:c r="I1427" s="5" t="n">
        <x:f t="shared" si="22">F1427*1000*H1427</x:f>
        <x:v>169630.70219999997</x:v>
      </x:c>
      <x:c r="J1427" t="n">
        <x:v>2.2409999999999997</x:v>
      </x:c>
    </x:row>
    <x:row r="1428">
      <x:c r="A1428" s="3" t="n">
        <x:v>2023</x:v>
      </x:c>
      <x:c r="B1428" s="2" t="str">
        <x:v>Junio</x:v>
      </x:c>
      <x:c r="C1428" s="2" t="str">
        <x:v>RE-012872-1</x:v>
      </x:c>
      <x:c r="D1428" s="2" t="str">
        <x:v>Parque Eólico Ampliación de Sil</x:v>
      </x:c>
      <x:c r="E1428" s="4" t="n">
        <x:v>3.6414</x:v>
      </x:c>
      <x:c r="F1428" s="4" t="n">
        <x:f>J1428*0.98</x:f>
        <x:v>3.50203</x:v>
      </x:c>
      <x:c r="G1428" s="4" t="n">
        <x:v>28</x:v>
      </x:c>
      <x:c r="H1428" s="4" t="n">
        <x:v>93.02</x:v>
      </x:c>
      <x:c r="I1428" s="5" t="n">
        <x:f t="shared" si="22">F1428*1000*H1428</x:f>
        <x:v>325758.8306</x:v>
      </x:c>
      <x:c r="J1428" t="n">
        <x:v>3.5735</x:v>
      </x:c>
    </x:row>
    <x:row r="1429">
      <x:c r="A1429" s="3" t="n">
        <x:v>2023</x:v>
      </x:c>
      <x:c r="B1429" s="2" t="str">
        <x:v>Junio</x:v>
      </x:c>
      <x:c r="C1429" s="2" t="str">
        <x:v>RE-012872-2</x:v>
      </x:c>
      <x:c r="D1429" s="2" t="str">
        <x:v>Parque Eólico Ampliación de Sil</x:v>
      </x:c>
      <x:c r="E1429" s="4" t="n">
        <x:v>1.5606</x:v>
      </x:c>
      <x:c r="F1429" s="4" t="n">
        <x:f>J1429*0.98</x:f>
        <x:v>1.5008700000000004</x:v>
      </x:c>
      <x:c r="G1429" s="4" t="n">
        <x:v>12</x:v>
      </x:c>
      <x:c r="H1429" s="4" t="n">
        <x:v>93.02</x:v>
      </x:c>
      <x:c r="I1429" s="5" t="n">
        <x:f t="shared" si="22">F1429*1000*H1429</x:f>
        <x:v>139610.92740000002</x:v>
      </x:c>
      <x:c r="J1429" t="n">
        <x:v>1.5315000000000003</x:v>
      </x:c>
    </x:row>
    <x:row r="1430">
      <x:c r="A1430" s="3" t="n">
        <x:v>2023</x:v>
      </x:c>
      <x:c r="B1430" s="2" t="str">
        <x:v>Julio</x:v>
      </x:c>
      <x:c r="C1430" s="2" t="str">
        <x:v>RE-012872-1</x:v>
      </x:c>
      <x:c r="D1430" s="2" t="str">
        <x:v>Parque Eólico Ampliación de Sil</x:v>
      </x:c>
      <x:c r="E1430" s="4" t="n">
        <x:v>3.8073</x:v>
      </x:c>
      <x:c r="F1430" s="4" t="n">
        <x:f>J1430*0.94</x:f>
        <x:v>3.514378</x:v>
      </x:c>
      <x:c r="G1430" s="4" t="n">
        <x:v>28</x:v>
      </x:c>
      <x:c r="H1430" s="4" t="n">
        <x:v>90.47</x:v>
      </x:c>
      <x:c r="I1430" s="5" t="n">
        <x:f t="shared" si="22">F1430*1000*H1430</x:f>
        <x:v>317945.77765999996</x:v>
      </x:c>
      <x:c r="J1430" t="n">
        <x:v>3.7387</x:v>
      </x:c>
    </x:row>
    <x:row r="1431">
      <x:c r="A1431" s="3" t="n">
        <x:v>2023</x:v>
      </x:c>
      <x:c r="B1431" s="2" t="str">
        <x:v>Julio</x:v>
      </x:c>
      <x:c r="C1431" s="2" t="str">
        <x:v>RE-012872-2</x:v>
      </x:c>
      <x:c r="D1431" s="2" t="str">
        <x:v>Parque Eólico Ampliación de Sil</x:v>
      </x:c>
      <x:c r="E1431" s="4" t="n">
        <x:v>1.6317</x:v>
      </x:c>
      <x:c r="F1431" s="4" t="n">
        <x:f>J1431*0.94</x:f>
        <x:v>1.506162</x:v>
      </x:c>
      <x:c r="G1431" s="4" t="n">
        <x:v>12</x:v>
      </x:c>
      <x:c r="H1431" s="4" t="n">
        <x:v>90.47</x:v>
      </x:c>
      <x:c r="I1431" s="5" t="n">
        <x:f t="shared" si="22">F1431*1000*H1431</x:f>
        <x:v>136262.47614</x:v>
      </x:c>
      <x:c r="J1431" t="n">
        <x:v>1.6023</x:v>
      </x:c>
    </x:row>
    <x:row r="1432">
      <x:c r="A1432" s="3" t="n">
        <x:v>2023</x:v>
      </x:c>
      <x:c r="B1432" s="2" t="str">
        <x:v>Agosto</x:v>
      </x:c>
      <x:c r="C1432" s="2" t="str">
        <x:v>RE-012872-1</x:v>
      </x:c>
      <x:c r="D1432" s="2" t="str">
        <x:v>Parque Eólico Ampliación de Sil</x:v>
      </x:c>
      <x:c r="E1432" s="4" t="n">
        <x:v>3.5742</x:v>
      </x:c>
      <x:c r="F1432" s="4" t="n">
        <x:f>J1432*1.01</x:f>
        <x:v>3.503185</x:v>
      </x:c>
      <x:c r="G1432" s="4" t="n">
        <x:v>28</x:v>
      </x:c>
      <x:c r="H1432" s="4" t="n">
        <x:v>96.05</x:v>
      </x:c>
      <x:c r="I1432" s="5" t="n">
        <x:f t="shared" si="22">F1432*1000*H1432</x:f>
        <x:v>336480.91925000004</x:v>
      </x:c>
      <x:c r="J1432" t="n">
        <x:v>3.4685</x:v>
      </x:c>
    </x:row>
    <x:row r="1433">
      <x:c r="A1433" s="3" t="n">
        <x:v>2023</x:v>
      </x:c>
      <x:c r="B1433" s="2" t="str">
        <x:v>Agosto</x:v>
      </x:c>
      <x:c r="C1433" s="2" t="str">
        <x:v>RE-012872-2</x:v>
      </x:c>
      <x:c r="D1433" s="2" t="str">
        <x:v>Parque Eólico Ampliación de Sil</x:v>
      </x:c>
      <x:c r="E1433" s="4" t="n">
        <x:v>1.5318</x:v>
      </x:c>
      <x:c r="F1433" s="4" t="n">
        <x:f>J1433*1.01</x:f>
        <x:v>1.5013649999999998</x:v>
      </x:c>
      <x:c r="G1433" s="4" t="n">
        <x:v>12</x:v>
      </x:c>
      <x:c r="H1433" s="4" t="n">
        <x:v>96.05</x:v>
      </x:c>
      <x:c r="I1433" s="5" t="n">
        <x:f t="shared" si="22">F1433*1000*H1433</x:f>
        <x:v>144206.10824999996</x:v>
      </x:c>
      <x:c r="J1433" t="n">
        <x:v>1.4865</x:v>
      </x:c>
    </x:row>
    <x:row r="1434">
      <x:c r="A1434" s="3" t="n">
        <x:v>2023</x:v>
      </x:c>
      <x:c r="B1434" s="2" t="str">
        <x:v>Septiembre</x:v>
      </x:c>
      <x:c r="C1434" s="2" t="str">
        <x:v>RE-012872-1</x:v>
      </x:c>
      <x:c r="D1434" s="2" t="str">
        <x:v>Parque Eólico Ampliación de Sil</x:v>
      </x:c>
      <x:c r="E1434" s="4" t="n">
        <x:v>4.571</x:v>
      </x:c>
      <x:c r="F1434" s="4" t="n">
        <x:f>J1434*0.97</x:f>
        <x:v>4.351711</x:v>
      </x:c>
      <x:c r="G1434" s="4" t="n">
        <x:v>28</x:v>
      </x:c>
      <x:c r="H1434" s="4" t="n">
        <x:v>103.34</x:v>
      </x:c>
      <x:c r="I1434" s="5" t="n">
        <x:f t="shared" si="22">F1434*1000*H1434</x:f>
        <x:v>449705.81474000006</x:v>
      </x:c>
      <x:c r="J1434" t="n">
        <x:v>4.4863</x:v>
      </x:c>
    </x:row>
    <x:row r="1435">
      <x:c r="A1435" s="3" t="n">
        <x:v>2023</x:v>
      </x:c>
      <x:c r="B1435" s="2" t="str">
        <x:v>Septiembre</x:v>
      </x:c>
      <x:c r="C1435" s="2" t="str">
        <x:v>RE-012872-2</x:v>
      </x:c>
      <x:c r="D1435" s="2" t="str">
        <x:v>Parque Eólico Ampliación de Sil</x:v>
      </x:c>
      <x:c r="E1435" s="4" t="n">
        <x:v>1.9590000000000005</x:v>
      </x:c>
      <x:c r="F1435" s="4" t="n">
        <x:f>J1435*0.97</x:f>
        <x:v>1.8650189999999998</x:v>
      </x:c>
      <x:c r="G1435" s="4" t="n">
        <x:v>12</x:v>
      </x:c>
      <x:c r="H1435" s="4" t="n">
        <x:v>103.34</x:v>
      </x:c>
      <x:c r="I1435" s="5" t="n">
        <x:f t="shared" si="22">F1435*1000*H1435</x:f>
        <x:v>192731.06345999998</x:v>
      </x:c>
      <x:c r="J1435" t="n">
        <x:v>1.9226999999999999</x:v>
      </x:c>
    </x:row>
    <x:row r="1436">
      <x:c r="A1436" s="3" t="n">
        <x:v>2023</x:v>
      </x:c>
      <x:c r="B1436" s="2" t="str">
        <x:v>Octubre</x:v>
      </x:c>
      <x:c r="C1436" s="2" t="str">
        <x:v>RE-012872-1</x:v>
      </x:c>
      <x:c r="D1436" s="2" t="str">
        <x:v>Parque Eólico Ampliación de Sil</x:v>
      </x:c>
      <x:c r="E1436" s="4" t="n">
        <x:v>6.3945</x:v>
      </x:c>
      <x:c r="F1436" s="4" t="n">
        <x:f>J1436*1.04</x:f>
        <x:v>6.484296</x:v>
      </x:c>
      <x:c r="G1436" s="4" t="n">
        <x:v>28</x:v>
      </x:c>
      <x:c r="H1436" s="4" t="n">
        <x:v>90.14</x:v>
      </x:c>
      <x:c r="I1436" s="5" t="n">
        <x:f t="shared" si="22">F1436*1000*H1436</x:f>
        <x:v>584494.44144</x:v>
      </x:c>
      <x:c r="J1436" t="n">
        <x:v>6.2349</x:v>
      </x:c>
    </x:row>
    <x:row r="1437">
      <x:c r="A1437" s="3" t="n">
        <x:v>2023</x:v>
      </x:c>
      <x:c r="B1437" s="2" t="str">
        <x:v>Octubre</x:v>
      </x:c>
      <x:c r="C1437" s="2" t="str">
        <x:v>RE-012872-2</x:v>
      </x:c>
      <x:c r="D1437" s="2" t="str">
        <x:v>Parque Eólico Ampliación de Sil</x:v>
      </x:c>
      <x:c r="E1437" s="4" t="n">
        <x:v>2.7405</x:v>
      </x:c>
      <x:c r="F1437" s="4" t="n">
        <x:f>J1437*1.04</x:f>
        <x:v>2.7789840000000003</x:v>
      </x:c>
      <x:c r="G1437" s="4" t="n">
        <x:v>12</x:v>
      </x:c>
      <x:c r="H1437" s="4" t="n">
        <x:v>90.14</x:v>
      </x:c>
      <x:c r="I1437" s="5" t="n">
        <x:f t="shared" si="22">F1437*1000*H1437</x:f>
        <x:v>250497.61776000002</x:v>
      </x:c>
      <x:c r="J1437" t="n">
        <x:v>2.6721000000000004</x:v>
      </x:c>
    </x:row>
    <x:row r="1438">
      <x:c r="A1438" s="3" t="n">
        <x:v>2023</x:v>
      </x:c>
      <x:c r="B1438" s="2" t="str">
        <x:v>Noviembre</x:v>
      </x:c>
      <x:c r="C1438" s="2" t="str">
        <x:v>RE-012872-1</x:v>
      </x:c>
      <x:c r="D1438" s="2" t="str">
        <x:v>Parque Eólico Ampliación de Sil</x:v>
      </x:c>
      <x:c r="E1438" s="4" t="n">
        <x:v>6.7473</x:v>
      </x:c>
      <x:c r="F1438" s="4" t="n">
        <x:f>J1438*1</x:f>
        <x:v>6.6451</x:v>
      </x:c>
      <x:c r="G1438" s="4" t="n">
        <x:v>28</x:v>
      </x:c>
      <x:c r="H1438" s="4" t="n">
        <x:v>63.45</x:v>
      </x:c>
      <x:c r="I1438" s="5" t="n">
        <x:f t="shared" si="22">F1438*1000*H1438</x:f>
        <x:v>421631.59500000003</x:v>
      </x:c>
      <x:c r="J1438" t="n">
        <x:v>6.6451</x:v>
      </x:c>
    </x:row>
    <x:row r="1439">
      <x:c r="A1439" s="3" t="n">
        <x:v>2023</x:v>
      </x:c>
      <x:c r="B1439" s="2" t="str">
        <x:v>Noviembre</x:v>
      </x:c>
      <x:c r="C1439" s="2" t="str">
        <x:v>RE-012872-2</x:v>
      </x:c>
      <x:c r="D1439" s="2" t="str">
        <x:v>Parque Eólico Ampliación de Sil</x:v>
      </x:c>
      <x:c r="E1439" s="4" t="n">
        <x:v>2.8916999999999993</x:v>
      </x:c>
      <x:c r="F1439" s="4" t="n">
        <x:f>J1439*1</x:f>
        <x:v>2.8479</x:v>
      </x:c>
      <x:c r="G1439" s="4" t="n">
        <x:v>12</x:v>
      </x:c>
      <x:c r="H1439" s="4" t="n">
        <x:v>63.45</x:v>
      </x:c>
      <x:c r="I1439" s="5" t="n">
        <x:f t="shared" si="22">F1439*1000*H1439</x:f>
        <x:v>180699.255</x:v>
      </x:c>
      <x:c r="J1439" t="n">
        <x:v>2.8479</x:v>
      </x:c>
    </x:row>
    <x:row r="1440">
      <x:c r="A1440" s="3" t="n">
        <x:v>2023</x:v>
      </x:c>
      <x:c r="B1440" s="2" t="str">
        <x:v>Diciembre</x:v>
      </x:c>
      <x:c r="C1440" s="2" t="str">
        <x:v>RE-012872-1</x:v>
      </x:c>
      <x:c r="D1440" s="2" t="str">
        <x:v>Parque Eólico Ampliación de Sil</x:v>
      </x:c>
      <x:c r="E1440" s="4" t="n">
        <x:v>8.0577</x:v>
      </x:c>
      <x:c r="F1440" s="4" t="n">
        <x:f>J1440*0.96</x:f>
        <x:v>7.617792</x:v>
      </x:c>
      <x:c r="G1440" s="4" t="n">
        <x:v>28</x:v>
      </x:c>
      <x:c r="H1440" s="4" t="n">
        <x:v>72.17</x:v>
      </x:c>
      <x:c r="I1440" s="5" t="n">
        <x:f t="shared" si="22">F1440*1000*H1440</x:f>
        <x:v>549776.0486399999</x:v>
      </x:c>
      <x:c r="J1440" t="n">
        <x:v>7.9352</x:v>
      </x:c>
    </x:row>
    <x:row r="1441">
      <x:c r="A1441" s="3" t="n">
        <x:v>2023</x:v>
      </x:c>
      <x:c r="B1441" s="2" t="str">
        <x:v>Diciembre</x:v>
      </x:c>
      <x:c r="C1441" s="2" t="str">
        <x:v>RE-012872-2</x:v>
      </x:c>
      <x:c r="D1441" s="2" t="str">
        <x:v>Parque Eólico Ampliación de Sil</x:v>
      </x:c>
      <x:c r="E1441" s="4" t="n">
        <x:v>3.4532999999999987</x:v>
      </x:c>
      <x:c r="F1441" s="4" t="n">
        <x:f>J1441*0.96</x:f>
        <x:v>3.264768</x:v>
      </x:c>
      <x:c r="G1441" s="4" t="n">
        <x:v>12</x:v>
      </x:c>
      <x:c r="H1441" s="4" t="n">
        <x:v>72.17</x:v>
      </x:c>
      <x:c r="I1441" s="5" t="n">
        <x:f t="shared" si="22">F1441*1000*H1441</x:f>
        <x:v>235618.30656</x:v>
      </x:c>
      <x:c r="J1441" t="n">
        <x:v>3.4008000000000003</x:v>
      </x:c>
    </x:row>
    <x:row r="1442">
      <x:c r="A1442" s="3" t="n">
        <x:v>2023</x:v>
      </x:c>
      <x:c r="B1442" s="2" t="str">
        <x:v>Enero</x:v>
      </x:c>
      <x:c r="C1442" s="2" t="str">
        <x:v>RE-014655-1</x:v>
      </x:c>
      <x:c r="D1442" s="2" t="str">
        <x:v>P. E. SINGULAR DE ARBO</x:v>
      </x:c>
      <x:c r="E1442" s="4" t="n">
        <x:v>0.715</x:v>
      </x:c>
      <x:c r="F1442" s="4" t="n">
        <x:f>J1442*1.03</x:f>
        <x:v>0.71997</x:v>
      </x:c>
      <x:c r="G1442" s="4" t="n">
        <x:v>2.7</x:v>
      </x:c>
      <x:c r="H1442" s="4" t="n">
        <x:v>69.55</x:v>
      </x:c>
      <x:c r="I1442" s="5" t="n">
        <x:f t="shared" si="22">F1442*1000*H1442</x:f>
        <x:v>50073.9135</x:v>
      </x:c>
      <x:c r="J1442" t="n">
        <x:v>0.699</x:v>
      </x:c>
    </x:row>
    <x:row r="1443">
      <x:c r="A1443" s="3" t="n">
        <x:v>2023</x:v>
      </x:c>
      <x:c r="B1443" s="2" t="str">
        <x:v>Febrero</x:v>
      </x:c>
      <x:c r="C1443" s="2" t="str">
        <x:v>RE-014655-1</x:v>
      </x:c>
      <x:c r="D1443" s="2" t="str">
        <x:v>P. E. SINGULAR DE ARBO</x:v>
      </x:c>
      <x:c r="E1443" s="4" t="n">
        <x:v>0.706</x:v>
      </x:c>
      <x:c r="F1443" s="4" t="n">
        <x:f>J1443*0.99</x:f>
        <x:v>0.68112</x:v>
      </x:c>
      <x:c r="G1443" s="4" t="n">
        <x:v>2.7</x:v>
      </x:c>
      <x:c r="H1443" s="4" t="n">
        <x:v>133.47</x:v>
      </x:c>
      <x:c r="I1443" s="5" t="n">
        <x:f t="shared" si="22">F1443*1000*H1443</x:f>
        <x:v>90909.08639999999</x:v>
      </x:c>
      <x:c r="J1443" t="n">
        <x:v>0.688</x:v>
      </x:c>
    </x:row>
    <x:row r="1444">
      <x:c r="A1444" s="3" t="n">
        <x:v>2023</x:v>
      </x:c>
      <x:c r="B1444" s="2" t="str">
        <x:v>Marzo</x:v>
      </x:c>
      <x:c r="C1444" s="2" t="str">
        <x:v>RE-014655-1</x:v>
      </x:c>
      <x:c r="D1444" s="2" t="str">
        <x:v>P. E. SINGULAR DE ARBO</x:v>
      </x:c>
      <x:c r="E1444" s="4" t="n">
        <x:v>0.713</x:v>
      </x:c>
      <x:c r="F1444" s="4" t="n">
        <x:f>J1444*0.95</x:f>
        <x:v>0.6630999999999999</x:v>
      </x:c>
      <x:c r="G1444" s="4" t="n">
        <x:v>2.7</x:v>
      </x:c>
      <x:c r="H1444" s="4" t="n">
        <x:v>89.61</x:v>
      </x:c>
      <x:c r="I1444" s="5" t="n">
        <x:f t="shared" si="22">F1444*1000*H1444</x:f>
        <x:v>59420.39099999999</x:v>
      </x:c>
      <x:c r="J1444" t="n">
        <x:v>0.698</x:v>
      </x:c>
    </x:row>
    <x:row r="1445">
      <x:c r="A1445" s="3" t="n">
        <x:v>2023</x:v>
      </x:c>
      <x:c r="B1445" s="2" t="str">
        <x:v>Abril</x:v>
      </x:c>
      <x:c r="C1445" s="2" t="str">
        <x:v>RE-014655-1</x:v>
      </x:c>
      <x:c r="D1445" s="2" t="str">
        <x:v>P. E. SINGULAR DE ARBO</x:v>
      </x:c>
      <x:c r="E1445" s="4" t="n">
        <x:v>0.528</x:v>
      </x:c>
      <x:c r="F1445" s="4" t="n">
        <x:f>J1445*1.02</x:f>
        <x:v>0.52122</x:v>
      </x:c>
      <x:c r="G1445" s="4" t="n">
        <x:v>2.7</x:v>
      </x:c>
      <x:c r="H1445" s="4" t="n">
        <x:v>73.73</x:v>
      </x:c>
      <x:c r="I1445" s="5" t="n">
        <x:f t="shared" si="22">F1445*1000*H1445</x:f>
        <x:v>38429.5506</x:v>
      </x:c>
      <x:c r="J1445" t="n">
        <x:v>0.511</x:v>
      </x:c>
    </x:row>
    <x:row r="1446">
      <x:c r="A1446" s="3" t="n">
        <x:v>2023</x:v>
      </x:c>
      <x:c r="B1446" s="2" t="str">
        <x:v>Mayo</x:v>
      </x:c>
      <x:c r="C1446" s="2" t="str">
        <x:v>RE-014655-1</x:v>
      </x:c>
      <x:c r="D1446" s="2" t="str">
        <x:v>P. E. SINGULAR DE ARBO</x:v>
      </x:c>
      <x:c r="E1446" s="4" t="n">
        <x:v>0.503</x:v>
      </x:c>
      <x:c r="F1446" s="4" t="n">
        <x:f>J1446*0.98</x:f>
        <x:v>0.48019999999999996</x:v>
      </x:c>
      <x:c r="G1446" s="4" t="n">
        <x:v>2.7</x:v>
      </x:c>
      <x:c r="H1446" s="4" t="n">
        <x:v>74.21</x:v>
      </x:c>
      <x:c r="I1446" s="5" t="n">
        <x:f t="shared" si="22">F1446*1000*H1446</x:f>
        <x:v>35635.64199999999</x:v>
      </x:c>
      <x:c r="J1446" t="n">
        <x:v>0.49</x:v>
      </x:c>
    </x:row>
    <x:row r="1447">
      <x:c r="A1447" s="3" t="n">
        <x:v>2023</x:v>
      </x:c>
      <x:c r="B1447" s="2" t="str">
        <x:v>Junio</x:v>
      </x:c>
      <x:c r="C1447" s="2" t="str">
        <x:v>RE-014655-1</x:v>
      </x:c>
      <x:c r="D1447" s="2" t="str">
        <x:v>P. E. SINGULAR DE ARBO</x:v>
      </x:c>
      <x:c r="E1447" s="4" t="n">
        <x:v>0.438</x:v>
      </x:c>
      <x:c r="F1447" s="4" t="n">
        <x:f>J1447*0.94</x:f>
        <x:v>0.39949999999999997</x:v>
      </x:c>
      <x:c r="G1447" s="4" t="n">
        <x:v>2.7</x:v>
      </x:c>
      <x:c r="H1447" s="4" t="n">
        <x:v>93.02</x:v>
      </x:c>
      <x:c r="I1447" s="5" t="n">
        <x:f t="shared" si="22">F1447*1000*H1447</x:f>
        <x:v>37161.48999999999</x:v>
      </x:c>
      <x:c r="J1447" t="n">
        <x:v>0.425</x:v>
      </x:c>
    </x:row>
    <x:row r="1448">
      <x:c r="A1448" s="3" t="n">
        <x:v>2023</x:v>
      </x:c>
      <x:c r="B1448" s="2" t="str">
        <x:v>Julio</x:v>
      </x:c>
      <x:c r="C1448" s="2" t="str">
        <x:v>RE-014655-1</x:v>
      </x:c>
      <x:c r="D1448" s="2" t="str">
        <x:v>P. E. SINGULAR DE ARBO</x:v>
      </x:c>
      <x:c r="E1448" s="4" t="n">
        <x:v>0.39</x:v>
      </x:c>
      <x:c r="F1448" s="4" t="n">
        <x:f>J1448*1.01</x:f>
        <x:v>0.38784</x:v>
      </x:c>
      <x:c r="G1448" s="4" t="n">
        <x:v>2.7</x:v>
      </x:c>
      <x:c r="H1448" s="4" t="n">
        <x:v>90.47</x:v>
      </x:c>
      <x:c r="I1448" s="5" t="n">
        <x:f t="shared" si="22">F1448*1000*H1448</x:f>
        <x:v>35087.8848</x:v>
      </x:c>
      <x:c r="J1448" t="n">
        <x:v>0.384</x:v>
      </x:c>
    </x:row>
    <x:row r="1449">
      <x:c r="A1449" s="3" t="n">
        <x:v>2023</x:v>
      </x:c>
      <x:c r="B1449" s="2" t="str">
        <x:v>Agosto</x:v>
      </x:c>
      <x:c r="C1449" s="2" t="str">
        <x:v>RE-014655-1</x:v>
      </x:c>
      <x:c r="D1449" s="2" t="str">
        <x:v>P. E. SINGULAR DE ARBO</x:v>
      </x:c>
      <x:c r="E1449" s="4" t="n">
        <x:v>0.397</x:v>
      </x:c>
      <x:c r="F1449" s="4" t="n">
        <x:f>J1449*0.97</x:f>
        <x:v>0.37733</x:v>
      </x:c>
      <x:c r="G1449" s="4" t="n">
        <x:v>2.7</x:v>
      </x:c>
      <x:c r="H1449" s="4" t="n">
        <x:v>96.05</x:v>
      </x:c>
      <x:c r="I1449" s="5" t="n">
        <x:f t="shared" si="22">F1449*1000*H1449</x:f>
        <x:v>36242.5465</x:v>
      </x:c>
      <x:c r="J1449" t="n">
        <x:v>0.389</x:v>
      </x:c>
    </x:row>
    <x:row r="1450">
      <x:c r="A1450" s="3" t="n">
        <x:v>2023</x:v>
      </x:c>
      <x:c r="B1450" s="2" t="str">
        <x:v>Septiembre</x:v>
      </x:c>
      <x:c r="C1450" s="2" t="str">
        <x:v>RE-014655-1</x:v>
      </x:c>
      <x:c r="D1450" s="2" t="str">
        <x:v>P. E. SINGULAR DE ARBO</x:v>
      </x:c>
      <x:c r="E1450" s="4" t="n">
        <x:v>0.519</x:v>
      </x:c>
      <x:c r="F1450" s="4" t="n">
        <x:f>J1450*1.04</x:f>
        <x:v>0.52936</x:v>
      </x:c>
      <x:c r="G1450" s="4" t="n">
        <x:v>2.7</x:v>
      </x:c>
      <x:c r="H1450" s="4" t="n">
        <x:v>103.34</x:v>
      </x:c>
      <x:c r="I1450" s="5" t="n">
        <x:f t="shared" si="22">F1450*1000*H1450</x:f>
        <x:v>54704.0624</x:v>
      </x:c>
      <x:c r="J1450" t="n">
        <x:v>0.509</x:v>
      </x:c>
    </x:row>
    <x:row r="1451">
      <x:c r="A1451" s="3" t="n">
        <x:v>2023</x:v>
      </x:c>
      <x:c r="B1451" s="2" t="str">
        <x:v>Octubre</x:v>
      </x:c>
      <x:c r="C1451" s="2" t="str">
        <x:v>RE-014655-1</x:v>
      </x:c>
      <x:c r="D1451" s="2" t="str">
        <x:v>P. E. SINGULAR DE ARBO</x:v>
      </x:c>
      <x:c r="E1451" s="4" t="n">
        <x:v>0.636</x:v>
      </x:c>
      <x:c r="F1451" s="4" t="n">
        <x:f>J1451*1</x:f>
        <x:v>0.617</x:v>
      </x:c>
      <x:c r="G1451" s="4" t="n">
        <x:v>2.7</x:v>
      </x:c>
      <x:c r="H1451" s="4" t="n">
        <x:v>90.14</x:v>
      </x:c>
      <x:c r="I1451" s="5" t="n">
        <x:f t="shared" si="22">F1451*1000*H1451</x:f>
        <x:v>55616.38</x:v>
      </x:c>
      <x:c r="J1451" t="n">
        <x:v>0.617</x:v>
      </x:c>
    </x:row>
    <x:row r="1452">
      <x:c r="A1452" s="3" t="n">
        <x:v>2023</x:v>
      </x:c>
      <x:c r="B1452" s="2" t="str">
        <x:v>Noviembre</x:v>
      </x:c>
      <x:c r="C1452" s="2" t="str">
        <x:v>RE-014655-1</x:v>
      </x:c>
      <x:c r="D1452" s="2" t="str">
        <x:v>P. E. SINGULAR DE ARBO</x:v>
      </x:c>
      <x:c r="E1452" s="4" t="n">
        <x:v>0.757</x:v>
      </x:c>
      <x:c r="F1452" s="4" t="n">
        <x:f>J1452*0.96</x:f>
        <x:v>0.7103999999999999</x:v>
      </x:c>
      <x:c r="G1452" s="4" t="n">
        <x:v>2.7</x:v>
      </x:c>
      <x:c r="H1452" s="4" t="n">
        <x:v>63.45</x:v>
      </x:c>
      <x:c r="I1452" s="5" t="n">
        <x:f t="shared" si="22">F1452*1000*H1452</x:f>
        <x:v>45074.87999999999</x:v>
      </x:c>
      <x:c r="J1452" t="n">
        <x:v>0.74</x:v>
      </x:c>
    </x:row>
    <x:row r="1453">
      <x:c r="A1453" s="3" t="n">
        <x:v>2023</x:v>
      </x:c>
      <x:c r="B1453" s="2" t="str">
        <x:v>Diciembre</x:v>
      </x:c>
      <x:c r="C1453" s="2" t="str">
        <x:v>RE-014655-1</x:v>
      </x:c>
      <x:c r="D1453" s="2" t="str">
        <x:v>P. E. SINGULAR DE ARBO</x:v>
      </x:c>
      <x:c r="E1453" s="4" t="n">
        <x:v>0.847</x:v>
      </x:c>
      <x:c r="F1453" s="4" t="n">
        <x:f>J1453*1.03</x:f>
        <x:v>0.85078</x:v>
      </x:c>
      <x:c r="G1453" s="4" t="n">
        <x:v>2.7</x:v>
      </x:c>
      <x:c r="H1453" s="4" t="n">
        <x:v>72.17</x:v>
      </x:c>
      <x:c r="I1453" s="5" t="n">
        <x:f t="shared" si="22">F1453*1000*H1453</x:f>
        <x:v>61400.7926</x:v>
      </x:c>
      <x:c r="J1453" t="n">
        <x:v>0.826</x:v>
      </x:c>
    </x:row>
    <x:row r="1454">
      <x:c r="A1454" s="3" t="n">
        <x:v>2023</x:v>
      </x:c>
      <x:c r="B1454" s="2" t="str">
        <x:v>Enero</x:v>
      </x:c>
      <x:c r="C1454" s="2" t="str">
        <x:v>RE-015760-1</x:v>
      </x:c>
      <x:c r="D1454" s="2" t="str">
        <x:v>P.E. IRIXO FASE I</x:v>
      </x:c>
      <x:c r="E1454" s="4" t="n">
        <x:v>5.391</x:v>
      </x:c>
      <x:c r="F1454" s="4" t="n">
        <x:f>J1454*0.99</x:f>
        <x:v>5.201459999999999</x:v>
      </x:c>
      <x:c r="G1454" s="4" t="n">
        <x:v>19.8</x:v>
      </x:c>
      <x:c r="H1454" s="4" t="n">
        <x:v>69.55</x:v>
      </x:c>
      <x:c r="I1454" s="5" t="n">
        <x:f t="shared" si="22">F1454*1000*H1454</x:f>
        <x:v>361761.54299999995</x:v>
      </x:c>
      <x:c r="J1454" t="n">
        <x:v>5.254</x:v>
      </x:c>
    </x:row>
    <x:row r="1455">
      <x:c r="A1455" s="3" t="n">
        <x:v>2023</x:v>
      </x:c>
      <x:c r="B1455" s="2" t="str">
        <x:v>Febrero</x:v>
      </x:c>
      <x:c r="C1455" s="2" t="str">
        <x:v>RE-015760-1</x:v>
      </x:c>
      <x:c r="D1455" s="2" t="str">
        <x:v>P.E. IRIXO FASE I</x:v>
      </x:c>
      <x:c r="E1455" s="4" t="n">
        <x:v>4.4</x:v>
      </x:c>
      <x:c r="F1455" s="4" t="n">
        <x:f>J1455*0.95</x:f>
        <x:v>4.0926</x:v>
      </x:c>
      <x:c r="G1455" s="4" t="n">
        <x:v>19.8</x:v>
      </x:c>
      <x:c r="H1455" s="4" t="n">
        <x:v>133.47</x:v>
      </x:c>
      <x:c r="I1455" s="5" t="n">
        <x:f t="shared" si="22">F1455*1000*H1455</x:f>
        <x:v>546239.3219999999</x:v>
      </x:c>
      <x:c r="J1455" t="n">
        <x:v>4.308</x:v>
      </x:c>
    </x:row>
    <x:row r="1456">
      <x:c r="A1456" s="3" t="n">
        <x:v>2023</x:v>
      </x:c>
      <x:c r="B1456" s="2" t="str">
        <x:v>Marzo</x:v>
      </x:c>
      <x:c r="C1456" s="2" t="str">
        <x:v>RE-015760-1</x:v>
      </x:c>
      <x:c r="D1456" s="2" t="str">
        <x:v>P.E. IRIXO FASE I</x:v>
      </x:c>
      <x:c r="E1456" s="4" t="n">
        <x:v>5.094</x:v>
      </x:c>
      <x:c r="F1456" s="4" t="n">
        <x:f>J1456*1.02</x:f>
        <x:v>5.03982</x:v>
      </x:c>
      <x:c r="G1456" s="4" t="n">
        <x:v>19.8</x:v>
      </x:c>
      <x:c r="H1456" s="4" t="n">
        <x:v>89.61</x:v>
      </x:c>
      <x:c r="I1456" s="5" t="n">
        <x:f t="shared" si="22">F1456*1000*H1456</x:f>
        <x:v>451618.27019999997</x:v>
      </x:c>
      <x:c r="J1456" t="n">
        <x:v>4.941</x:v>
      </x:c>
    </x:row>
    <x:row r="1457">
      <x:c r="A1457" s="3" t="n">
        <x:v>2023</x:v>
      </x:c>
      <x:c r="B1457" s="2" t="str">
        <x:v>Abril</x:v>
      </x:c>
      <x:c r="C1457" s="2" t="str">
        <x:v>RE-015760-1</x:v>
      </x:c>
      <x:c r="D1457" s="2" t="str">
        <x:v>P.E. IRIXO FASE I</x:v>
      </x:c>
      <x:c r="E1457" s="4" t="n">
        <x:v>3.711</x:v>
      </x:c>
      <x:c r="F1457" s="4" t="n">
        <x:f>J1457*0.98</x:f>
        <x:v>3.5622999999999996</x:v>
      </x:c>
      <x:c r="G1457" s="4" t="n">
        <x:v>19.8</x:v>
      </x:c>
      <x:c r="H1457" s="4" t="n">
        <x:v>73.73</x:v>
      </x:c>
      <x:c r="I1457" s="5" t="n">
        <x:f t="shared" si="22">F1457*1000*H1457</x:f>
        <x:v>262648.379</x:v>
      </x:c>
      <x:c r="J1457" t="n">
        <x:v>3.635</x:v>
      </x:c>
    </x:row>
    <x:row r="1458">
      <x:c r="A1458" s="3" t="n">
        <x:v>2023</x:v>
      </x:c>
      <x:c r="B1458" s="2" t="str">
        <x:v>Mayo</x:v>
      </x:c>
      <x:c r="C1458" s="2" t="str">
        <x:v>RE-015760-1</x:v>
      </x:c>
      <x:c r="D1458" s="2" t="str">
        <x:v>P.E. IRIXO FASE I</x:v>
      </x:c>
      <x:c r="E1458" s="4" t="n">
        <x:v>3.573</x:v>
      </x:c>
      <x:c r="F1458" s="4" t="n">
        <x:f>J1458*0.94</x:f>
        <x:v>3.2664999999999997</x:v>
      </x:c>
      <x:c r="G1458" s="4" t="n">
        <x:v>19.8</x:v>
      </x:c>
      <x:c r="H1458" s="4" t="n">
        <x:v>74.21</x:v>
      </x:c>
      <x:c r="I1458" s="5" t="n">
        <x:f t="shared" si="22">F1458*1000*H1458</x:f>
        <x:v>242406.96499999994</x:v>
      </x:c>
      <x:c r="J1458" t="n">
        <x:v>3.475</x:v>
      </x:c>
    </x:row>
    <x:row r="1459">
      <x:c r="A1459" s="3" t="n">
        <x:v>2023</x:v>
      </x:c>
      <x:c r="B1459" s="2" t="str">
        <x:v>Junio</x:v>
      </x:c>
      <x:c r="C1459" s="2" t="str">
        <x:v>RE-015760-1</x:v>
      </x:c>
      <x:c r="D1459" s="2" t="str">
        <x:v>P.E. IRIXO FASE I</x:v>
      </x:c>
      <x:c r="E1459" s="4" t="n">
        <x:v>2.818</x:v>
      </x:c>
      <x:c r="F1459" s="4" t="n">
        <x:f>J1459*1.01</x:f>
        <x:v>2.77346</x:v>
      </x:c>
      <x:c r="G1459" s="4" t="n">
        <x:v>19.8</x:v>
      </x:c>
      <x:c r="H1459" s="4" t="n">
        <x:v>93.02</x:v>
      </x:c>
      <x:c r="I1459" s="5" t="n">
        <x:f t="shared" si="22">F1459*1000*H1459</x:f>
        <x:v>257987.2492</x:v>
      </x:c>
      <x:c r="J1459" t="n">
        <x:v>2.746</x:v>
      </x:c>
    </x:row>
    <x:row r="1460">
      <x:c r="A1460" s="3" t="n">
        <x:v>2023</x:v>
      </x:c>
      <x:c r="B1460" s="2" t="str">
        <x:v>Julio</x:v>
      </x:c>
      <x:c r="C1460" s="2" t="str">
        <x:v>RE-015760-1</x:v>
      </x:c>
      <x:c r="D1460" s="2" t="str">
        <x:v>P.E. IRIXO FASE I</x:v>
      </x:c>
      <x:c r="E1460" s="4" t="n">
        <x:v>2.912</x:v>
      </x:c>
      <x:c r="F1460" s="4" t="n">
        <x:f>J1460*0.97</x:f>
        <x:v>2.75189</x:v>
      </x:c>
      <x:c r="G1460" s="4" t="n">
        <x:v>19.8</x:v>
      </x:c>
      <x:c r="H1460" s="4" t="n">
        <x:v>90.47</x:v>
      </x:c>
      <x:c r="I1460" s="5" t="n">
        <x:f t="shared" si="22">F1460*1000*H1460</x:f>
        <x:v>248963.4883</x:v>
      </x:c>
      <x:c r="J1460" t="n">
        <x:v>2.837</x:v>
      </x:c>
    </x:row>
    <x:row r="1461">
      <x:c r="A1461" s="3" t="n">
        <x:v>2023</x:v>
      </x:c>
      <x:c r="B1461" s="2" t="str">
        <x:v>Agosto</x:v>
      </x:c>
      <x:c r="C1461" s="2" t="str">
        <x:v>RE-015760-1</x:v>
      </x:c>
      <x:c r="D1461" s="2" t="str">
        <x:v>P.E. IRIXO FASE I</x:v>
      </x:c>
      <x:c r="E1461" s="4" t="n">
        <x:v>2.596</x:v>
      </x:c>
      <x:c r="F1461" s="4" t="n">
        <x:f>J1461*1.04</x:f>
        <x:v>2.65096</x:v>
      </x:c>
      <x:c r="G1461" s="4" t="n">
        <x:v>19.8</x:v>
      </x:c>
      <x:c r="H1461" s="4" t="n">
        <x:v>96.05</x:v>
      </x:c>
      <x:c r="I1461" s="5" t="n">
        <x:f t="shared" si="22">F1461*1000*H1461</x:f>
        <x:v>254624.70799999998</x:v>
      </x:c>
      <x:c r="J1461" t="n">
        <x:v>2.549</x:v>
      </x:c>
    </x:row>
    <x:row r="1462">
      <x:c r="A1462" s="3" t="n">
        <x:v>2023</x:v>
      </x:c>
      <x:c r="B1462" s="2" t="str">
        <x:v>Septiembre</x:v>
      </x:c>
      <x:c r="C1462" s="2" t="str">
        <x:v>RE-015760-1</x:v>
      </x:c>
      <x:c r="D1462" s="2" t="str">
        <x:v>P.E. IRIXO FASE I</x:v>
      </x:c>
      <x:c r="E1462" s="4" t="n">
        <x:v>3.654</x:v>
      </x:c>
      <x:c r="F1462" s="4" t="n">
        <x:f>J1462*1</x:f>
        <x:v>3.583</x:v>
      </x:c>
      <x:c r="G1462" s="4" t="n">
        <x:v>19.8</x:v>
      </x:c>
      <x:c r="H1462" s="4" t="n">
        <x:v>103.34</x:v>
      </x:c>
      <x:c r="I1462" s="5" t="n">
        <x:f t="shared" si="22">F1462*1000*H1462</x:f>
        <x:v>370267.22000000003</x:v>
      </x:c>
      <x:c r="J1462" t="n">
        <x:v>3.583</x:v>
      </x:c>
    </x:row>
    <x:row r="1463">
      <x:c r="A1463" s="3" t="n">
        <x:v>2023</x:v>
      </x:c>
      <x:c r="B1463" s="2" t="str">
        <x:v>Octubre</x:v>
      </x:c>
      <x:c r="C1463" s="2" t="str">
        <x:v>RE-015760-1</x:v>
      </x:c>
      <x:c r="D1463" s="2" t="str">
        <x:v>P.E. IRIXO FASE I</x:v>
      </x:c>
      <x:c r="E1463" s="4" t="n">
        <x:v>4.612</x:v>
      </x:c>
      <x:c r="F1463" s="4" t="n">
        <x:f>J1463*0.96</x:f>
        <x:v>4.30176</x:v>
      </x:c>
      <x:c r="G1463" s="4" t="n">
        <x:v>19.8</x:v>
      </x:c>
      <x:c r="H1463" s="4" t="n">
        <x:v>90.14</x:v>
      </x:c>
      <x:c r="I1463" s="5" t="n">
        <x:f t="shared" si="22">F1463*1000*H1463</x:f>
        <x:v>387760.6464</x:v>
      </x:c>
      <x:c r="J1463" t="n">
        <x:v>4.481</x:v>
      </x:c>
    </x:row>
    <x:row r="1464">
      <x:c r="A1464" s="3" t="n">
        <x:v>2023</x:v>
      </x:c>
      <x:c r="B1464" s="2" t="str">
        <x:v>Noviembre</x:v>
      </x:c>
      <x:c r="C1464" s="2" t="str">
        <x:v>RE-015760-1</x:v>
      </x:c>
      <x:c r="D1464" s="2" t="str">
        <x:v>P.E. IRIXO FASE I</x:v>
      </x:c>
      <x:c r="E1464" s="4" t="n">
        <x:v>4.319</x:v>
      </x:c>
      <x:c r="F1464" s="4" t="n">
        <x:f>J1464*1.03</x:f>
        <x:v>4.36514</x:v>
      </x:c>
      <x:c r="G1464" s="4" t="n">
        <x:v>19.8</x:v>
      </x:c>
      <x:c r="H1464" s="4" t="n">
        <x:v>63.45</x:v>
      </x:c>
      <x:c r="I1464" s="5" t="n">
        <x:f t="shared" si="22">F1464*1000*H1464</x:f>
        <x:v>276968.13300000003</x:v>
      </x:c>
      <x:c r="J1464" t="n">
        <x:v>4.238</x:v>
      </x:c>
    </x:row>
    <x:row r="1465">
      <x:c r="A1465" s="3" t="n">
        <x:v>2023</x:v>
      </x:c>
      <x:c r="B1465" s="2" t="str">
        <x:v>Diciembre</x:v>
      </x:c>
      <x:c r="C1465" s="2" t="str">
        <x:v>RE-015760-1</x:v>
      </x:c>
      <x:c r="D1465" s="2" t="str">
        <x:v>P.E. IRIXO FASE I</x:v>
      </x:c>
      <x:c r="E1465" s="4" t="n">
        <x:v>5.556</x:v>
      </x:c>
      <x:c r="F1465" s="4" t="n">
        <x:f>J1465*0.99</x:f>
        <x:v>5.35788</x:v>
      </x:c>
      <x:c r="G1465" s="4" t="n">
        <x:v>19.8</x:v>
      </x:c>
      <x:c r="H1465" s="4" t="n">
        <x:v>72.17</x:v>
      </x:c>
      <x:c r="I1465" s="5" t="n">
        <x:f t="shared" si="22">F1465*1000*H1465</x:f>
        <x:v>386678.1996</x:v>
      </x:c>
      <x:c r="J1465" t="n">
        <x:v>5.412</x:v>
      </x:c>
    </x:row>
    <x:row r="1466">
      <x:c r="A1466" s="3" t="n">
        <x:v>2023</x:v>
      </x:c>
      <x:c r="B1466" s="2" t="str">
        <x:v>Enero</x:v>
      </x:c>
      <x:c r="C1466" s="2" t="str">
        <x:v>RE-017696-1</x:v>
      </x:c>
      <x:c r="D1466" s="2" t="str">
        <x:v>P.E. TOURIÑAN IV</x:v>
      </x:c>
      <x:c r="E1466" s="4" t="n">
        <x:v>7.281</x:v>
      </x:c>
      <x:c r="F1466" s="4" t="n">
        <x:f>J1466*0.95</x:f>
        <x:v>6.74405</x:v>
      </x:c>
      <x:c r="G1466" s="4" t="n">
        <x:v>24.65</x:v>
      </x:c>
      <x:c r="H1466" s="4" t="n">
        <x:v>69.55</x:v>
      </x:c>
      <x:c r="I1466" s="5" t="n">
        <x:f t="shared" si="22">F1466*1000*H1466</x:f>
        <x:v>469048.67749999993</x:v>
      </x:c>
      <x:c r="J1466" t="n">
        <x:v>7.099</x:v>
      </x:c>
    </x:row>
    <x:row r="1467">
      <x:c r="A1467" s="3" t="n">
        <x:v>2023</x:v>
      </x:c>
      <x:c r="B1467" s="2" t="str">
        <x:v>Febrero</x:v>
      </x:c>
      <x:c r="C1467" s="2" t="str">
        <x:v>RE-017696-1</x:v>
      </x:c>
      <x:c r="D1467" s="2" t="str">
        <x:v>P.E. TOURIÑAN IV</x:v>
      </x:c>
      <x:c r="E1467" s="4" t="n">
        <x:v>5.859</x:v>
      </x:c>
      <x:c r="F1467" s="4" t="n">
        <x:f>J1467*1.02</x:f>
        <x:v>5.86296</x:v>
      </x:c>
      <x:c r="G1467" s="4" t="n">
        <x:v>24.65</x:v>
      </x:c>
      <x:c r="H1467" s="4" t="n">
        <x:v>133.47</x:v>
      </x:c>
      <x:c r="I1467" s="5" t="n">
        <x:f t="shared" si="22">F1467*1000*H1467</x:f>
        <x:v>782529.2712</x:v>
      </x:c>
      <x:c r="J1467" t="n">
        <x:v>5.748</x:v>
      </x:c>
    </x:row>
    <x:row r="1468">
      <x:c r="A1468" s="3" t="n">
        <x:v>2023</x:v>
      </x:c>
      <x:c r="B1468" s="2" t="str">
        <x:v>Marzo</x:v>
      </x:c>
      <x:c r="C1468" s="2" t="str">
        <x:v>RE-017696-1</x:v>
      </x:c>
      <x:c r="D1468" s="2" t="str">
        <x:v>P.E. TOURIÑAN IV</x:v>
      </x:c>
      <x:c r="E1468" s="4" t="n">
        <x:v>6.118</x:v>
      </x:c>
      <x:c r="F1468" s="4" t="n">
        <x:f>J1468*0.98</x:f>
        <x:v>5.87314</x:v>
      </x:c>
      <x:c r="G1468" s="4" t="n">
        <x:v>24.65</x:v>
      </x:c>
      <x:c r="H1468" s="4" t="n">
        <x:v>89.61</x:v>
      </x:c>
      <x:c r="I1468" s="5" t="n">
        <x:f t="shared" si="22">F1468*1000*H1468</x:f>
        <x:v>526292.0754</x:v>
      </x:c>
      <x:c r="J1468" t="n">
        <x:v>5.993</x:v>
      </x:c>
    </x:row>
    <x:row r="1469">
      <x:c r="A1469" s="3" t="n">
        <x:v>2023</x:v>
      </x:c>
      <x:c r="B1469" s="2" t="str">
        <x:v>Abril</x:v>
      </x:c>
      <x:c r="C1469" s="2" t="str">
        <x:v>RE-017696-1</x:v>
      </x:c>
      <x:c r="D1469" s="2" t="str">
        <x:v>P.E. TOURIÑAN IV</x:v>
      </x:c>
      <x:c r="E1469" s="4" t="n">
        <x:v>4.698</x:v>
      </x:c>
      <x:c r="F1469" s="4" t="n">
        <x:f>J1469*0.94</x:f>
        <x:v>4.3004999999999995</x:v>
      </x:c>
      <x:c r="G1469" s="4" t="n">
        <x:v>24.65</x:v>
      </x:c>
      <x:c r="H1469" s="4" t="n">
        <x:v>73.73</x:v>
      </x:c>
      <x:c r="I1469" s="5" t="n">
        <x:f t="shared" si="22">F1469*1000*H1469</x:f>
        <x:v>317075.865</x:v>
      </x:c>
      <x:c r="J1469" t="n">
        <x:v>4.575</x:v>
      </x:c>
    </x:row>
    <x:row r="1470">
      <x:c r="A1470" s="3" t="n">
        <x:v>2023</x:v>
      </x:c>
      <x:c r="B1470" s="2" t="str">
        <x:v>Mayo</x:v>
      </x:c>
      <x:c r="C1470" s="2" t="str">
        <x:v>RE-017696-1</x:v>
      </x:c>
      <x:c r="D1470" s="2" t="str">
        <x:v>P.E. TOURIÑAN IV</x:v>
      </x:c>
      <x:c r="E1470" s="4" t="n">
        <x:v>4.271</x:v>
      </x:c>
      <x:c r="F1470" s="4" t="n">
        <x:f>J1470*1.01</x:f>
        <x:v>4.1925099999999995</x:v>
      </x:c>
      <x:c r="G1470" s="4" t="n">
        <x:v>24.65</x:v>
      </x:c>
      <x:c r="H1470" s="4" t="n">
        <x:v>74.21</x:v>
      </x:c>
      <x:c r="I1470" s="5" t="n">
        <x:f t="shared" si="22">F1470*1000*H1470</x:f>
        <x:v>311126.1670999999</x:v>
      </x:c>
      <x:c r="J1470" t="n">
        <x:v>4.151</x:v>
      </x:c>
    </x:row>
    <x:row r="1471">
      <x:c r="A1471" s="3" t="n">
        <x:v>2023</x:v>
      </x:c>
      <x:c r="B1471" s="2" t="str">
        <x:v>Junio</x:v>
      </x:c>
      <x:c r="C1471" s="2" t="str">
        <x:v>RE-017696-1</x:v>
      </x:c>
      <x:c r="D1471" s="2" t="str">
        <x:v>P.E. TOURIÑAN IV</x:v>
      </x:c>
      <x:c r="E1471" s="4" t="n">
        <x:v>3.894</x:v>
      </x:c>
      <x:c r="F1471" s="4" t="n">
        <x:f>J1471*0.97</x:f>
        <x:v>3.68406</x:v>
      </x:c>
      <x:c r="G1471" s="4" t="n">
        <x:v>24.65</x:v>
      </x:c>
      <x:c r="H1471" s="4" t="n">
        <x:v>93.02</x:v>
      </x:c>
      <x:c r="I1471" s="5" t="n">
        <x:f t="shared" si="22">F1471*1000*H1471</x:f>
        <x:v>342691.2612</x:v>
      </x:c>
      <x:c r="J1471" t="n">
        <x:v>3.798</x:v>
      </x:c>
    </x:row>
    <x:row r="1472">
      <x:c r="A1472" s="3" t="n">
        <x:v>2023</x:v>
      </x:c>
      <x:c r="B1472" s="2" t="str">
        <x:v>Julio</x:v>
      </x:c>
      <x:c r="C1472" s="2" t="str">
        <x:v>RE-017696-1</x:v>
      </x:c>
      <x:c r="D1472" s="2" t="str">
        <x:v>P.E. TOURIÑAN IV</x:v>
      </x:c>
      <x:c r="E1472" s="4" t="n">
        <x:v>4.126</x:v>
      </x:c>
      <x:c r="F1472" s="4" t="n">
        <x:f>J1472*1.04</x:f>
        <x:v>4.15376</x:v>
      </x:c>
      <x:c r="G1472" s="4" t="n">
        <x:v>24.65</x:v>
      </x:c>
      <x:c r="H1472" s="4" t="n">
        <x:v>90.47</x:v>
      </x:c>
      <x:c r="I1472" s="5" t="n">
        <x:f t="shared" si="22">F1472*1000*H1472</x:f>
        <x:v>375790.6672</x:v>
      </x:c>
      <x:c r="J1472" t="n">
        <x:v>3.994</x:v>
      </x:c>
    </x:row>
    <x:row r="1473">
      <x:c r="A1473" s="3" t="n">
        <x:v>2023</x:v>
      </x:c>
      <x:c r="B1473" s="2" t="str">
        <x:v>Agosto</x:v>
      </x:c>
      <x:c r="C1473" s="2" t="str">
        <x:v>RE-017696-1</x:v>
      </x:c>
      <x:c r="D1473" s="2" t="str">
        <x:v>P.E. TOURIÑAN IV</x:v>
      </x:c>
      <x:c r="E1473" s="4" t="n">
        <x:v>4.376</x:v>
      </x:c>
      <x:c r="F1473" s="4" t="n">
        <x:f>J1473*1</x:f>
        <x:v>4.281</x:v>
      </x:c>
      <x:c r="G1473" s="4" t="n">
        <x:v>24.65</x:v>
      </x:c>
      <x:c r="H1473" s="4" t="n">
        <x:v>96.05</x:v>
      </x:c>
      <x:c r="I1473" s="5" t="n">
        <x:f t="shared" si="22">F1473*1000*H1473</x:f>
        <x:v>411190.05</x:v>
      </x:c>
      <x:c r="J1473" t="n">
        <x:v>4.281</x:v>
      </x:c>
    </x:row>
    <x:row r="1474">
      <x:c r="A1474" s="3" t="n">
        <x:v>2023</x:v>
      </x:c>
      <x:c r="B1474" s="2" t="str">
        <x:v>Septiembre</x:v>
      </x:c>
      <x:c r="C1474" s="2" t="str">
        <x:v>RE-017696-1</x:v>
      </x:c>
      <x:c r="D1474" s="2" t="str">
        <x:v>P.E. TOURIÑAN IV</x:v>
      </x:c>
      <x:c r="E1474" s="4" t="n">
        <x:v>3.987</x:v>
      </x:c>
      <x:c r="F1474" s="4" t="n">
        <x:f>J1474*0.96</x:f>
        <x:v>3.76896</x:v>
      </x:c>
      <x:c r="G1474" s="4" t="n">
        <x:v>24.65</x:v>
      </x:c>
      <x:c r="H1474" s="4" t="n">
        <x:v>103.34</x:v>
      </x:c>
      <x:c r="I1474" s="5" t="n">
        <x:f t="shared" ref="I1474:I1537" si="23">F1474*1000*H1474</x:f>
        <x:v>389484.3264</x:v>
      </x:c>
      <x:c r="J1474" t="n">
        <x:v>3.926</x:v>
      </x:c>
    </x:row>
    <x:row r="1475">
      <x:c r="A1475" s="3" t="n">
        <x:v>2023</x:v>
      </x:c>
      <x:c r="B1475" s="2" t="str">
        <x:v>Octubre</x:v>
      </x:c>
      <x:c r="C1475" s="2" t="str">
        <x:v>RE-017696-1</x:v>
      </x:c>
      <x:c r="D1475" s="2" t="str">
        <x:v>P.E. TOURIÑAN IV</x:v>
      </x:c>
      <x:c r="E1475" s="4" t="n">
        <x:v>5.644</x:v>
      </x:c>
      <x:c r="F1475" s="4" t="n">
        <x:f>J1475*1.03</x:f>
        <x:v>5.70311</x:v>
      </x:c>
      <x:c r="G1475" s="4" t="n">
        <x:v>24.65</x:v>
      </x:c>
      <x:c r="H1475" s="4" t="n">
        <x:v>90.14</x:v>
      </x:c>
      <x:c r="I1475" s="5" t="n">
        <x:f t="shared" si="23">F1475*1000*H1475</x:f>
        <x:v>514078.3354</x:v>
      </x:c>
      <x:c r="J1475" t="n">
        <x:v>5.537</x:v>
      </x:c>
    </x:row>
    <x:row r="1476">
      <x:c r="A1476" s="3" t="n">
        <x:v>2023</x:v>
      </x:c>
      <x:c r="B1476" s="2" t="str">
        <x:v>Noviembre</x:v>
      </x:c>
      <x:c r="C1476" s="2" t="str">
        <x:v>RE-017696-1</x:v>
      </x:c>
      <x:c r="D1476" s="2" t="str">
        <x:v>P.E. TOURIÑAN IV</x:v>
      </x:c>
      <x:c r="E1476" s="4" t="n">
        <x:v>6.85</x:v>
      </x:c>
      <x:c r="F1476" s="4" t="n">
        <x:f>J1476*0.99</x:f>
        <x:v>6.63201</x:v>
      </x:c>
      <x:c r="G1476" s="4" t="n">
        <x:v>24.65</x:v>
      </x:c>
      <x:c r="H1476" s="4" t="n">
        <x:v>63.45</x:v>
      </x:c>
      <x:c r="I1476" s="5" t="n">
        <x:f t="shared" si="23">F1476*1000*H1476</x:f>
        <x:v>420801.0345</x:v>
      </x:c>
      <x:c r="J1476" t="n">
        <x:v>6.699</x:v>
      </x:c>
    </x:row>
    <x:row r="1477">
      <x:c r="A1477" s="3" t="n">
        <x:v>2023</x:v>
      </x:c>
      <x:c r="B1477" s="2" t="str">
        <x:v>Diciembre</x:v>
      </x:c>
      <x:c r="C1477" s="2" t="str">
        <x:v>RE-017696-1</x:v>
      </x:c>
      <x:c r="D1477" s="2" t="str">
        <x:v>P.E. TOURIÑAN IV</x:v>
      </x:c>
      <x:c r="E1477" s="4" t="n">
        <x:v>6.565</x:v>
      </x:c>
      <x:c r="F1477" s="4" t="n">
        <x:f>J1477*0.95</x:f>
        <x:v>6.042</x:v>
      </x:c>
      <x:c r="G1477" s="4" t="n">
        <x:v>24.65</x:v>
      </x:c>
      <x:c r="H1477" s="4" t="n">
        <x:v>72.17</x:v>
      </x:c>
      <x:c r="I1477" s="5" t="n">
        <x:f t="shared" si="23">F1477*1000*H1477</x:f>
        <x:v>436051.14</x:v>
      </x:c>
      <x:c r="J1477" t="n">
        <x:v>6.36</x:v>
      </x:c>
    </x:row>
    <x:row r="1478">
      <x:c r="A1478" s="3" t="n">
        <x:v>2023</x:v>
      </x:c>
      <x:c r="B1478" s="2" t="str">
        <x:v>Enero</x:v>
      </x:c>
      <x:c r="C1478" s="2" t="str">
        <x:v>RE-017697-1</x:v>
      </x:c>
      <x:c r="D1478" s="2" t="str">
        <x:v>P.E. RIBEIRO</x:v>
      </x:c>
      <x:c r="E1478" s="4" t="n">
        <x:v>2.105</x:v>
      </x:c>
      <x:c r="F1478" s="4" t="n">
        <x:f>J1478*1.02</x:f>
        <x:v>2.1012</x:v>
      </x:c>
      <x:c r="G1478" s="4" t="n">
        <x:v>7.2</x:v>
      </x:c>
      <x:c r="H1478" s="4" t="n">
        <x:v>69.55</x:v>
      </x:c>
      <x:c r="I1478" s="5" t="n">
        <x:f t="shared" si="23">F1478*1000*H1478</x:f>
        <x:v>146138.46</x:v>
      </x:c>
      <x:c r="J1478" t="n">
        <x:v>2.06</x:v>
      </x:c>
    </x:row>
    <x:row r="1479">
      <x:c r="A1479" s="3" t="n">
        <x:v>2023</x:v>
      </x:c>
      <x:c r="B1479" s="2" t="str">
        <x:v>Febrero</x:v>
      </x:c>
      <x:c r="C1479" s="2" t="str">
        <x:v>RE-017697-1</x:v>
      </x:c>
      <x:c r="D1479" s="2" t="str">
        <x:v>P.E. RIBEIRO</x:v>
      </x:c>
      <x:c r="E1479" s="4" t="n">
        <x:v>1.666</x:v>
      </x:c>
      <x:c r="F1479" s="4" t="n">
        <x:f>J1479*0.98</x:f>
        <x:v>1.59054</x:v>
      </x:c>
      <x:c r="G1479" s="4" t="n">
        <x:v>7.2</x:v>
      </x:c>
      <x:c r="H1479" s="4" t="n">
        <x:v>133.47</x:v>
      </x:c>
      <x:c r="I1479" s="5" t="n">
        <x:f t="shared" si="23">F1479*1000*H1479</x:f>
        <x:v>212289.3738</x:v>
      </x:c>
      <x:c r="J1479" t="n">
        <x:v>1.623</x:v>
      </x:c>
    </x:row>
    <x:row r="1480">
      <x:c r="A1480" s="3" t="n">
        <x:v>2023</x:v>
      </x:c>
      <x:c r="B1480" s="2" t="str">
        <x:v>Marzo</x:v>
      </x:c>
      <x:c r="C1480" s="2" t="str">
        <x:v>RE-017697-1</x:v>
      </x:c>
      <x:c r="D1480" s="2" t="str">
        <x:v>P.E. RIBEIRO</x:v>
      </x:c>
      <x:c r="E1480" s="4" t="n">
        <x:v>1.853</x:v>
      </x:c>
      <x:c r="F1480" s="4" t="n">
        <x:f>J1480*0.94</x:f>
        <x:v>1.7014</x:v>
      </x:c>
      <x:c r="G1480" s="4" t="n">
        <x:v>7.2</x:v>
      </x:c>
      <x:c r="H1480" s="4" t="n">
        <x:v>89.61</x:v>
      </x:c>
      <x:c r="I1480" s="5" t="n">
        <x:f t="shared" si="23">F1480*1000*H1480</x:f>
        <x:v>152462.454</x:v>
      </x:c>
      <x:c r="J1480" t="n">
        <x:v>1.81</x:v>
      </x:c>
    </x:row>
    <x:row r="1481">
      <x:c r="A1481" s="3" t="n">
        <x:v>2023</x:v>
      </x:c>
      <x:c r="B1481" s="2" t="str">
        <x:v>Abril</x:v>
      </x:c>
      <x:c r="C1481" s="2" t="str">
        <x:v>RE-017697-1</x:v>
      </x:c>
      <x:c r="D1481" s="2" t="str">
        <x:v>P.E. RIBEIRO</x:v>
      </x:c>
      <x:c r="E1481" s="4" t="n">
        <x:v>1.503</x:v>
      </x:c>
      <x:c r="F1481" s="4" t="n">
        <x:f>J1481*1.01</x:f>
        <x:v>1.4897500000000001</x:v>
      </x:c>
      <x:c r="G1481" s="4" t="n">
        <x:v>7.2</x:v>
      </x:c>
      <x:c r="H1481" s="4" t="n">
        <x:v>73.73</x:v>
      </x:c>
      <x:c r="I1481" s="5" t="n">
        <x:f t="shared" si="23">F1481*1000*H1481</x:f>
        <x:v>109839.26750000002</x:v>
      </x:c>
      <x:c r="J1481" t="n">
        <x:v>1.475</x:v>
      </x:c>
    </x:row>
    <x:row r="1482">
      <x:c r="A1482" s="3" t="n">
        <x:v>2023</x:v>
      </x:c>
      <x:c r="B1482" s="2" t="str">
        <x:v>Mayo</x:v>
      </x:c>
      <x:c r="C1482" s="2" t="str">
        <x:v>RE-017697-1</x:v>
      </x:c>
      <x:c r="D1482" s="2" t="str">
        <x:v>P.E. RIBEIRO</x:v>
      </x:c>
      <x:c r="E1482" s="4" t="n">
        <x:v>1.31</x:v>
      </x:c>
      <x:c r="F1482" s="4" t="n">
        <x:f>J1482*0.97</x:f>
        <x:v>1.25033</x:v>
      </x:c>
      <x:c r="G1482" s="4" t="n">
        <x:v>7.2</x:v>
      </x:c>
      <x:c r="H1482" s="4" t="n">
        <x:v>74.21</x:v>
      </x:c>
      <x:c r="I1482" s="5" t="n">
        <x:f t="shared" si="23">F1482*1000*H1482</x:f>
        <x:v>92786.98929999999</x:v>
      </x:c>
      <x:c r="J1482" t="n">
        <x:v>1.289</x:v>
      </x:c>
    </x:row>
    <x:row r="1483">
      <x:c r="A1483" s="3" t="n">
        <x:v>2023</x:v>
      </x:c>
      <x:c r="B1483" s="2" t="str">
        <x:v>Junio</x:v>
      </x:c>
      <x:c r="C1483" s="2" t="str">
        <x:v>RE-017697-1</x:v>
      </x:c>
      <x:c r="D1483" s="2" t="str">
        <x:v>P.E. RIBEIRO</x:v>
      </x:c>
      <x:c r="E1483" s="4" t="n">
        <x:v>1.001</x:v>
      </x:c>
      <x:c r="F1483" s="4" t="n">
        <x:f>J1483*1.04</x:f>
        <x:v>1.01504</x:v>
      </x:c>
      <x:c r="G1483" s="4" t="n">
        <x:v>7.2</x:v>
      </x:c>
      <x:c r="H1483" s="4" t="n">
        <x:v>93.02</x:v>
      </x:c>
      <x:c r="I1483" s="5" t="n">
        <x:f t="shared" si="23">F1483*1000*H1483</x:f>
        <x:v>94419.0208</x:v>
      </x:c>
      <x:c r="J1483" t="n">
        <x:v>0.976</x:v>
      </x:c>
    </x:row>
    <x:row r="1484">
      <x:c r="A1484" s="3" t="n">
        <x:v>2023</x:v>
      </x:c>
      <x:c r="B1484" s="2" t="str">
        <x:v>Julio</x:v>
      </x:c>
      <x:c r="C1484" s="2" t="str">
        <x:v>RE-017697-1</x:v>
      </x:c>
      <x:c r="D1484" s="2" t="str">
        <x:v>P.E. RIBEIRO</x:v>
      </x:c>
      <x:c r="E1484" s="4" t="n">
        <x:v>1.011</x:v>
      </x:c>
      <x:c r="F1484" s="4" t="n">
        <x:f>J1484*1</x:f>
        <x:v>0.985</x:v>
      </x:c>
      <x:c r="G1484" s="4" t="n">
        <x:v>7.2</x:v>
      </x:c>
      <x:c r="H1484" s="4" t="n">
        <x:v>90.47</x:v>
      </x:c>
      <x:c r="I1484" s="5" t="n">
        <x:f t="shared" si="23">F1484*1000*H1484</x:f>
        <x:v>89112.95</x:v>
      </x:c>
      <x:c r="J1484" t="n">
        <x:v>0.985</x:v>
      </x:c>
    </x:row>
    <x:row r="1485">
      <x:c r="A1485" s="3" t="n">
        <x:v>2023</x:v>
      </x:c>
      <x:c r="B1485" s="2" t="str">
        <x:v>Agosto</x:v>
      </x:c>
      <x:c r="C1485" s="2" t="str">
        <x:v>RE-017697-1</x:v>
      </x:c>
      <x:c r="D1485" s="2" t="str">
        <x:v>P.E. RIBEIRO</x:v>
      </x:c>
      <x:c r="E1485" s="4" t="n">
        <x:v>0.958</x:v>
      </x:c>
      <x:c r="F1485" s="4" t="n">
        <x:f>J1485*0.96</x:f>
        <x:v>0.89856</x:v>
      </x:c>
      <x:c r="G1485" s="4" t="n">
        <x:v>7.2</x:v>
      </x:c>
      <x:c r="H1485" s="4" t="n">
        <x:v>96.05</x:v>
      </x:c>
      <x:c r="I1485" s="5" t="n">
        <x:f t="shared" si="23">F1485*1000*H1485</x:f>
        <x:v>86306.68800000001</x:v>
      </x:c>
      <x:c r="J1485" t="n">
        <x:v>0.936</x:v>
      </x:c>
    </x:row>
    <x:row r="1486">
      <x:c r="A1486" s="3" t="n">
        <x:v>2023</x:v>
      </x:c>
      <x:c r="B1486" s="2" t="str">
        <x:v>Septiembre</x:v>
      </x:c>
      <x:c r="C1486" s="2" t="str">
        <x:v>RE-017697-1</x:v>
      </x:c>
      <x:c r="D1486" s="2" t="str">
        <x:v>P.E. RIBEIRO</x:v>
      </x:c>
      <x:c r="E1486" s="4" t="n">
        <x:v>1.051</x:v>
      </x:c>
      <x:c r="F1486" s="4" t="n">
        <x:f>J1486*1.03</x:f>
        <x:v>1.0598699999999999</x:v>
      </x:c>
      <x:c r="G1486" s="4" t="n">
        <x:v>7.2</x:v>
      </x:c>
      <x:c r="H1486" s="4" t="n">
        <x:v>103.34</x:v>
      </x:c>
      <x:c r="I1486" s="5" t="n">
        <x:f t="shared" si="23">F1486*1000*H1486</x:f>
        <x:v>109526.96579999999</x:v>
      </x:c>
      <x:c r="J1486" t="n">
        <x:v>1.029</x:v>
      </x:c>
    </x:row>
    <x:row r="1487">
      <x:c r="A1487" s="3" t="n">
        <x:v>2023</x:v>
      </x:c>
      <x:c r="B1487" s="2" t="str">
        <x:v>Octubre</x:v>
      </x:c>
      <x:c r="C1487" s="2" t="str">
        <x:v>RE-017697-1</x:v>
      </x:c>
      <x:c r="D1487" s="2" t="str">
        <x:v>P.E. RIBEIRO</x:v>
      </x:c>
      <x:c r="E1487" s="4" t="n">
        <x:v>1.728</x:v>
      </x:c>
      <x:c r="F1487" s="4" t="n">
        <x:f>J1487*0.99</x:f>
        <x:v>1.6632</x:v>
      </x:c>
      <x:c r="G1487" s="4" t="n">
        <x:v>7.2</x:v>
      </x:c>
      <x:c r="H1487" s="4" t="n">
        <x:v>90.14</x:v>
      </x:c>
      <x:c r="I1487" s="5" t="n">
        <x:f t="shared" si="23">F1487*1000*H1487</x:f>
        <x:v>149920.848</x:v>
      </x:c>
      <x:c r="J1487" t="n">
        <x:v>1.68</x:v>
      </x:c>
    </x:row>
    <x:row r="1488">
      <x:c r="A1488" s="3" t="n">
        <x:v>2023</x:v>
      </x:c>
      <x:c r="B1488" s="2" t="str">
        <x:v>Noviembre</x:v>
      </x:c>
      <x:c r="C1488" s="2" t="str">
        <x:v>RE-017697-1</x:v>
      </x:c>
      <x:c r="D1488" s="2" t="str">
        <x:v>P.E. RIBEIRO</x:v>
      </x:c>
      <x:c r="E1488" s="4" t="n">
        <x:v>1.686</x:v>
      </x:c>
      <x:c r="F1488" s="4" t="n">
        <x:f>J1488*0.95</x:f>
        <x:v>1.5617999999999999</x:v>
      </x:c>
      <x:c r="G1488" s="4" t="n">
        <x:v>7.2</x:v>
      </x:c>
      <x:c r="H1488" s="4" t="n">
        <x:v>63.45</x:v>
      </x:c>
      <x:c r="I1488" s="5" t="n">
        <x:f t="shared" si="23">F1488*1000*H1488</x:f>
        <x:v>99096.21</x:v>
      </x:c>
      <x:c r="J1488" t="n">
        <x:v>1.644</x:v>
      </x:c>
    </x:row>
    <x:row r="1489">
      <x:c r="A1489" s="3" t="n">
        <x:v>2023</x:v>
      </x:c>
      <x:c r="B1489" s="2" t="str">
        <x:v>Diciembre</x:v>
      </x:c>
      <x:c r="C1489" s="2" t="str">
        <x:v>RE-017697-1</x:v>
      </x:c>
      <x:c r="D1489" s="2" t="str">
        <x:v>P.E. RIBEIRO</x:v>
      </x:c>
      <x:c r="E1489" s="4" t="n">
        <x:v>2.256</x:v>
      </x:c>
      <x:c r="F1489" s="4" t="n">
        <x:f>J1489*1.02</x:f>
        <x:v>2.2521600000000004</x:v>
      </x:c>
      <x:c r="G1489" s="4" t="n">
        <x:v>7.2</x:v>
      </x:c>
      <x:c r="H1489" s="4" t="n">
        <x:v>72.17</x:v>
      </x:c>
      <x:c r="I1489" s="5" t="n">
        <x:f t="shared" si="23">F1489*1000*H1489</x:f>
        <x:v>162538.38720000003</x:v>
      </x:c>
      <x:c r="J1489" t="n">
        <x:v>2.208</x:v>
      </x:c>
    </x:row>
    <x:row r="1490">
      <x:c r="A1490" s="3" t="n">
        <x:v>2023</x:v>
      </x:c>
      <x:c r="B1490" s="2" t="str">
        <x:v>Enero</x:v>
      </x:c>
      <x:c r="C1490" s="2" t="str">
        <x:v>RE-017698-1</x:v>
      </x:c>
      <x:c r="D1490" s="2" t="str">
        <x:v>P.E. OUROL</x:v>
      </x:c>
      <x:c r="E1490" s="4" t="n">
        <x:v>4.411</x:v>
      </x:c>
      <x:c r="F1490" s="4" t="n">
        <x:f>J1490*0.98</x:f>
        <x:v>4.1944</x:v>
      </x:c>
      <x:c r="G1490" s="4" t="n">
        <x:v>18</x:v>
      </x:c>
      <x:c r="H1490" s="4" t="n">
        <x:v>69.55</x:v>
      </x:c>
      <x:c r="I1490" s="5" t="n">
        <x:f t="shared" si="23">F1490*1000*H1490</x:f>
        <x:v>291720.51999999996</x:v>
      </x:c>
      <x:c r="J1490" t="n">
        <x:v>4.28</x:v>
      </x:c>
    </x:row>
    <x:row r="1491">
      <x:c r="A1491" s="3" t="n">
        <x:v>2023</x:v>
      </x:c>
      <x:c r="B1491" s="2" t="str">
        <x:v>Febrero</x:v>
      </x:c>
      <x:c r="C1491" s="2" t="str">
        <x:v>RE-017698-1</x:v>
      </x:c>
      <x:c r="D1491" s="2" t="str">
        <x:v>P.E. OUROL</x:v>
      </x:c>
      <x:c r="E1491" s="4" t="n">
        <x:v>4.581</x:v>
      </x:c>
      <x:c r="F1491" s="4" t="n">
        <x:f>J1491*0.94</x:f>
        <x:v>4.20368</x:v>
      </x:c>
      <x:c r="G1491" s="4" t="n">
        <x:v>18</x:v>
      </x:c>
      <x:c r="H1491" s="4" t="n">
        <x:v>133.47</x:v>
      </x:c>
      <x:c r="I1491" s="5" t="n">
        <x:f t="shared" si="23">F1491*1000*H1491</x:f>
        <x:v>561065.1696</x:v>
      </x:c>
      <x:c r="J1491" t="n">
        <x:v>4.472</x:v>
      </x:c>
    </x:row>
    <x:row r="1492">
      <x:c r="A1492" s="3" t="n">
        <x:v>2023</x:v>
      </x:c>
      <x:c r="B1492" s="2" t="str">
        <x:v>Marzo</x:v>
      </x:c>
      <x:c r="C1492" s="2" t="str">
        <x:v>RE-017698-1</x:v>
      </x:c>
      <x:c r="D1492" s="2" t="str">
        <x:v>P.E. OUROL</x:v>
      </x:c>
      <x:c r="E1492" s="4" t="n">
        <x:v>4.283</x:v>
      </x:c>
      <x:c r="F1492" s="4" t="n">
        <x:f>J1492*1.01</x:f>
        <x:v>4.248060000000001</x:v>
      </x:c>
      <x:c r="G1492" s="4" t="n">
        <x:v>18</x:v>
      </x:c>
      <x:c r="H1492" s="4" t="n">
        <x:v>89.61</x:v>
      </x:c>
      <x:c r="I1492" s="5" t="n">
        <x:f t="shared" si="23">F1492*1000*H1492</x:f>
        <x:v>380668.65660000005</x:v>
      </x:c>
      <x:c r="J1492" t="n">
        <x:v>4.206</x:v>
      </x:c>
    </x:row>
    <x:row r="1493">
      <x:c r="A1493" s="3" t="n">
        <x:v>2023</x:v>
      </x:c>
      <x:c r="B1493" s="2" t="str">
        <x:v>Abril</x:v>
      </x:c>
      <x:c r="C1493" s="2" t="str">
        <x:v>RE-017698-1</x:v>
      </x:c>
      <x:c r="D1493" s="2" t="str">
        <x:v>P.E. OUROL</x:v>
      </x:c>
      <x:c r="E1493" s="4" t="n">
        <x:v>3.574</x:v>
      </x:c>
      <x:c r="F1493" s="4" t="n">
        <x:f>J1493*0.97</x:f>
        <x:v>3.3765699999999996</x:v>
      </x:c>
      <x:c r="G1493" s="4" t="n">
        <x:v>18</x:v>
      </x:c>
      <x:c r="H1493" s="4" t="n">
        <x:v>73.73</x:v>
      </x:c>
      <x:c r="I1493" s="5" t="n">
        <x:f t="shared" si="23">F1493*1000*H1493</x:f>
        <x:v>248954.5061</x:v>
      </x:c>
      <x:c r="J1493" t="n">
        <x:v>3.481</x:v>
      </x:c>
    </x:row>
    <x:row r="1494">
      <x:c r="A1494" s="3" t="n">
        <x:v>2023</x:v>
      </x:c>
      <x:c r="B1494" s="2" t="str">
        <x:v>Mayo</x:v>
      </x:c>
      <x:c r="C1494" s="2" t="str">
        <x:v>RE-017698-1</x:v>
      </x:c>
      <x:c r="D1494" s="2" t="str">
        <x:v>P.E. OUROL</x:v>
      </x:c>
      <x:c r="E1494" s="4" t="n">
        <x:v>3.498</x:v>
      </x:c>
      <x:c r="F1494" s="4" t="n">
        <x:f>J1494*1.04</x:f>
        <x:v>3.52664</x:v>
      </x:c>
      <x:c r="G1494" s="4" t="n">
        <x:v>18</x:v>
      </x:c>
      <x:c r="H1494" s="4" t="n">
        <x:v>74.21</x:v>
      </x:c>
      <x:c r="I1494" s="5" t="n">
        <x:f t="shared" si="23">F1494*1000*H1494</x:f>
        <x:v>261711.95439999996</x:v>
      </x:c>
      <x:c r="J1494" t="n">
        <x:v>3.391</x:v>
      </x:c>
    </x:row>
    <x:row r="1495">
      <x:c r="A1495" s="3" t="n">
        <x:v>2023</x:v>
      </x:c>
      <x:c r="B1495" s="2" t="str">
        <x:v>Junio</x:v>
      </x:c>
      <x:c r="C1495" s="2" t="str">
        <x:v>RE-017698-1</x:v>
      </x:c>
      <x:c r="D1495" s="2" t="str">
        <x:v>P.E. OUROL</x:v>
      </x:c>
      <x:c r="E1495" s="4" t="n">
        <x:v>2.514</x:v>
      </x:c>
      <x:c r="F1495" s="4" t="n">
        <x:f>J1495*1</x:f>
        <x:v>2.466</x:v>
      </x:c>
      <x:c r="G1495" s="4" t="n">
        <x:v>18</x:v>
      </x:c>
      <x:c r="H1495" s="4" t="n">
        <x:v>93.02</x:v>
      </x:c>
      <x:c r="I1495" s="5" t="n">
        <x:f t="shared" si="23">F1495*1000*H1495</x:f>
        <x:v>229387.31999999998</x:v>
      </x:c>
      <x:c r="J1495" t="n">
        <x:v>2.466</x:v>
      </x:c>
    </x:row>
    <x:row r="1496">
      <x:c r="A1496" s="3" t="n">
        <x:v>2023</x:v>
      </x:c>
      <x:c r="B1496" s="2" t="str">
        <x:v>Julio</x:v>
      </x:c>
      <x:c r="C1496" s="2" t="str">
        <x:v>RE-017698-1</x:v>
      </x:c>
      <x:c r="D1496" s="2" t="str">
        <x:v>P.E. OUROL</x:v>
      </x:c>
      <x:c r="E1496" s="4" t="n">
        <x:v>2.295</x:v>
      </x:c>
      <x:c r="F1496" s="4" t="n">
        <x:f>J1496*0.96</x:f>
        <x:v>2.15424</x:v>
      </x:c>
      <x:c r="G1496" s="4" t="n">
        <x:v>18</x:v>
      </x:c>
      <x:c r="H1496" s="4" t="n">
        <x:v>90.47</x:v>
      </x:c>
      <x:c r="I1496" s="5" t="n">
        <x:f t="shared" si="23">F1496*1000*H1496</x:f>
        <x:v>194894.0928</x:v>
      </x:c>
      <x:c r="J1496" t="n">
        <x:v>2.244</x:v>
      </x:c>
    </x:row>
    <x:row r="1497">
      <x:c r="A1497" s="3" t="n">
        <x:v>2023</x:v>
      </x:c>
      <x:c r="B1497" s="2" t="str">
        <x:v>Agosto</x:v>
      </x:c>
      <x:c r="C1497" s="2" t="str">
        <x:v>RE-017698-1</x:v>
      </x:c>
      <x:c r="D1497" s="2" t="str">
        <x:v>P.E. OUROL</x:v>
      </x:c>
      <x:c r="E1497" s="4" t="n">
        <x:v>2.567</x:v>
      </x:c>
      <x:c r="F1497" s="4" t="n">
        <x:f>J1497*1.03</x:f>
        <x:v>2.5708800000000003</x:v>
      </x:c>
      <x:c r="G1497" s="4" t="n">
        <x:v>18</x:v>
      </x:c>
      <x:c r="H1497" s="4" t="n">
        <x:v>96.05</x:v>
      </x:c>
      <x:c r="I1497" s="5" t="n">
        <x:f t="shared" si="23">F1497*1000*H1497</x:f>
        <x:v>246933.024</x:v>
      </x:c>
      <x:c r="J1497" t="n">
        <x:v>2.496</x:v>
      </x:c>
    </x:row>
    <x:row r="1498">
      <x:c r="A1498" s="3" t="n">
        <x:v>2023</x:v>
      </x:c>
      <x:c r="B1498" s="2" t="str">
        <x:v>Septiembre</x:v>
      </x:c>
      <x:c r="C1498" s="2" t="str">
        <x:v>RE-017698-1</x:v>
      </x:c>
      <x:c r="D1498" s="2" t="str">
        <x:v>P.E. OUROL</x:v>
      </x:c>
      <x:c r="E1498" s="4" t="n">
        <x:v>3.198</x:v>
      </x:c>
      <x:c r="F1498" s="4" t="n">
        <x:f>J1498*0.99</x:f>
        <x:v>3.07098</x:v>
      </x:c>
      <x:c r="G1498" s="4" t="n">
        <x:v>18</x:v>
      </x:c>
      <x:c r="H1498" s="4" t="n">
        <x:v>103.34</x:v>
      </x:c>
      <x:c r="I1498" s="5" t="n">
        <x:f t="shared" si="23">F1498*1000*H1498</x:f>
        <x:v>317355.0732</x:v>
      </x:c>
      <x:c r="J1498" t="n">
        <x:v>3.102</x:v>
      </x:c>
    </x:row>
    <x:row r="1499">
      <x:c r="A1499" s="3" t="n">
        <x:v>2023</x:v>
      </x:c>
      <x:c r="B1499" s="2" t="str">
        <x:v>Octubre</x:v>
      </x:c>
      <x:c r="C1499" s="2" t="str">
        <x:v>RE-017698-1</x:v>
      </x:c>
      <x:c r="D1499" s="2" t="str">
        <x:v>P.E. OUROL</x:v>
      </x:c>
      <x:c r="E1499" s="4" t="n">
        <x:v>3.922</x:v>
      </x:c>
      <x:c r="F1499" s="4" t="n">
        <x:f>J1499*0.95</x:f>
        <x:v>3.61285</x:v>
      </x:c>
      <x:c r="G1499" s="4" t="n">
        <x:v>18</x:v>
      </x:c>
      <x:c r="H1499" s="4" t="n">
        <x:v>90.14</x:v>
      </x:c>
      <x:c r="I1499" s="5" t="n">
        <x:f t="shared" si="23">F1499*1000*H1499</x:f>
        <x:v>325662.299</x:v>
      </x:c>
      <x:c r="J1499" t="n">
        <x:v>3.803</x:v>
      </x:c>
    </x:row>
    <x:row r="1500">
      <x:c r="A1500" s="3" t="n">
        <x:v>2023</x:v>
      </x:c>
      <x:c r="B1500" s="2" t="str">
        <x:v>Noviembre</x:v>
      </x:c>
      <x:c r="C1500" s="2" t="str">
        <x:v>RE-017698-1</x:v>
      </x:c>
      <x:c r="D1500" s="2" t="str">
        <x:v>P.E. OUROL</x:v>
      </x:c>
      <x:c r="E1500" s="4" t="n">
        <x:v>4.822</x:v>
      </x:c>
      <x:c r="F1500" s="4" t="n">
        <x:f>J1500*1.02</x:f>
        <x:v>4.79502</x:v>
      </x:c>
      <x:c r="G1500" s="4" t="n">
        <x:v>18</x:v>
      </x:c>
      <x:c r="H1500" s="4" t="n">
        <x:v>63.45</x:v>
      </x:c>
      <x:c r="I1500" s="5" t="n">
        <x:f t="shared" si="23">F1500*1000*H1500</x:f>
        <x:v>304244.01900000003</x:v>
      </x:c>
      <x:c r="J1500" t="n">
        <x:v>4.701</x:v>
      </x:c>
    </x:row>
    <x:row r="1501">
      <x:c r="A1501" s="3" t="n">
        <x:v>2023</x:v>
      </x:c>
      <x:c r="B1501" s="2" t="str">
        <x:v>Diciembre</x:v>
      </x:c>
      <x:c r="C1501" s="2" t="str">
        <x:v>RE-017698-1</x:v>
      </x:c>
      <x:c r="D1501" s="2" t="str">
        <x:v>P.E. OUROL</x:v>
      </x:c>
      <x:c r="E1501" s="4" t="n">
        <x:v>4.475</x:v>
      </x:c>
      <x:c r="F1501" s="4" t="n">
        <x:f>J1501*0.98</x:f>
        <x:v>4.2973</x:v>
      </x:c>
      <x:c r="G1501" s="4" t="n">
        <x:v>18</x:v>
      </x:c>
      <x:c r="H1501" s="4" t="n">
        <x:v>72.17</x:v>
      </x:c>
      <x:c r="I1501" s="5" t="n">
        <x:f t="shared" si="23">F1501*1000*H1501</x:f>
        <x:v>310136.141</x:v>
      </x:c>
      <x:c r="J1501" t="n">
        <x:v>4.385</x:v>
      </x:c>
    </x:row>
    <x:row r="1502">
      <x:c r="A1502" s="3" t="n">
        <x:v>2023</x:v>
      </x:c>
      <x:c r="B1502" s="2" t="str">
        <x:v>Enero</x:v>
      </x:c>
      <x:c r="C1502" s="2" t="str">
        <x:v>RE-017699-1</x:v>
      </x:c>
      <x:c r="D1502" s="2" t="str">
        <x:v>P.E. SABUCEDO</x:v>
      </x:c>
      <x:c r="E1502" s="4" t="n">
        <x:v>3.925</x:v>
      </x:c>
      <x:c r="F1502" s="4" t="n">
        <x:f>J1502*0.94</x:f>
        <x:v>3.60396</x:v>
      </x:c>
      <x:c r="G1502" s="4" t="n">
        <x:v>13.2</x:v>
      </x:c>
      <x:c r="H1502" s="4" t="n">
        <x:v>69.55</x:v>
      </x:c>
      <x:c r="I1502" s="5" t="n">
        <x:f t="shared" si="23">F1502*1000*H1502</x:f>
        <x:v>250655.418</x:v>
      </x:c>
      <x:c r="J1502" t="n">
        <x:v>3.834</x:v>
      </x:c>
    </x:row>
    <x:row r="1503">
      <x:c r="A1503" s="3" t="n">
        <x:v>2023</x:v>
      </x:c>
      <x:c r="B1503" s="2" t="str">
        <x:v>Febrero</x:v>
      </x:c>
      <x:c r="C1503" s="2" t="str">
        <x:v>RE-017699-1</x:v>
      </x:c>
      <x:c r="D1503" s="2" t="str">
        <x:v>P.E. SABUCEDO</x:v>
      </x:c>
      <x:c r="E1503" s="4" t="n">
        <x:v>3.094</x:v>
      </x:c>
      <x:c r="F1503" s="4" t="n">
        <x:f>J1503*1.01</x:f>
        <x:v>3.02495</x:v>
      </x:c>
      <x:c r="G1503" s="4" t="n">
        <x:v>13.2</x:v>
      </x:c>
      <x:c r="H1503" s="4" t="n">
        <x:v>133.47</x:v>
      </x:c>
      <x:c r="I1503" s="5" t="n">
        <x:f t="shared" si="23">F1503*1000*H1503</x:f>
        <x:v>403740.07649999997</x:v>
      </x:c>
      <x:c r="J1503" t="n">
        <x:v>2.995</x:v>
      </x:c>
    </x:row>
    <x:row r="1504">
      <x:c r="A1504" s="3" t="n">
        <x:v>2023</x:v>
      </x:c>
      <x:c r="B1504" s="2" t="str">
        <x:v>Marzo</x:v>
      </x:c>
      <x:c r="C1504" s="2" t="str">
        <x:v>RE-017699-1</x:v>
      </x:c>
      <x:c r="D1504" s="2" t="str">
        <x:v>P.E. SABUCEDO</x:v>
      </x:c>
      <x:c r="E1504" s="4" t="n">
        <x:v>3.314</x:v>
      </x:c>
      <x:c r="F1504" s="4" t="n">
        <x:f>J1504*0.97</x:f>
        <x:v>3.11952</x:v>
      </x:c>
      <x:c r="G1504" s="4" t="n">
        <x:v>13.2</x:v>
      </x:c>
      <x:c r="H1504" s="4" t="n">
        <x:v>89.61</x:v>
      </x:c>
      <x:c r="I1504" s="5" t="n">
        <x:f t="shared" si="23">F1504*1000*H1504</x:f>
        <x:v>279540.1872</x:v>
      </x:c>
      <x:c r="J1504" t="n">
        <x:v>3.216</x:v>
      </x:c>
    </x:row>
    <x:row r="1505">
      <x:c r="A1505" s="3" t="n">
        <x:v>2023</x:v>
      </x:c>
      <x:c r="B1505" s="2" t="str">
        <x:v>Abril</x:v>
      </x:c>
      <x:c r="C1505" s="2" t="str">
        <x:v>RE-017699-1</x:v>
      </x:c>
      <x:c r="D1505" s="2" t="str">
        <x:v>P.E. SABUCEDO</x:v>
      </x:c>
      <x:c r="E1505" s="4" t="n">
        <x:v>2.407</x:v>
      </x:c>
      <x:c r="F1505" s="4" t="n">
        <x:f>J1505*1.04</x:f>
        <x:v>2.44088</x:v>
      </x:c>
      <x:c r="G1505" s="4" t="n">
        <x:v>13.2</x:v>
      </x:c>
      <x:c r="H1505" s="4" t="n">
        <x:v>73.73</x:v>
      </x:c>
      <x:c r="I1505" s="5" t="n">
        <x:f t="shared" si="23">F1505*1000*H1505</x:f>
        <x:v>179966.0824</x:v>
      </x:c>
      <x:c r="J1505" t="n">
        <x:v>2.347</x:v>
      </x:c>
    </x:row>
    <x:row r="1506">
      <x:c r="A1506" s="3" t="n">
        <x:v>2023</x:v>
      </x:c>
      <x:c r="B1506" s="2" t="str">
        <x:v>Mayo</x:v>
      </x:c>
      <x:c r="C1506" s="2" t="str">
        <x:v>RE-017699-1</x:v>
      </x:c>
      <x:c r="D1506" s="2" t="str">
        <x:v>P.E. SABUCEDO</x:v>
      </x:c>
      <x:c r="E1506" s="4" t="n">
        <x:v>2.315</x:v>
      </x:c>
      <x:c r="F1506" s="4" t="n">
        <x:f>J1506*1</x:f>
        <x:v>2.245</x:v>
      </x:c>
      <x:c r="G1506" s="4" t="n">
        <x:v>13.2</x:v>
      </x:c>
      <x:c r="H1506" s="4" t="n">
        <x:v>74.21</x:v>
      </x:c>
      <x:c r="I1506" s="5" t="n">
        <x:f t="shared" si="23">F1506*1000*H1506</x:f>
        <x:v>166601.44999999998</x:v>
      </x:c>
      <x:c r="J1506" t="n">
        <x:v>2.245</x:v>
      </x:c>
    </x:row>
    <x:row r="1507">
      <x:c r="A1507" s="3" t="n">
        <x:v>2023</x:v>
      </x:c>
      <x:c r="B1507" s="2" t="str">
        <x:v>Junio</x:v>
      </x:c>
      <x:c r="C1507" s="2" t="str">
        <x:v>RE-017699-1</x:v>
      </x:c>
      <x:c r="D1507" s="2" t="str">
        <x:v>P.E. SABUCEDO</x:v>
      </x:c>
      <x:c r="E1507" s="4" t="n">
        <x:v>2.173</x:v>
      </x:c>
      <x:c r="F1507" s="4" t="n">
        <x:f>J1507*0.96</x:f>
        <x:v>2.0361599999999997</x:v>
      </x:c>
      <x:c r="G1507" s="4" t="n">
        <x:v>13.2</x:v>
      </x:c>
      <x:c r="H1507" s="4" t="n">
        <x:v>93.02</x:v>
      </x:c>
      <x:c r="I1507" s="5" t="n">
        <x:f t="shared" si="23">F1507*1000*H1507</x:f>
        <x:v>189403.60319999998</x:v>
      </x:c>
      <x:c r="J1507" t="n">
        <x:v>2.121</x:v>
      </x:c>
    </x:row>
    <x:row r="1508">
      <x:c r="A1508" s="3" t="n">
        <x:v>2023</x:v>
      </x:c>
      <x:c r="B1508" s="2" t="str">
        <x:v>Julio</x:v>
      </x:c>
      <x:c r="C1508" s="2" t="str">
        <x:v>RE-017699-1</x:v>
      </x:c>
      <x:c r="D1508" s="2" t="str">
        <x:v>P.E. SABUCEDO</x:v>
      </x:c>
      <x:c r="E1508" s="4" t="n">
        <x:v>2.073</x:v>
      </x:c>
      <x:c r="F1508" s="4" t="n">
        <x:f>J1508*1.03</x:f>
        <x:v>2.09296</x:v>
      </x:c>
      <x:c r="G1508" s="4" t="n">
        <x:v>13.2</x:v>
      </x:c>
      <x:c r="H1508" s="4" t="n">
        <x:v>90.47</x:v>
      </x:c>
      <x:c r="I1508" s="5" t="n">
        <x:f t="shared" si="23">F1508*1000*H1508</x:f>
        <x:v>189350.0912</x:v>
      </x:c>
      <x:c r="J1508" t="n">
        <x:v>2.032</x:v>
      </x:c>
    </x:row>
    <x:row r="1509">
      <x:c r="A1509" s="3" t="n">
        <x:v>2023</x:v>
      </x:c>
      <x:c r="B1509" s="2" t="str">
        <x:v>Agosto</x:v>
      </x:c>
      <x:c r="C1509" s="2" t="str">
        <x:v>RE-017699-1</x:v>
      </x:c>
      <x:c r="D1509" s="2" t="str">
        <x:v>P.E. SABUCEDO</x:v>
      </x:c>
      <x:c r="E1509" s="4" t="n">
        <x:v>2.068</x:v>
      </x:c>
      <x:c r="F1509" s="4" t="n">
        <x:f>J1509*0.99</x:f>
        <x:v>2.01366</x:v>
      </x:c>
      <x:c r="G1509" s="4" t="n">
        <x:v>13.2</x:v>
      </x:c>
      <x:c r="H1509" s="4" t="n">
        <x:v>96.05</x:v>
      </x:c>
      <x:c r="I1509" s="5" t="n">
        <x:f t="shared" si="23">F1509*1000*H1509</x:f>
        <x:v>193412.04299999998</x:v>
      </x:c>
      <x:c r="J1509" t="n">
        <x:v>2.034</x:v>
      </x:c>
    </x:row>
    <x:row r="1510">
      <x:c r="A1510" s="3" t="n">
        <x:v>2023</x:v>
      </x:c>
      <x:c r="B1510" s="2" t="str">
        <x:v>Septiembre</x:v>
      </x:c>
      <x:c r="C1510" s="2" t="str">
        <x:v>RE-017699-1</x:v>
      </x:c>
      <x:c r="D1510" s="2" t="str">
        <x:v>P.E. SABUCEDO</x:v>
      </x:c>
      <x:c r="E1510" s="4" t="n">
        <x:v>2.135</x:v>
      </x:c>
      <x:c r="F1510" s="4" t="n">
        <x:f>J1510*0.95</x:f>
        <x:v>1.976</x:v>
      </x:c>
      <x:c r="G1510" s="4" t="n">
        <x:v>13.2</x:v>
      </x:c>
      <x:c r="H1510" s="4" t="n">
        <x:v>103.34</x:v>
      </x:c>
      <x:c r="I1510" s="5" t="n">
        <x:f t="shared" si="23">F1510*1000*H1510</x:f>
        <x:v>204199.84</x:v>
      </x:c>
      <x:c r="J1510" t="n">
        <x:v>2.08</x:v>
      </x:c>
    </x:row>
    <x:row r="1511">
      <x:c r="A1511" s="3" t="n">
        <x:v>2023</x:v>
      </x:c>
      <x:c r="B1511" s="2" t="str">
        <x:v>Octubre</x:v>
      </x:c>
      <x:c r="C1511" s="2" t="str">
        <x:v>RE-017699-1</x:v>
      </x:c>
      <x:c r="D1511" s="2" t="str">
        <x:v>P.E. SABUCEDO</x:v>
      </x:c>
      <x:c r="E1511" s="4" t="n">
        <x:v>3.221</x:v>
      </x:c>
      <x:c r="F1511" s="4" t="n">
        <x:f>J1511*1.02</x:f>
        <x:v>3.18342</x:v>
      </x:c>
      <x:c r="G1511" s="4" t="n">
        <x:v>13.2</x:v>
      </x:c>
      <x:c r="H1511" s="4" t="n">
        <x:v>90.14</x:v>
      </x:c>
      <x:c r="I1511" s="5" t="n">
        <x:f t="shared" si="23">F1511*1000*H1511</x:f>
        <x:v>286953.4788</x:v>
      </x:c>
      <x:c r="J1511" t="n">
        <x:v>3.121</x:v>
      </x:c>
    </x:row>
    <x:row r="1512">
      <x:c r="A1512" s="3" t="n">
        <x:v>2023</x:v>
      </x:c>
      <x:c r="B1512" s="2" t="str">
        <x:v>Noviembre</x:v>
      </x:c>
      <x:c r="C1512" s="2" t="str">
        <x:v>RE-017699-1</x:v>
      </x:c>
      <x:c r="D1512" s="2" t="str">
        <x:v>P.E. SABUCEDO</x:v>
      </x:c>
      <x:c r="E1512" s="4" t="n">
        <x:v>3.024</x:v>
      </x:c>
      <x:c r="F1512" s="4" t="n">
        <x:f>J1512*0.98</x:f>
        <x:v>2.89002</x:v>
      </x:c>
      <x:c r="G1512" s="4" t="n">
        <x:v>13.2</x:v>
      </x:c>
      <x:c r="H1512" s="4" t="n">
        <x:v>63.45</x:v>
      </x:c>
      <x:c r="I1512" s="5" t="n">
        <x:f t="shared" si="23">F1512*1000*H1512</x:f>
        <x:v>183371.769</x:v>
      </x:c>
      <x:c r="J1512" t="n">
        <x:v>2.949</x:v>
      </x:c>
    </x:row>
    <x:row r="1513">
      <x:c r="A1513" s="3" t="n">
        <x:v>2023</x:v>
      </x:c>
      <x:c r="B1513" s="2" t="str">
        <x:v>Diciembre</x:v>
      </x:c>
      <x:c r="C1513" s="2" t="str">
        <x:v>RE-017699-1</x:v>
      </x:c>
      <x:c r="D1513" s="2" t="str">
        <x:v>P.E. SABUCEDO</x:v>
      </x:c>
      <x:c r="E1513" s="4" t="n">
        <x:v>3.685</x:v>
      </x:c>
      <x:c r="F1513" s="4" t="n">
        <x:f>J1513*0.94</x:f>
        <x:v>3.37742</x:v>
      </x:c>
      <x:c r="G1513" s="4" t="n">
        <x:v>13.2</x:v>
      </x:c>
      <x:c r="H1513" s="4" t="n">
        <x:v>72.17</x:v>
      </x:c>
      <x:c r="I1513" s="5" t="n">
        <x:f t="shared" si="23">F1513*1000*H1513</x:f>
        <x:v>243748.4014</x:v>
      </x:c>
      <x:c r="J1513" t="n">
        <x:v>3.593</x:v>
      </x:c>
    </x:row>
    <x:row r="1514">
      <x:c r="A1514" s="3" t="n">
        <x:v>2023</x:v>
      </x:c>
      <x:c r="B1514" s="2" t="str">
        <x:v>Enero</x:v>
      </x:c>
      <x:c r="C1514" s="2" t="str">
        <x:v>RE-018018-1</x:v>
      </x:c>
      <x:c r="D1514" s="2" t="str">
        <x:v>P.E. XIABRE Y AMPLIACION DE XIABRE</x:v>
      </x:c>
      <x:c r="E1514" s="4" t="n">
        <x:v>6.12023076923077</x:v>
      </x:c>
      <x:c r="F1514" s="4" t="n">
        <x:f>J1514*1.01</x:f>
        <x:v>6.026320384615384</x:v>
      </x:c>
      <x:c r="G1514" s="4" t="n">
        <x:v>19.8</x:v>
      </x:c>
      <x:c r="H1514" s="4" t="n">
        <x:v>69.55</x:v>
      </x:c>
      <x:c r="I1514" s="5" t="n">
        <x:f t="shared" si="23">F1514*1000*H1514</x:f>
        <x:v>419130.58274999994</x:v>
      </x:c>
      <x:c r="J1514" t="n">
        <x:v>5.966653846153846</x:v>
      </x:c>
    </x:row>
    <x:row r="1515">
      <x:c r="A1515" s="3" t="n">
        <x:v>2023</x:v>
      </x:c>
      <x:c r="B1515" s="2" t="str">
        <x:v>Enero</x:v>
      </x:c>
      <x:c r="C1515" s="2" t="str">
        <x:v>RE-018018-2</x:v>
      </x:c>
      <x:c r="D1515" s="2" t="str">
        <x:v>P.E. XIABRE Y AMPLIACION DE XIABRE</x:v>
      </x:c>
      <x:c r="E1515" s="4" t="n">
        <x:v>3.52376923076923</x:v>
      </x:c>
      <x:c r="F1515" s="4" t="n">
        <x:f>J1515*1.01</x:f>
        <x:v>3.469699615384615</x:v>
      </x:c>
      <x:c r="G1515" s="4" t="n">
        <x:v>11.4</x:v>
      </x:c>
      <x:c r="H1515" s="4" t="n">
        <x:v>69.55</x:v>
      </x:c>
      <x:c r="I1515" s="5" t="n">
        <x:f t="shared" si="23">F1515*1000*H1515</x:f>
        <x:v>241317.60825</x:v>
      </x:c>
      <x:c r="J1515" t="n">
        <x:v>3.4353461538461536</x:v>
      </x:c>
    </x:row>
    <x:row r="1516">
      <x:c r="A1516" s="3" t="n">
        <x:v>2023</x:v>
      </x:c>
      <x:c r="B1516" s="2" t="str">
        <x:v>Febrero</x:v>
      </x:c>
      <x:c r="C1516" s="2" t="str">
        <x:v>RE-018018-1</x:v>
      </x:c>
      <x:c r="D1516" s="2" t="str">
        <x:v>P.E. XIABRE Y AMPLIACION DE XIABRE</x:v>
      </x:c>
      <x:c r="E1516" s="4" t="n">
        <x:v>4.550826923076924</x:v>
      </x:c>
      <x:c r="F1516" s="4" t="n">
        <x:f>J1516*0.97</x:f>
        <x:v>4.321965576923077</x:v>
      </x:c>
      <x:c r="G1516" s="4" t="n">
        <x:v>19.8</x:v>
      </x:c>
      <x:c r="H1516" s="4" t="n">
        <x:v>133.47</x:v>
      </x:c>
      <x:c r="I1516" s="5" t="n">
        <x:f t="shared" si="23">F1516*1000*H1516</x:f>
        <x:v>576852.745551923</x:v>
      </x:c>
      <x:c r="J1516" t="n">
        <x:v>4.455634615384615</x:v>
      </x:c>
    </x:row>
    <x:row r="1517">
      <x:c r="A1517" s="3" t="n">
        <x:v>2023</x:v>
      </x:c>
      <x:c r="B1517" s="2" t="str">
        <x:v>Febrero</x:v>
      </x:c>
      <x:c r="C1517" s="2" t="str">
        <x:v>RE-018018-2</x:v>
      </x:c>
      <x:c r="D1517" s="2" t="str">
        <x:v>P.E. XIABRE Y AMPLIACION DE XIABRE</x:v>
      </x:c>
      <x:c r="E1517" s="4" t="n">
        <x:v>2.620173076923076</x:v>
      </x:c>
      <x:c r="F1517" s="4" t="n">
        <x:f>J1517*0.97</x:f>
        <x:v>2.4884044230769233</x:v>
      </x:c>
      <x:c r="G1517" s="4" t="n">
        <x:v>11.4</x:v>
      </x:c>
      <x:c r="H1517" s="4" t="n">
        <x:v>133.47</x:v>
      </x:c>
      <x:c r="I1517" s="5" t="n">
        <x:f t="shared" si="23">F1517*1000*H1517</x:f>
        <x:v>332127.3383480769</x:v>
      </x:c>
      <x:c r="J1517" t="n">
        <x:v>2.5653653846153848</x:v>
      </x:c>
    </x:row>
    <x:row r="1518">
      <x:c r="A1518" s="3" t="n">
        <x:v>2023</x:v>
      </x:c>
      <x:c r="B1518" s="2" t="str">
        <x:v>Marzo</x:v>
      </x:c>
      <x:c r="C1518" s="2" t="str">
        <x:v>RE-018018-1</x:v>
      </x:c>
      <x:c r="D1518" s="2" t="str">
        <x:v>P.E. XIABRE Y AMPLIACION DE XIABRE</x:v>
      </x:c>
      <x:c r="E1518" s="4" t="n">
        <x:v>4.458173076923077</x:v>
      </x:c>
      <x:c r="F1518" s="4" t="n">
        <x:f>J1518*1.04</x:f>
        <x:v>4.49856</x:v>
      </x:c>
      <x:c r="G1518" s="4" t="n">
        <x:v>19.8</x:v>
      </x:c>
      <x:c r="H1518" s="4" t="n">
        <x:v>89.61</x:v>
      </x:c>
      <x:c r="I1518" s="5" t="n">
        <x:f t="shared" si="23">F1518*1000*H1518</x:f>
        <x:v>403115.96160000004</x:v>
      </x:c>
      <x:c r="J1518" t="n">
        <x:v>4.3255384615384616</x:v>
      </x:c>
    </x:row>
    <x:row r="1519">
      <x:c r="A1519" s="3" t="n">
        <x:v>2023</x:v>
      </x:c>
      <x:c r="B1519" s="2" t="str">
        <x:v>Marzo</x:v>
      </x:c>
      <x:c r="C1519" s="2" t="str">
        <x:v>RE-018018-2</x:v>
      </x:c>
      <x:c r="D1519" s="2" t="str">
        <x:v>P.E. XIABRE Y AMPLIACION DE XIABRE</x:v>
      </x:c>
      <x:c r="E1519" s="4" t="n">
        <x:v>2.566826923076923</x:v>
      </x:c>
      <x:c r="F1519" s="4" t="n">
        <x:f>J1519*1.04</x:f>
        <x:v>2.59008</x:v>
      </x:c>
      <x:c r="G1519" s="4" t="n">
        <x:v>11.4</x:v>
      </x:c>
      <x:c r="H1519" s="4" t="n">
        <x:v>89.61</x:v>
      </x:c>
      <x:c r="I1519" s="5" t="n">
        <x:f t="shared" si="23">F1519*1000*H1519</x:f>
        <x:v>232097.06879999998</x:v>
      </x:c>
      <x:c r="J1519" t="n">
        <x:v>2.4904615384615383</x:v>
      </x:c>
    </x:row>
    <x:row r="1520">
      <x:c r="A1520" s="3" t="n">
        <x:v>2023</x:v>
      </x:c>
      <x:c r="B1520" s="2" t="str">
        <x:v>Abril</x:v>
      </x:c>
      <x:c r="C1520" s="2" t="str">
        <x:v>RE-018018-1</x:v>
      </x:c>
      <x:c r="D1520" s="2" t="str">
        <x:v>P.E. XIABRE Y AMPLIACION DE XIABRE</x:v>
      </x:c>
      <x:c r="E1520" s="4" t="n">
        <x:v>4.404230769230769</x:v>
      </x:c>
      <x:c r="F1520" s="4" t="n">
        <x:f>J1520*1</x:f>
        <x:v>4.284288461538462</x:v>
      </x:c>
      <x:c r="G1520" s="4" t="n">
        <x:v>19.8</x:v>
      </x:c>
      <x:c r="H1520" s="4" t="n">
        <x:v>73.73</x:v>
      </x:c>
      <x:c r="I1520" s="5" t="n">
        <x:f t="shared" si="23">F1520*1000*H1520</x:f>
        <x:v>315880.5882692308</x:v>
      </x:c>
      <x:c r="J1520" t="n">
        <x:v>4.284288461538462</x:v>
      </x:c>
    </x:row>
    <x:row r="1521">
      <x:c r="A1521" s="3" t="n">
        <x:v>2023</x:v>
      </x:c>
      <x:c r="B1521" s="2" t="str">
        <x:v>Abril</x:v>
      </x:c>
      <x:c r="C1521" s="2" t="str">
        <x:v>RE-018018-2</x:v>
      </x:c>
      <x:c r="D1521" s="2" t="str">
        <x:v>P.E. XIABRE Y AMPLIACION DE XIABRE</x:v>
      </x:c>
      <x:c r="E1521" s="4" t="n">
        <x:v>2.5357692307692314</x:v>
      </x:c>
      <x:c r="F1521" s="4" t="n">
        <x:f>J1521*1</x:f>
        <x:v>2.4667115384615386</x:v>
      </x:c>
      <x:c r="G1521" s="4" t="n">
        <x:v>11.4</x:v>
      </x:c>
      <x:c r="H1521" s="4" t="n">
        <x:v>73.73</x:v>
      </x:c>
      <x:c r="I1521" s="5" t="n">
        <x:f t="shared" si="23">F1521*1000*H1521</x:f>
        <x:v>181870.64173076925</x:v>
      </x:c>
      <x:c r="J1521" t="n">
        <x:v>2.4667115384615386</x:v>
      </x:c>
    </x:row>
    <x:row r="1522">
      <x:c r="A1522" s="3" t="n">
        <x:v>2023</x:v>
      </x:c>
      <x:c r="B1522" s="2" t="str">
        <x:v>Mayo</x:v>
      </x:c>
      <x:c r="C1522" s="2" t="str">
        <x:v>RE-018018-1</x:v>
      </x:c>
      <x:c r="D1522" s="2" t="str">
        <x:v>P.E. XIABRE Y AMPLIACION DE XIABRE</x:v>
      </x:c>
      <x:c r="E1522" s="4" t="n">
        <x:v>3.945403846153846</x:v>
      </x:c>
      <x:c r="F1522" s="4" t="n">
        <x:f>J1522*0.96</x:f>
        <x:v>3.6986399999999993</x:v>
      </x:c>
      <x:c r="G1522" s="4" t="n">
        <x:v>19.8</x:v>
      </x:c>
      <x:c r="H1522" s="4" t="n">
        <x:v>74.21</x:v>
      </x:c>
      <x:c r="I1522" s="5" t="n">
        <x:f t="shared" si="23">F1522*1000*H1522</x:f>
        <x:v>274476.0743999999</x:v>
      </x:c>
      <x:c r="J1522" t="n">
        <x:v>3.8527499999999995</x:v>
      </x:c>
    </x:row>
    <x:row r="1523">
      <x:c r="A1523" s="3" t="n">
        <x:v>2023</x:v>
      </x:c>
      <x:c r="B1523" s="2" t="str">
        <x:v>Mayo</x:v>
      </x:c>
      <x:c r="C1523" s="2" t="str">
        <x:v>RE-018018-2</x:v>
      </x:c>
      <x:c r="D1523" s="2" t="str">
        <x:v>P.E. XIABRE Y AMPLIACION DE XIABRE</x:v>
      </x:c>
      <x:c r="E1523" s="4" t="n">
        <x:v>2.2715961538461538</x:v>
      </x:c>
      <x:c r="F1523" s="4" t="n">
        <x:f>J1523*0.96</x:f>
        <x:v>2.1295200000000003</x:v>
      </x:c>
      <x:c r="G1523" s="4" t="n">
        <x:v>11.4</x:v>
      </x:c>
      <x:c r="H1523" s="4" t="n">
        <x:v>74.21</x:v>
      </x:c>
      <x:c r="I1523" s="5" t="n">
        <x:f t="shared" si="23">F1523*1000*H1523</x:f>
        <x:v>158031.6792</x:v>
      </x:c>
      <x:c r="J1523" t="n">
        <x:v>2.2182500000000003</x:v>
      </x:c>
    </x:row>
    <x:row r="1524">
      <x:c r="A1524" s="3" t="n">
        <x:v>2023</x:v>
      </x:c>
      <x:c r="B1524" s="2" t="str">
        <x:v>Junio</x:v>
      </x:c>
      <x:c r="C1524" s="2" t="str">
        <x:v>RE-018018-1</x:v>
      </x:c>
      <x:c r="D1524" s="2" t="str">
        <x:v>P.E. XIABRE Y AMPLIACION DE XIABRE</x:v>
      </x:c>
      <x:c r="E1524" s="4" t="n">
        <x:v>3.4174038461538463</x:v>
      </x:c>
      <x:c r="F1524" s="4" t="n">
        <x:f>J1524*1.03</x:f>
        <x:v>3.4382192307692305</x:v>
      </x:c>
      <x:c r="G1524" s="4" t="n">
        <x:v>19.8</x:v>
      </x:c>
      <x:c r="H1524" s="4" t="n">
        <x:v>93.02</x:v>
      </x:c>
      <x:c r="I1524" s="5" t="n">
        <x:f t="shared" si="23">F1524*1000*H1524</x:f>
        <x:v>319823.15284615377</x:v>
      </x:c>
      <x:c r="J1524" t="n">
        <x:v>3.338076923076923</x:v>
      </x:c>
    </x:row>
    <x:row r="1525">
      <x:c r="A1525" s="3" t="n">
        <x:v>2023</x:v>
      </x:c>
      <x:c r="B1525" s="2" t="str">
        <x:v>Junio</x:v>
      </x:c>
      <x:c r="C1525" s="2" t="str">
        <x:v>RE-018018-2</x:v>
      </x:c>
      <x:c r="D1525" s="2" t="str">
        <x:v>P.E. XIABRE Y AMPLIACION DE XIABRE</x:v>
      </x:c>
      <x:c r="E1525" s="4" t="n">
        <x:v>1.9675961538461535</x:v>
      </x:c>
      <x:c r="F1525" s="4" t="n">
        <x:f>J1525*1.03</x:f>
        <x:v>1.9795807692307692</x:v>
      </x:c>
      <x:c r="G1525" s="4" t="n">
        <x:v>11.4</x:v>
      </x:c>
      <x:c r="H1525" s="4" t="n">
        <x:v>93.02</x:v>
      </x:c>
      <x:c r="I1525" s="5" t="n">
        <x:f t="shared" si="23">F1525*1000*H1525</x:f>
        <x:v>184140.60315384614</x:v>
      </x:c>
      <x:c r="J1525" t="n">
        <x:v>1.9219230769230768</x:v>
      </x:c>
    </x:row>
    <x:row r="1526">
      <x:c r="A1526" s="3" t="n">
        <x:v>2023</x:v>
      </x:c>
      <x:c r="B1526" s="2" t="str">
        <x:v>Julio</x:v>
      </x:c>
      <x:c r="C1526" s="2" t="str">
        <x:v>RE-018018-1</x:v>
      </x:c>
      <x:c r="D1526" s="2" t="str">
        <x:v>P.E. XIABRE Y AMPLIACION DE XIABRE</x:v>
      </x:c>
      <x:c r="E1526" s="4" t="n">
        <x:v>3.1096153846153847</x:v>
      </x:c>
      <x:c r="F1526" s="4" t="n">
        <x:f>J1526*0.99</x:f>
        <x:v>3.0106661538461537</x:v>
      </x:c>
      <x:c r="G1526" s="4" t="n">
        <x:v>19.8</x:v>
      </x:c>
      <x:c r="H1526" s="4" t="n">
        <x:v>90.47</x:v>
      </x:c>
      <x:c r="I1526" s="5" t="n">
        <x:f t="shared" si="23">F1526*1000*H1526</x:f>
        <x:v>272374.9669384615</x:v>
      </x:c>
      <x:c r="J1526" t="n">
        <x:v>3.041076923076923</x:v>
      </x:c>
    </x:row>
    <x:row r="1527">
      <x:c r="A1527" s="3" t="n">
        <x:v>2023</x:v>
      </x:c>
      <x:c r="B1527" s="2" t="str">
        <x:v>Julio</x:v>
      </x:c>
      <x:c r="C1527" s="2" t="str">
        <x:v>RE-018018-2</x:v>
      </x:c>
      <x:c r="D1527" s="2" t="str">
        <x:v>P.E. XIABRE Y AMPLIACION DE XIABRE</x:v>
      </x:c>
      <x:c r="E1527" s="4" t="n">
        <x:v>1.7903846153846157</x:v>
      </x:c>
      <x:c r="F1527" s="4" t="n">
        <x:f>J1527*0.99</x:f>
        <x:v>1.7334138461538462</x:v>
      </x:c>
      <x:c r="G1527" s="4" t="n">
        <x:v>11.4</x:v>
      </x:c>
      <x:c r="H1527" s="4" t="n">
        <x:v>90.47</x:v>
      </x:c>
      <x:c r="I1527" s="5" t="n">
        <x:f t="shared" si="23">F1527*1000*H1527</x:f>
        <x:v>156821.95066153846</x:v>
      </x:c>
      <x:c r="J1527" t="n">
        <x:v>1.750923076923077</x:v>
      </x:c>
    </x:row>
    <x:row r="1528">
      <x:c r="A1528" s="3" t="n">
        <x:v>2023</x:v>
      </x:c>
      <x:c r="B1528" s="2" t="str">
        <x:v>Agosto</x:v>
      </x:c>
      <x:c r="C1528" s="2" t="str">
        <x:v>RE-018018-1</x:v>
      </x:c>
      <x:c r="D1528" s="2" t="str">
        <x:v>P.E. XIABRE Y AMPLIACION DE XIABRE</x:v>
      </x:c>
      <x:c r="E1528" s="4" t="n">
        <x:v>2.916692307692308</x:v>
      </x:c>
      <x:c r="F1528" s="4" t="n">
        <x:f>J1528*0.95</x:f>
        <x:v>2.706951923076923</x:v>
      </x:c>
      <x:c r="G1528" s="4" t="n">
        <x:v>19.8</x:v>
      </x:c>
      <x:c r="H1528" s="4" t="n">
        <x:v>96.05</x:v>
      </x:c>
      <x:c r="I1528" s="5" t="n">
        <x:f t="shared" si="23">F1528*1000*H1528</x:f>
        <x:v>260002.73221153844</x:v>
      </x:c>
      <x:c r="J1528" t="n">
        <x:v>2.849423076923077</x:v>
      </x:c>
    </x:row>
    <x:row r="1529">
      <x:c r="A1529" s="3" t="n">
        <x:v>2023</x:v>
      </x:c>
      <x:c r="B1529" s="2" t="str">
        <x:v>Agosto</x:v>
      </x:c>
      <x:c r="C1529" s="2" t="str">
        <x:v>RE-018018-2</x:v>
      </x:c>
      <x:c r="D1529" s="2" t="str">
        <x:v>P.E. XIABRE Y AMPLIACION DE XIABRE</x:v>
      </x:c>
      <x:c r="E1529" s="4" t="n">
        <x:v>1.6793076923076922</x:v>
      </x:c>
      <x:c r="F1529" s="4" t="n">
        <x:f>J1529*0.95</x:f>
        <x:v>1.5585480769230768</x:v>
      </x:c>
      <x:c r="G1529" s="4" t="n">
        <x:v>11.4</x:v>
      </x:c>
      <x:c r="H1529" s="4" t="n">
        <x:v>96.05</x:v>
      </x:c>
      <x:c r="I1529" s="5" t="n">
        <x:f t="shared" si="23">F1529*1000*H1529</x:f>
        <x:v>149698.54278846152</x:v>
      </x:c>
      <x:c r="J1529" t="n">
        <x:v>1.6405769230769232</x:v>
      </x:c>
    </x:row>
    <x:row r="1530">
      <x:c r="A1530" s="3" t="n">
        <x:v>2023</x:v>
      </x:c>
      <x:c r="B1530" s="2" t="str">
        <x:v>Septiembre</x:v>
      </x:c>
      <x:c r="C1530" s="2" t="str">
        <x:v>RE-018018-1</x:v>
      </x:c>
      <x:c r="D1530" s="2" t="str">
        <x:v>P.E. XIABRE Y AMPLIACION DE XIABRE</x:v>
      </x:c>
      <x:c r="E1530" s="4" t="n">
        <x:v>3.5189423076923076</x:v>
      </x:c>
      <x:c r="F1530" s="4" t="n">
        <x:f>J1530*1.02</x:f>
        <x:v>3.534947307692308</x:v>
      </x:c>
      <x:c r="G1530" s="4" t="n">
        <x:v>19.8</x:v>
      </x:c>
      <x:c r="H1530" s="4" t="n">
        <x:v>103.34</x:v>
      </x:c>
      <x:c r="I1530" s="5" t="n">
        <x:f t="shared" si="23">F1530*1000*H1530</x:f>
        <x:v>365301.4547769231</x:v>
      </x:c>
      <x:c r="J1530" t="n">
        <x:v>3.4656346153846154</x:v>
      </x:c>
    </x:row>
    <x:row r="1531">
      <x:c r="A1531" s="3" t="n">
        <x:v>2023</x:v>
      </x:c>
      <x:c r="B1531" s="2" t="str">
        <x:v>Septiembre</x:v>
      </x:c>
      <x:c r="C1531" s="2" t="str">
        <x:v>RE-018018-2</x:v>
      </x:c>
      <x:c r="D1531" s="2" t="str">
        <x:v>P.E. XIABRE Y AMPLIACION DE XIABRE</x:v>
      </x:c>
      <x:c r="E1531" s="4" t="n">
        <x:v>2.0260576923076923</x:v>
      </x:c>
      <x:c r="F1531" s="4" t="n">
        <x:f>J1531*1.02</x:f>
        <x:v>2.0352726923076925</x:v>
      </x:c>
      <x:c r="G1531" s="4" t="n">
        <x:v>11.4</x:v>
      </x:c>
      <x:c r="H1531" s="4" t="n">
        <x:v>103.34</x:v>
      </x:c>
      <x:c r="I1531" s="5" t="n">
        <x:f t="shared" si="23">F1531*1000*H1531</x:f>
        <x:v>210325.08002307694</x:v>
      </x:c>
      <x:c r="J1531" t="n">
        <x:v>1.995365384615385</x:v>
      </x:c>
    </x:row>
    <x:row r="1532">
      <x:c r="A1532" s="3" t="n">
        <x:v>2023</x:v>
      </x:c>
      <x:c r="B1532" s="2" t="str">
        <x:v>Octubre</x:v>
      </x:c>
      <x:c r="C1532" s="2" t="str">
        <x:v>RE-018018-1</x:v>
      </x:c>
      <x:c r="D1532" s="2" t="str">
        <x:v>P.E. XIABRE Y AMPLIACION DE XIABRE</x:v>
      </x:c>
      <x:c r="E1532" s="4" t="n">
        <x:v>4.548923076923077</x:v>
      </x:c>
      <x:c r="F1532" s="4" t="n">
        <x:f>J1532*0.98</x:f>
        <x:v>4.316146153846153</x:v>
      </x:c>
      <x:c r="G1532" s="4" t="n">
        <x:v>19.8</x:v>
      </x:c>
      <x:c r="H1532" s="4" t="n">
        <x:v>90.14</x:v>
      </x:c>
      <x:c r="I1532" s="5" t="n">
        <x:f t="shared" si="23">F1532*1000*H1532</x:f>
        <x:v>389057.41430769226</x:v>
      </x:c>
      <x:c r="J1532" t="n">
        <x:v>4.404230769230769</x:v>
      </x:c>
    </x:row>
    <x:row r="1533">
      <x:c r="A1533" s="3" t="n">
        <x:v>2023</x:v>
      </x:c>
      <x:c r="B1533" s="2" t="str">
        <x:v>Octubre</x:v>
      </x:c>
      <x:c r="C1533" s="2" t="str">
        <x:v>RE-018018-2</x:v>
      </x:c>
      <x:c r="D1533" s="2" t="str">
        <x:v>P.E. XIABRE Y AMPLIACION DE XIABRE</x:v>
      </x:c>
      <x:c r="E1533" s="4" t="n">
        <x:v>2.619076923076923</x:v>
      </x:c>
      <x:c r="F1533" s="4" t="n">
        <x:f>J1533*0.98</x:f>
        <x:v>2.4850538461538467</x:v>
      </x:c>
      <x:c r="G1533" s="4" t="n">
        <x:v>11.4</x:v>
      </x:c>
      <x:c r="H1533" s="4" t="n">
        <x:v>90.14</x:v>
      </x:c>
      <x:c r="I1533" s="5" t="n">
        <x:f t="shared" si="23">F1533*1000*H1533</x:f>
        <x:v>224002.75369230774</x:v>
      </x:c>
      <x:c r="J1533" t="n">
        <x:v>2.5357692307692314</x:v>
      </x:c>
    </x:row>
    <x:row r="1534">
      <x:c r="A1534" s="3" t="n">
        <x:v>2023</x:v>
      </x:c>
      <x:c r="B1534" s="2" t="str">
        <x:v>Noviembre</x:v>
      </x:c>
      <x:c r="C1534" s="2" t="str">
        <x:v>RE-018018-1</x:v>
      </x:c>
      <x:c r="D1534" s="2" t="str">
        <x:v>P.E. XIABRE Y AMPLIACION DE XIABRE</x:v>
      </x:c>
      <x:c r="E1534" s="4" t="n">
        <x:v>5.486884615384616</x:v>
      </x:c>
      <x:c r="F1534" s="4" t="n">
        <x:f>J1534*0.94</x:f>
        <x:v>5.061628846153846</x:v>
      </x:c>
      <x:c r="G1534" s="4" t="n">
        <x:v>19.8</x:v>
      </x:c>
      <x:c r="H1534" s="4" t="n">
        <x:v>63.45</x:v>
      </x:c>
      <x:c r="I1534" s="5" t="n">
        <x:f t="shared" si="23">F1534*1000*H1534</x:f>
        <x:v>321160.35028846154</x:v>
      </x:c>
      <x:c r="J1534" t="n">
        <x:v>5.384711538461539</x:v>
      </x:c>
    </x:row>
    <x:row r="1535">
      <x:c r="A1535" s="3" t="n">
        <x:v>2023</x:v>
      </x:c>
      <x:c r="B1535" s="2" t="str">
        <x:v>Noviembre</x:v>
      </x:c>
      <x:c r="C1535" s="2" t="str">
        <x:v>RE-018018-2</x:v>
      </x:c>
      <x:c r="D1535" s="2" t="str">
        <x:v>P.E. XIABRE Y AMPLIACION DE XIABRE</x:v>
      </x:c>
      <x:c r="E1535" s="4" t="n">
        <x:v>3.1591153846153848</x:v>
      </x:c>
      <x:c r="F1535" s="4" t="n">
        <x:f>J1535*0.94</x:f>
        <x:v>2.914271153846153</x:v>
      </x:c>
      <x:c r="G1535" s="4" t="n">
        <x:v>11.4</x:v>
      </x:c>
      <x:c r="H1535" s="4" t="n">
        <x:v>63.45</x:v>
      </x:c>
      <x:c r="I1535" s="5" t="n">
        <x:f t="shared" si="23">F1535*1000*H1535</x:f>
        <x:v>184910.5047115384</x:v>
      </x:c>
      <x:c r="J1535" t="n">
        <x:v>3.1002884615384607</x:v>
      </x:c>
    </x:row>
    <x:row r="1536">
      <x:c r="A1536" s="3" t="n">
        <x:v>2023</x:v>
      </x:c>
      <x:c r="B1536" s="2" t="str">
        <x:v>Diciembre</x:v>
      </x:c>
      <x:c r="C1536" s="2" t="str">
        <x:v>RE-018018-1</x:v>
      </x:c>
      <x:c r="D1536" s="2" t="str">
        <x:v>P.E. XIABRE Y AMPLIACION DE XIABRE</x:v>
      </x:c>
      <x:c r="E1536" s="4" t="n">
        <x:v>5.158153846153846</x:v>
      </x:c>
      <x:c r="F1536" s="4" t="n">
        <x:f>J1536*1.01</x:f>
        <x:v>5.0885936538461545</x:v>
      </x:c>
      <x:c r="G1536" s="4" t="n">
        <x:v>19.8</x:v>
      </x:c>
      <x:c r="H1536" s="4" t="n">
        <x:v>72.17</x:v>
      </x:c>
      <x:c r="I1536" s="5" t="n">
        <x:f t="shared" si="23">F1536*1000*H1536</x:f>
        <x:v>367243.803998077</x:v>
      </x:c>
      <x:c r="J1536" t="n">
        <x:v>5.038211538461539</x:v>
      </x:c>
    </x:row>
    <x:row r="1537">
      <x:c r="A1537" s="3" t="n">
        <x:v>2023</x:v>
      </x:c>
      <x:c r="B1537" s="2" t="str">
        <x:v>Diciembre</x:v>
      </x:c>
      <x:c r="C1537" s="2" t="str">
        <x:v>RE-018018-2</x:v>
      </x:c>
      <x:c r="D1537" s="2" t="str">
        <x:v>P.E. XIABRE Y AMPLIACION DE XIABRE</x:v>
      </x:c>
      <x:c r="E1537" s="4" t="n">
        <x:v>2.969846153846154</x:v>
      </x:c>
      <x:c r="F1537" s="4" t="n">
        <x:f>J1537*1.01</x:f>
        <x:v>2.9297963461538457</x:v>
      </x:c>
      <x:c r="G1537" s="4" t="n">
        <x:v>11.4</x:v>
      </x:c>
      <x:c r="H1537" s="4" t="n">
        <x:v>72.17</x:v>
      </x:c>
      <x:c r="I1537" s="5" t="n">
        <x:f t="shared" si="23">F1537*1000*H1537</x:f>
        <x:v>211443.40230192305</x:v>
      </x:c>
      <x:c r="J1537" t="n">
        <x:v>2.900788461538461</x:v>
      </x:c>
    </x:row>
    <x:row r="1538">
      <x:c r="A1538" s="3" t="n">
        <x:v>2023</x:v>
      </x:c>
      <x:c r="B1538" s="2" t="str">
        <x:v>Enero</x:v>
      </x:c>
      <x:c r="C1538" s="2" t="str">
        <x:v>RE-018386-1</x:v>
      </x:c>
      <x:c r="D1538" s="2" t="str">
        <x:v>P.E. GRAIADE</x:v>
      </x:c>
      <x:c r="E1538" s="4" t="n">
        <x:v>1.0129846153846154</x:v>
      </x:c>
      <x:c r="F1538" s="4" t="n">
        <x:f>J1538*0.97</x:f>
        <x:v>0.9553753846153845</x:v>
      </x:c>
      <x:c r="G1538" s="4" t="n">
        <x:v>3.6</x:v>
      </x:c>
      <x:c r="H1538" s="4" t="n">
        <x:v>69.55</x:v>
      </x:c>
      <x:c r="I1538" s="5" t="n">
        <x:f t="shared" ref="I1538:I1601" si="24">F1538*1000*H1538</x:f>
        <x:v>66446.358</x:v>
      </x:c>
      <x:c r="J1538" t="n">
        <x:v>0.9849230769230769</x:v>
      </x:c>
    </x:row>
    <x:row r="1539">
      <x:c r="A1539" s="3" t="n">
        <x:v>2023</x:v>
      </x:c>
      <x:c r="B1539" s="2" t="str">
        <x:v>Enero</x:v>
      </x:c>
      <x:c r="C1539" s="2" t="str">
        <x:v>RE-018386-2</x:v>
      </x:c>
      <x:c r="D1539" s="2" t="str">
        <x:v>P.E. GRAIADE</x:v>
      </x:c>
      <x:c r="E1539" s="4" t="n">
        <x:v>4.4740153846153845</x:v>
      </x:c>
      <x:c r="F1539" s="4" t="n">
        <x:f>J1539*0.97</x:f>
        <x:v>4.219574615384615</x:v>
      </x:c>
      <x:c r="G1539" s="4" t="n">
        <x:v>15.9</x:v>
      </x:c>
      <x:c r="H1539" s="4" t="n">
        <x:v>69.55</x:v>
      </x:c>
      <x:c r="I1539" s="5" t="n">
        <x:f t="shared" si="24">F1539*1000*H1539</x:f>
        <x:v>293471.41449999996</x:v>
      </x:c>
      <x:c r="J1539" t="n">
        <x:v>4.350076923076923</x:v>
      </x:c>
    </x:row>
    <x:row r="1540">
      <x:c r="A1540" s="3" t="n">
        <x:v>2023</x:v>
      </x:c>
      <x:c r="B1540" s="2" t="str">
        <x:v>Febrero</x:v>
      </x:c>
      <x:c r="C1540" s="2" t="str">
        <x:v>RE-018386-1</x:v>
      </x:c>
      <x:c r="D1540" s="2" t="str">
        <x:v>P.E. GRAIADE</x:v>
      </x:c>
      <x:c r="E1540" s="4" t="n">
        <x:v>0.7798153846153847</x:v>
      </x:c>
      <x:c r="F1540" s="4" t="n">
        <x:f>J1540*1.04</x:f>
        <x:v>0.7891200000000002</x:v>
      </x:c>
      <x:c r="G1540" s="4" t="n">
        <x:v>3.6</x:v>
      </x:c>
      <x:c r="H1540" s="4" t="n">
        <x:v>133.47</x:v>
      </x:c>
      <x:c r="I1540" s="5" t="n">
        <x:f t="shared" si="24">F1540*1000*H1540</x:f>
        <x:v>105323.84640000001</x:v>
      </x:c>
      <x:c r="J1540" t="n">
        <x:v>0.7587692307692309</x:v>
      </x:c>
    </x:row>
    <x:row r="1541">
      <x:c r="A1541" s="3" t="n">
        <x:v>2023</x:v>
      </x:c>
      <x:c r="B1541" s="2" t="str">
        <x:v>Febrero</x:v>
      </x:c>
      <x:c r="C1541" s="2" t="str">
        <x:v>RE-018386-2</x:v>
      </x:c>
      <x:c r="D1541" s="2" t="str">
        <x:v>P.E. GRAIADE</x:v>
      </x:c>
      <x:c r="E1541" s="4" t="n">
        <x:v>3.4441846153846156</x:v>
      </x:c>
      <x:c r="F1541" s="4" t="n">
        <x:f>J1541*1.04</x:f>
        <x:v>3.4852800000000004</x:v>
      </x:c>
      <x:c r="G1541" s="4" t="n">
        <x:v>15.9</x:v>
      </x:c>
      <x:c r="H1541" s="4" t="n">
        <x:v>133.47</x:v>
      </x:c>
      <x:c r="I1541" s="5" t="n">
        <x:f t="shared" si="24">F1541*1000*H1541</x:f>
        <x:v>465180.3216</x:v>
      </x:c>
      <x:c r="J1541" t="n">
        <x:v>3.3512307692307695</x:v>
      </x:c>
    </x:row>
    <x:row r="1542">
      <x:c r="A1542" s="3" t="n">
        <x:v>2023</x:v>
      </x:c>
      <x:c r="B1542" s="2" t="str">
        <x:v>Marzo</x:v>
      </x:c>
      <x:c r="C1542" s="2" t="str">
        <x:v>RE-018386-1</x:v>
      </x:c>
      <x:c r="D1542" s="2" t="str">
        <x:v>P.E. GRAIADE</x:v>
      </x:c>
      <x:c r="E1542" s="4" t="n">
        <x:v>0.8922461538461538</x:v>
      </x:c>
      <x:c r="F1542" s="4" t="n">
        <x:f>J1542*1</x:f>
        <x:v>0.8726769230769231</x:v>
      </x:c>
      <x:c r="G1542" s="4" t="n">
        <x:v>3.6</x:v>
      </x:c>
      <x:c r="H1542" s="4" t="n">
        <x:v>89.61</x:v>
      </x:c>
      <x:c r="I1542" s="5" t="n">
        <x:f t="shared" si="24">F1542*1000*H1542</x:f>
        <x:v>78200.57907692308</x:v>
      </x:c>
      <x:c r="J1542" t="n">
        <x:v>0.8726769230769231</x:v>
      </x:c>
    </x:row>
    <x:row r="1543">
      <x:c r="A1543" s="3" t="n">
        <x:v>2023</x:v>
      </x:c>
      <x:c r="B1543" s="2" t="str">
        <x:v>Marzo</x:v>
      </x:c>
      <x:c r="C1543" s="2" t="str">
        <x:v>RE-018386-2</x:v>
      </x:c>
      <x:c r="D1543" s="2" t="str">
        <x:v>P.E. GRAIADE</x:v>
      </x:c>
      <x:c r="E1543" s="4" t="n">
        <x:v>3.9407538461538465</x:v>
      </x:c>
      <x:c r="F1543" s="4" t="n">
        <x:f>J1543*1</x:f>
        <x:v>3.854323076923077</x:v>
      </x:c>
      <x:c r="G1543" s="4" t="n">
        <x:v>15.9</x:v>
      </x:c>
      <x:c r="H1543" s="4" t="n">
        <x:v>89.61</x:v>
      </x:c>
      <x:c r="I1543" s="5" t="n">
        <x:f t="shared" si="24">F1543*1000*H1543</x:f>
        <x:v>345385.89092307695</x:v>
      </x:c>
      <x:c r="J1543" t="n">
        <x:v>3.854323076923077</x:v>
      </x:c>
    </x:row>
    <x:row r="1544">
      <x:c r="A1544" s="3" t="n">
        <x:v>2023</x:v>
      </x:c>
      <x:c r="B1544" s="2" t="str">
        <x:v>Abril</x:v>
      </x:c>
      <x:c r="C1544" s="2" t="str">
        <x:v>RE-018386-1</x:v>
      </x:c>
      <x:c r="D1544" s="2" t="str">
        <x:v>P.E. GRAIADE</x:v>
      </x:c>
      <x:c r="E1544" s="4" t="n">
        <x:v>0.5887384615384615</x:v>
      </x:c>
      <x:c r="F1544" s="4" t="n">
        <x:f>J1544*0.96</x:f>
        <x:v>0.5527827692307693</x:v>
      </x:c>
      <x:c r="G1544" s="4" t="n">
        <x:v>3.6</x:v>
      </x:c>
      <x:c r="H1544" s="4" t="n">
        <x:v>73.73</x:v>
      </x:c>
      <x:c r="I1544" s="5" t="n">
        <x:f t="shared" si="24">F1544*1000*H1544</x:f>
        <x:v>40756.67357538462</x:v>
      </x:c>
      <x:c r="J1544" t="n">
        <x:v>0.5758153846153847</x:v>
      </x:c>
    </x:row>
    <x:row r="1545">
      <x:c r="A1545" s="3" t="n">
        <x:v>2023</x:v>
      </x:c>
      <x:c r="B1545" s="2" t="str">
        <x:v>Abril</x:v>
      </x:c>
      <x:c r="C1545" s="2" t="str">
        <x:v>RE-018386-2</x:v>
      </x:c>
      <x:c r="D1545" s="2" t="str">
        <x:v>P.E. GRAIADE</x:v>
      </x:c>
      <x:c r="E1545" s="4" t="n">
        <x:v>2.6002615384615386</x:v>
      </x:c>
      <x:c r="F1545" s="4" t="n">
        <x:f>J1545*0.96</x:f>
        <x:v>2.4414572307692306</x:v>
      </x:c>
      <x:c r="G1545" s="4" t="n">
        <x:v>15.9</x:v>
      </x:c>
      <x:c r="H1545" s="4" t="n">
        <x:v>73.73</x:v>
      </x:c>
      <x:c r="I1545" s="5" t="n">
        <x:f t="shared" si="24">F1545*1000*H1545</x:f>
        <x:v>180008.64162461538</x:v>
      </x:c>
      <x:c r="J1545" t="n">
        <x:v>2.5431846153846154</x:v>
      </x:c>
    </x:row>
    <x:row r="1546">
      <x:c r="A1546" s="3" t="n">
        <x:v>2023</x:v>
      </x:c>
      <x:c r="B1546" s="2" t="str">
        <x:v>Mayo</x:v>
      </x:c>
      <x:c r="C1546" s="2" t="str">
        <x:v>RE-018386-1</x:v>
      </x:c>
      <x:c r="D1546" s="2" t="str">
        <x:v>P.E. GRAIADE</x:v>
      </x:c>
      <x:c r="E1546" s="4" t="n">
        <x:v>0.6448615384615384</x:v>
      </x:c>
      <x:c r="F1546" s="4" t="n">
        <x:f>J1546*1.03</x:f>
        <x:v>0.6516572307692309</x:v>
      </x:c>
      <x:c r="G1546" s="4" t="n">
        <x:v>3.6</x:v>
      </x:c>
      <x:c r="H1546" s="4" t="n">
        <x:v>74.21</x:v>
      </x:c>
      <x:c r="I1546" s="5" t="n">
        <x:f t="shared" si="24">F1546*1000*H1546</x:f>
        <x:v>48359.48309538462</x:v>
      </x:c>
      <x:c r="J1546" t="n">
        <x:v>0.6326769230769231</x:v>
      </x:c>
    </x:row>
    <x:row r="1547">
      <x:c r="A1547" s="3" t="n">
        <x:v>2023</x:v>
      </x:c>
      <x:c r="B1547" s="2" t="str">
        <x:v>Mayo</x:v>
      </x:c>
      <x:c r="C1547" s="2" t="str">
        <x:v>RE-018386-2</x:v>
      </x:c>
      <x:c r="D1547" s="2" t="str">
        <x:v>P.E. GRAIADE</x:v>
      </x:c>
      <x:c r="E1547" s="4" t="n">
        <x:v>2.8481384615384613</x:v>
      </x:c>
      <x:c r="F1547" s="4" t="n">
        <x:f>J1547*1.03</x:f>
        <x:v>2.8781527692307693</x:v>
      </x:c>
      <x:c r="G1547" s="4" t="n">
        <x:v>15.9</x:v>
      </x:c>
      <x:c r="H1547" s="4" t="n">
        <x:v>74.21</x:v>
      </x:c>
      <x:c r="I1547" s="5" t="n">
        <x:f t="shared" si="24">F1547*1000*H1547</x:f>
        <x:v>213587.71700461538</x:v>
      </x:c>
      <x:c r="J1547" t="n">
        <x:v>2.794323076923077</x:v>
      </x:c>
    </x:row>
    <x:row r="1548">
      <x:c r="A1548" s="3" t="n">
        <x:v>2023</x:v>
      </x:c>
      <x:c r="B1548" s="2" t="str">
        <x:v>Junio</x:v>
      </x:c>
      <x:c r="C1548" s="2" t="str">
        <x:v>RE-018386-1</x:v>
      </x:c>
      <x:c r="D1548" s="2" t="str">
        <x:v>P.E. GRAIADE</x:v>
      </x:c>
      <x:c r="E1548" s="4" t="n">
        <x:v>0.4410461538461538</x:v>
      </x:c>
      <x:c r="F1548" s="4" t="n">
        <x:f>J1548*0.99</x:f>
        <x:v>0.4296904615384616</x:v>
      </x:c>
      <x:c r="G1548" s="4" t="n">
        <x:v>3.6</x:v>
      </x:c>
      <x:c r="H1548" s="4" t="n">
        <x:v>93.02</x:v>
      </x:c>
      <x:c r="I1548" s="5" t="n">
        <x:f t="shared" si="24">F1548*1000*H1548</x:f>
        <x:v>39969.8067323077</x:v>
      </x:c>
      <x:c r="J1548" t="n">
        <x:v>0.4340307692307693</x:v>
      </x:c>
    </x:row>
    <x:row r="1549">
      <x:c r="A1549" s="3" t="n">
        <x:v>2023</x:v>
      </x:c>
      <x:c r="B1549" s="2" t="str">
        <x:v>Junio</x:v>
      </x:c>
      <x:c r="C1549" s="2" t="str">
        <x:v>RE-018386-2</x:v>
      </x:c>
      <x:c r="D1549" s="2" t="str">
        <x:v>P.E. GRAIADE</x:v>
      </x:c>
      <x:c r="E1549" s="4" t="n">
        <x:v>1.947953846153846</x:v>
      </x:c>
      <x:c r="F1549" s="4" t="n">
        <x:f>J1549*0.99</x:f>
        <x:v>1.8977995384615385</x:v>
      </x:c>
      <x:c r="G1549" s="4" t="n">
        <x:v>15.9</x:v>
      </x:c>
      <x:c r="H1549" s="4" t="n">
        <x:v>93.02</x:v>
      </x:c>
      <x:c r="I1549" s="5" t="n">
        <x:f t="shared" si="24">F1549*1000*H1549</x:f>
        <x:v>176533.3130676923</x:v>
      </x:c>
      <x:c r="J1549" t="n">
        <x:v>1.9169692307692308</x:v>
      </x:c>
    </x:row>
    <x:row r="1550">
      <x:c r="A1550" s="3" t="n">
        <x:v>2023</x:v>
      </x:c>
      <x:c r="B1550" s="2" t="str">
        <x:v>Julio</x:v>
      </x:c>
      <x:c r="C1550" s="2" t="str">
        <x:v>RE-018386-1</x:v>
      </x:c>
      <x:c r="D1550" s="2" t="str">
        <x:v>P.E. GRAIADE</x:v>
      </x:c>
      <x:c r="E1550" s="4" t="n">
        <x:v>0.4681846153846154</x:v>
      </x:c>
      <x:c r="F1550" s="4" t="n">
        <x:f>J1550*0.95</x:f>
        <x:v>0.43548000000000003</x:v>
      </x:c>
      <x:c r="G1550" s="4" t="n">
        <x:v>3.6</x:v>
      </x:c>
      <x:c r="H1550" s="4" t="n">
        <x:v>90.47</x:v>
      </x:c>
      <x:c r="I1550" s="5" t="n">
        <x:f t="shared" si="24">F1550*1000*H1550</x:f>
        <x:v>39397.8756</x:v>
      </x:c>
      <x:c r="J1550" t="n">
        <x:v>0.45840000000000003</x:v>
      </x:c>
    </x:row>
    <x:row r="1551">
      <x:c r="A1551" s="3" t="n">
        <x:v>2023</x:v>
      </x:c>
      <x:c r="B1551" s="2" t="str">
        <x:v>Julio</x:v>
      </x:c>
      <x:c r="C1551" s="2" t="str">
        <x:v>RE-018386-2</x:v>
      </x:c>
      <x:c r="D1551" s="2" t="str">
        <x:v>P.E. GRAIADE</x:v>
      </x:c>
      <x:c r="E1551" s="4" t="n">
        <x:v>2.0678153846153844</x:v>
      </x:c>
      <x:c r="F1551" s="4" t="n">
        <x:f>J1551*0.95</x:f>
        <x:v>1.9233699999999998</x:v>
      </x:c>
      <x:c r="G1551" s="4" t="n">
        <x:v>15.9</x:v>
      </x:c>
      <x:c r="H1551" s="4" t="n">
        <x:v>90.47</x:v>
      </x:c>
      <x:c r="I1551" s="5" t="n">
        <x:f t="shared" si="24">F1551*1000*H1551</x:f>
        <x:v>174007.28389999998</x:v>
      </x:c>
      <x:c r="J1551" t="n">
        <x:v>2.0246</x:v>
      </x:c>
    </x:row>
    <x:row r="1552">
      <x:c r="A1552" s="3" t="n">
        <x:v>2023</x:v>
      </x:c>
      <x:c r="B1552" s="2" t="str">
        <x:v>Agosto</x:v>
      </x:c>
      <x:c r="C1552" s="2" t="str">
        <x:v>RE-018386-1</x:v>
      </x:c>
      <x:c r="D1552" s="2" t="str">
        <x:v>P.E. GRAIADE</x:v>
      </x:c>
      <x:c r="E1552" s="4" t="n">
        <x:v>0.4726153846153846</x:v>
      </x:c>
      <x:c r="F1552" s="4" t="n">
        <x:f>J1552*1.02</x:f>
        <x:v>0.47472369230769235</x:v>
      </x:c>
      <x:c r="G1552" s="4" t="n">
        <x:v>3.6</x:v>
      </x:c>
      <x:c r="H1552" s="4" t="n">
        <x:v>96.05</x:v>
      </x:c>
      <x:c r="I1552" s="5" t="n">
        <x:f t="shared" si="24">F1552*1000*H1552</x:f>
        <x:v>45597.21064615385</x:v>
      </x:c>
      <x:c r="J1552" t="n">
        <x:v>0.4654153846153846</x:v>
      </x:c>
    </x:row>
    <x:row r="1553">
      <x:c r="A1553" s="3" t="n">
        <x:v>2023</x:v>
      </x:c>
      <x:c r="B1553" s="2" t="str">
        <x:v>Agosto</x:v>
      </x:c>
      <x:c r="C1553" s="2" t="str">
        <x:v>RE-018386-2</x:v>
      </x:c>
      <x:c r="D1553" s="2" t="str">
        <x:v>P.E. GRAIADE</x:v>
      </x:c>
      <x:c r="E1553" s="4" t="n">
        <x:v>2.0873846153846154</x:v>
      </x:c>
      <x:c r="F1553" s="4" t="n">
        <x:f>J1553*1.02</x:f>
        <x:v>2.0966963076923077</x:v>
      </x:c>
      <x:c r="G1553" s="4" t="n">
        <x:v>15.9</x:v>
      </x:c>
      <x:c r="H1553" s="4" t="n">
        <x:v>96.05</x:v>
      </x:c>
      <x:c r="I1553" s="5" t="n">
        <x:f t="shared" si="24">F1553*1000*H1553</x:f>
        <x:v>201387.68035384614</x:v>
      </x:c>
      <x:c r="J1553" t="n">
        <x:v>2.0555846153846153</x:v>
      </x:c>
    </x:row>
    <x:row r="1554">
      <x:c r="A1554" s="3" t="n">
        <x:v>2023</x:v>
      </x:c>
      <x:c r="B1554" s="2" t="str">
        <x:v>Septiembre</x:v>
      </x:c>
      <x:c r="C1554" s="2" t="str">
        <x:v>RE-018386-1</x:v>
      </x:c>
      <x:c r="D1554" s="2" t="str">
        <x:v>P.E. GRAIADE</x:v>
      </x:c>
      <x:c r="E1554" s="4" t="n">
        <x:v>0.5167384615384615</x:v>
      </x:c>
      <x:c r="F1554" s="4" t="n">
        <x:f>J1554*0.98</x:f>
        <x:v>0.4960910769230769</x:v>
      </x:c>
      <x:c r="G1554" s="4" t="n">
        <x:v>3.6</x:v>
      </x:c>
      <x:c r="H1554" s="4" t="n">
        <x:v>103.34</x:v>
      </x:c>
      <x:c r="I1554" s="5" t="n">
        <x:f t="shared" si="24">F1554*1000*H1554</x:f>
        <x:v>51266.05188923077</x:v>
      </x:c>
      <x:c r="J1554" t="n">
        <x:v>0.5062153846153846</x:v>
      </x:c>
    </x:row>
    <x:row r="1555">
      <x:c r="A1555" s="3" t="n">
        <x:v>2023</x:v>
      </x:c>
      <x:c r="B1555" s="2" t="str">
        <x:v>Septiembre</x:v>
      </x:c>
      <x:c r="C1555" s="2" t="str">
        <x:v>RE-018386-2</x:v>
      </x:c>
      <x:c r="D1555" s="2" t="str">
        <x:v>P.E. GRAIADE</x:v>
      </x:c>
      <x:c r="E1555" s="4" t="n">
        <x:v>2.2822615384615386</x:v>
      </x:c>
      <x:c r="F1555" s="4" t="n">
        <x:f>J1555*0.98</x:f>
        <x:v>2.191068923076923</x:v>
      </x:c>
      <x:c r="G1555" s="4" t="n">
        <x:v>15.9</x:v>
      </x:c>
      <x:c r="H1555" s="4" t="n">
        <x:v>103.34</x:v>
      </x:c>
      <x:c r="I1555" s="5" t="n">
        <x:f t="shared" si="24">F1555*1000*H1555</x:f>
        <x:v>226425.06251076923</x:v>
      </x:c>
      <x:c r="J1555" t="n">
        <x:v>2.2357846153846155</x:v>
      </x:c>
    </x:row>
    <x:row r="1556">
      <x:c r="A1556" s="3" t="n">
        <x:v>2023</x:v>
      </x:c>
      <x:c r="B1556" s="2" t="str">
        <x:v>Octubre</x:v>
      </x:c>
      <x:c r="C1556" s="2" t="str">
        <x:v>RE-018386-1</x:v>
      </x:c>
      <x:c r="D1556" s="2" t="str">
        <x:v>P.E. GRAIADE</x:v>
      </x:c>
      <x:c r="E1556" s="4" t="n">
        <x:v>0.6819692307692308</x:v>
      </x:c>
      <x:c r="F1556" s="4" t="n">
        <x:f>J1556*0.94</x:f>
        <x:v>0.6287298461538462</x:v>
      </x:c>
      <x:c r="G1556" s="4" t="n">
        <x:v>3.6</x:v>
      </x:c>
      <x:c r="H1556" s="4" t="n">
        <x:v>90.14</x:v>
      </x:c>
      <x:c r="I1556" s="5" t="n">
        <x:f t="shared" si="24">F1556*1000*H1556</x:f>
        <x:v>56673.708332307695</x:v>
      </x:c>
      <x:c r="J1556" t="n">
        <x:v>0.6688615384615385</x:v>
      </x:c>
    </x:row>
    <x:row r="1557">
      <x:c r="A1557" s="3" t="n">
        <x:v>2023</x:v>
      </x:c>
      <x:c r="B1557" s="2" t="str">
        <x:v>Octubre</x:v>
      </x:c>
      <x:c r="C1557" s="2" t="str">
        <x:v>RE-018386-2</x:v>
      </x:c>
      <x:c r="D1557" s="2" t="str">
        <x:v>P.E. GRAIADE</x:v>
      </x:c>
      <x:c r="E1557" s="4" t="n">
        <x:v>3.012030769230769</x:v>
      </x:c>
      <x:c r="F1557" s="4" t="n">
        <x:f>J1557*0.94</x:f>
        <x:v>2.776890153846154</x:v>
      </x:c>
      <x:c r="G1557" s="4" t="n">
        <x:v>15.9</x:v>
      </x:c>
      <x:c r="H1557" s="4" t="n">
        <x:v>90.14</x:v>
      </x:c>
      <x:c r="I1557" s="5" t="n">
        <x:f t="shared" si="24">F1557*1000*H1557</x:f>
        <x:v>250308.8784676923</x:v>
      </x:c>
      <x:c r="J1557" t="n">
        <x:v>2.9541384615384616</x:v>
      </x:c>
    </x:row>
    <x:row r="1558">
      <x:c r="A1558" s="3" t="n">
        <x:v>2023</x:v>
      </x:c>
      <x:c r="B1558" s="2" t="str">
        <x:v>Noviembre</x:v>
      </x:c>
      <x:c r="C1558" s="2" t="str">
        <x:v>RE-018386-1</x:v>
      </x:c>
      <x:c r="D1558" s="2" t="str">
        <x:v>P.E. GRAIADE</x:v>
      </x:c>
      <x:c r="E1558" s="4" t="n">
        <x:v>0.9042461538461538</x:v>
      </x:c>
      <x:c r="F1558" s="4" t="n">
        <x:f>J1558*1.01</x:f>
        <x:v>0.8845735384615384</x:v>
      </x:c>
      <x:c r="G1558" s="4" t="n">
        <x:v>3.6</x:v>
      </x:c>
      <x:c r="H1558" s="4" t="n">
        <x:v>63.45</x:v>
      </x:c>
      <x:c r="I1558" s="5" t="n">
        <x:f t="shared" si="24">F1558*1000*H1558</x:f>
        <x:v>56126.19101538462</x:v>
      </x:c>
      <x:c r="J1558" t="n">
        <x:v>0.8758153846153846</x:v>
      </x:c>
    </x:row>
    <x:row r="1559">
      <x:c r="A1559" s="3" t="n">
        <x:v>2023</x:v>
      </x:c>
      <x:c r="B1559" s="2" t="str">
        <x:v>Noviembre</x:v>
      </x:c>
      <x:c r="C1559" s="2" t="str">
        <x:v>RE-018386-2</x:v>
      </x:c>
      <x:c r="D1559" s="2" t="str">
        <x:v>P.E. GRAIADE</x:v>
      </x:c>
      <x:c r="E1559" s="4" t="n">
        <x:v>3.993753846153846</x:v>
      </x:c>
      <x:c r="F1559" s="4" t="n">
        <x:f>J1559*1.01</x:f>
        <x:v>3.906866461538461</x:v>
      </x:c>
      <x:c r="G1559" s="4" t="n">
        <x:v>15.9</x:v>
      </x:c>
      <x:c r="H1559" s="4" t="n">
        <x:v>63.45</x:v>
      </x:c>
      <x:c r="I1559" s="5" t="n">
        <x:f t="shared" si="24">F1559*1000*H1559</x:f>
        <x:v>247890.67698461536</x:v>
      </x:c>
      <x:c r="J1559" t="n">
        <x:v>3.868184615384615</x:v>
      </x:c>
    </x:row>
    <x:row r="1560">
      <x:c r="A1560" s="3" t="n">
        <x:v>2023</x:v>
      </x:c>
      <x:c r="B1560" s="2" t="str">
        <x:v>Diciembre</x:v>
      </x:c>
      <x:c r="C1560" s="2" t="str">
        <x:v>RE-018386-1</x:v>
      </x:c>
      <x:c r="D1560" s="2" t="str">
        <x:v>P.E. GRAIADE</x:v>
      </x:c>
      <x:c r="E1560" s="4" t="n">
        <x:v>0.9385846153846152</x:v>
      </x:c>
      <x:c r="F1560" s="4" t="n">
        <x:f>J1560*0.97</x:f>
        <x:v>0.8935938461538461</x:v>
      </x:c>
      <x:c r="G1560" s="4" t="n">
        <x:v>3.6</x:v>
      </x:c>
      <x:c r="H1560" s="4" t="n">
        <x:v>72.17</x:v>
      </x:c>
      <x:c r="I1560" s="5" t="n">
        <x:f t="shared" si="24">F1560*1000*H1560</x:f>
        <x:v>64490.66787692307</x:v>
      </x:c>
      <x:c r="J1560" t="n">
        <x:v>0.9212307692307692</x:v>
      </x:c>
    </x:row>
    <x:row r="1561">
      <x:c r="A1561" s="3" t="n">
        <x:v>2023</x:v>
      </x:c>
      <x:c r="B1561" s="2" t="str">
        <x:v>Diciembre</x:v>
      </x:c>
      <x:c r="C1561" s="2" t="str">
        <x:v>RE-018386-2</x:v>
      </x:c>
      <x:c r="D1561" s="2" t="str">
        <x:v>P.E. GRAIADE</x:v>
      </x:c>
      <x:c r="E1561" s="4" t="n">
        <x:v>4.145415384615385</x:v>
      </x:c>
      <x:c r="F1561" s="4" t="n">
        <x:f>J1561*0.97</x:f>
        <x:v>3.946706153846154</x:v>
      </x:c>
      <x:c r="G1561" s="4" t="n">
        <x:v>15.9</x:v>
      </x:c>
      <x:c r="H1561" s="4" t="n">
        <x:v>72.17</x:v>
      </x:c>
      <x:c r="I1561" s="5" t="n">
        <x:f t="shared" si="24">F1561*1000*H1561</x:f>
        <x:v>284833.78312307695</x:v>
      </x:c>
      <x:c r="J1561" t="n">
        <x:v>4.068769230769231</x:v>
      </x:c>
    </x:row>
    <x:row r="1562">
      <x:c r="A1562" s="3" t="n">
        <x:v>2023</x:v>
      </x:c>
      <x:c r="B1562" s="2" t="str">
        <x:v>Enero</x:v>
      </x:c>
      <x:c r="C1562" s="2" t="str">
        <x:v>RE-018387-1</x:v>
      </x:c>
      <x:c r="D1562" s="2" t="str">
        <x:v>P.E. MONDOÑEDO</x:v>
      </x:c>
      <x:c r="E1562" s="4" t="n">
        <x:v>12.535</x:v>
      </x:c>
      <x:c r="F1562" s="4" t="n">
        <x:f>J1562*1.04</x:f>
        <x:v>12.76496</x:v>
      </x:c>
      <x:c r="G1562" s="4" t="n">
        <x:v>48.43</x:v>
      </x:c>
      <x:c r="H1562" s="4" t="n">
        <x:v>69.55</x:v>
      </x:c>
      <x:c r="I1562" s="5" t="n">
        <x:f t="shared" si="24">F1562*1000*H1562</x:f>
        <x:v>887802.968</x:v>
      </x:c>
      <x:c r="J1562" t="n">
        <x:v>12.274</x:v>
      </x:c>
    </x:row>
    <x:row r="1563">
      <x:c r="A1563" s="3" t="n">
        <x:v>2023</x:v>
      </x:c>
      <x:c r="B1563" s="2" t="str">
        <x:v>Febrero</x:v>
      </x:c>
      <x:c r="C1563" s="2" t="str">
        <x:v>RE-018387-1</x:v>
      </x:c>
      <x:c r="D1563" s="2" t="str">
        <x:v>P.E. MONDOÑEDO</x:v>
      </x:c>
      <x:c r="E1563" s="4" t="n">
        <x:v>11.245</x:v>
      </x:c>
      <x:c r="F1563" s="4" t="n">
        <x:f>J1563*1</x:f>
        <x:v>10.938</x:v>
      </x:c>
      <x:c r="G1563" s="4" t="n">
        <x:v>48.43</x:v>
      </x:c>
      <x:c r="H1563" s="4" t="n">
        <x:v>133.47</x:v>
      </x:c>
      <x:c r="I1563" s="5" t="n">
        <x:f t="shared" si="24">F1563*1000*H1563</x:f>
        <x:v>1459894.86</x:v>
      </x:c>
      <x:c r="J1563" t="n">
        <x:v>10.938</x:v>
      </x:c>
    </x:row>
    <x:row r="1564">
      <x:c r="A1564" s="3" t="n">
        <x:v>2023</x:v>
      </x:c>
      <x:c r="B1564" s="2" t="str">
        <x:v>Marzo</x:v>
      </x:c>
      <x:c r="C1564" s="2" t="str">
        <x:v>RE-018387-1</x:v>
      </x:c>
      <x:c r="D1564" s="2" t="str">
        <x:v>P.E. MONDOÑEDO</x:v>
      </x:c>
      <x:c r="E1564" s="4" t="n">
        <x:v>13.531</x:v>
      </x:c>
      <x:c r="F1564" s="4" t="n">
        <x:f>J1564*0.96</x:f>
        <x:v>12.6432</x:v>
      </x:c>
      <x:c r="G1564" s="4" t="n">
        <x:v>48.43</x:v>
      </x:c>
      <x:c r="H1564" s="4" t="n">
        <x:v>89.61</x:v>
      </x:c>
      <x:c r="I1564" s="5" t="n">
        <x:f t="shared" si="24">F1564*1000*H1564</x:f>
        <x:v>1132957.152</x:v>
      </x:c>
      <x:c r="J1564" t="n">
        <x:v>13.17</x:v>
      </x:c>
    </x:row>
    <x:row r="1565">
      <x:c r="A1565" s="3" t="n">
        <x:v>2023</x:v>
      </x:c>
      <x:c r="B1565" s="2" t="str">
        <x:v>Abril</x:v>
      </x:c>
      <x:c r="C1565" s="2" t="str">
        <x:v>RE-018387-1</x:v>
      </x:c>
      <x:c r="D1565" s="2" t="str">
        <x:v>P.E. MONDOÑEDO</x:v>
      </x:c>
      <x:c r="E1565" s="4" t="n">
        <x:v>10.096</x:v>
      </x:c>
      <x:c r="F1565" s="4" t="n">
        <x:f>J1565*1.03</x:f>
        <x:v>10.08267</x:v>
      </x:c>
      <x:c r="G1565" s="4" t="n">
        <x:v>48.43</x:v>
      </x:c>
      <x:c r="H1565" s="4" t="n">
        <x:v>73.73</x:v>
      </x:c>
      <x:c r="I1565" s="5" t="n">
        <x:f t="shared" si="24">F1565*1000*H1565</x:f>
        <x:v>743395.2591</x:v>
      </x:c>
      <x:c r="J1565" t="n">
        <x:v>9.789</x:v>
      </x:c>
    </x:row>
    <x:row r="1566">
      <x:c r="A1566" s="3" t="n">
        <x:v>2023</x:v>
      </x:c>
      <x:c r="B1566" s="2" t="str">
        <x:v>Mayo</x:v>
      </x:c>
      <x:c r="C1566" s="2" t="str">
        <x:v>RE-018387-1</x:v>
      </x:c>
      <x:c r="D1566" s="2" t="str">
        <x:v>P.E. MONDOÑEDO</x:v>
      </x:c>
      <x:c r="E1566" s="4" t="n">
        <x:v>8.958</x:v>
      </x:c>
      <x:c r="F1566" s="4" t="n">
        <x:f>J1566*0.99</x:f>
        <x:v>8.59023</x:v>
      </x:c>
      <x:c r="G1566" s="4" t="n">
        <x:v>48.43</x:v>
      </x:c>
      <x:c r="H1566" s="4" t="n">
        <x:v>74.21</x:v>
      </x:c>
      <x:c r="I1566" s="5" t="n">
        <x:f t="shared" si="24">F1566*1000*H1566</x:f>
        <x:v>637480.9683</x:v>
      </x:c>
      <x:c r="J1566" t="n">
        <x:v>8.677</x:v>
      </x:c>
    </x:row>
    <x:row r="1567">
      <x:c r="A1567" s="3" t="n">
        <x:v>2023</x:v>
      </x:c>
      <x:c r="B1567" s="2" t="str">
        <x:v>Junio</x:v>
      </x:c>
      <x:c r="C1567" s="2" t="str">
        <x:v>RE-018387-1</x:v>
      </x:c>
      <x:c r="D1567" s="2" t="str">
        <x:v>P.E. MONDOÑEDO</x:v>
      </x:c>
      <x:c r="E1567" s="4" t="n">
        <x:v>8.114</x:v>
      </x:c>
      <x:c r="F1567" s="4" t="n">
        <x:f>J1567*0.95</x:f>
        <x:v>7.500249999999999</x:v>
      </x:c>
      <x:c r="G1567" s="4" t="n">
        <x:v>48.43</x:v>
      </x:c>
      <x:c r="H1567" s="4" t="n">
        <x:v>93.02</x:v>
      </x:c>
      <x:c r="I1567" s="5" t="n">
        <x:f t="shared" si="24">F1567*1000*H1567</x:f>
        <x:v>697673.2549999999</x:v>
      </x:c>
      <x:c r="J1567" t="n">
        <x:v>7.895</x:v>
      </x:c>
    </x:row>
    <x:row r="1568">
      <x:c r="A1568" s="3" t="n">
        <x:v>2023</x:v>
      </x:c>
      <x:c r="B1568" s="2" t="str">
        <x:v>Julio</x:v>
      </x:c>
      <x:c r="C1568" s="2" t="str">
        <x:v>RE-018387-1</x:v>
      </x:c>
      <x:c r="D1568" s="2" t="str">
        <x:v>P.E. MONDOÑEDO</x:v>
      </x:c>
      <x:c r="E1568" s="4" t="n">
        <x:v>7.418</x:v>
      </x:c>
      <x:c r="F1568" s="4" t="n">
        <x:f>J1568*1.02</x:f>
        <x:v>7.42458</x:v>
      </x:c>
      <x:c r="G1568" s="4" t="n">
        <x:v>48.43</x:v>
      </x:c>
      <x:c r="H1568" s="4" t="n">
        <x:v>90.47</x:v>
      </x:c>
      <x:c r="I1568" s="5" t="n">
        <x:f t="shared" si="24">F1568*1000*H1568</x:f>
        <x:v>671701.7526</x:v>
      </x:c>
      <x:c r="J1568" t="n">
        <x:v>7.279</x:v>
      </x:c>
    </x:row>
    <x:row r="1569">
      <x:c r="A1569" s="3" t="n">
        <x:v>2023</x:v>
      </x:c>
      <x:c r="B1569" s="2" t="str">
        <x:v>Agosto</x:v>
      </x:c>
      <x:c r="C1569" s="2" t="str">
        <x:v>RE-018387-1</x:v>
      </x:c>
      <x:c r="D1569" s="2" t="str">
        <x:v>P.E. MONDOÑEDO</x:v>
      </x:c>
      <x:c r="E1569" s="4" t="n">
        <x:v>8.035</x:v>
      </x:c>
      <x:c r="F1569" s="4" t="n">
        <x:f>J1569*0.98</x:f>
        <x:v>7.63126</x:v>
      </x:c>
      <x:c r="G1569" s="4" t="n">
        <x:v>48.43</x:v>
      </x:c>
      <x:c r="H1569" s="4" t="n">
        <x:v>96.05</x:v>
      </x:c>
      <x:c r="I1569" s="5" t="n">
        <x:f t="shared" si="24">F1569*1000*H1569</x:f>
        <x:v>732982.523</x:v>
      </x:c>
      <x:c r="J1569" t="n">
        <x:v>7.787</x:v>
      </x:c>
    </x:row>
    <x:row r="1570">
      <x:c r="A1570" s="3" t="n">
        <x:v>2023</x:v>
      </x:c>
      <x:c r="B1570" s="2" t="str">
        <x:v>Septiembre</x:v>
      </x:c>
      <x:c r="C1570" s="2" t="str">
        <x:v>RE-018387-1</x:v>
      </x:c>
      <x:c r="D1570" s="2" t="str">
        <x:v>P.E. MONDOÑEDO</x:v>
      </x:c>
      <x:c r="E1570" s="4" t="n">
        <x:v>9.379</x:v>
      </x:c>
      <x:c r="F1570" s="4" t="n">
        <x:f>J1570*0.94</x:f>
        <x:v>8.57938</x:v>
      </x:c>
      <x:c r="G1570" s="4" t="n">
        <x:v>48.43</x:v>
      </x:c>
      <x:c r="H1570" s="4" t="n">
        <x:v>103.34</x:v>
      </x:c>
      <x:c r="I1570" s="5" t="n">
        <x:f t="shared" si="24">F1570*1000*H1570</x:f>
        <x:v>886593.1292000001</x:v>
      </x:c>
      <x:c r="J1570" t="n">
        <x:v>9.127</x:v>
      </x:c>
    </x:row>
    <x:row r="1571">
      <x:c r="A1571" s="3" t="n">
        <x:v>2023</x:v>
      </x:c>
      <x:c r="B1571" s="2" t="str">
        <x:v>Octubre</x:v>
      </x:c>
      <x:c r="C1571" s="2" t="str">
        <x:v>RE-018387-1</x:v>
      </x:c>
      <x:c r="D1571" s="2" t="str">
        <x:v>P.E. MONDOÑEDO</x:v>
      </x:c>
      <x:c r="E1571" s="4" t="n">
        <x:v>10.419</x:v>
      </x:c>
      <x:c r="F1571" s="4" t="n">
        <x:f>J1571*1.01</x:f>
        <x:v>10.34038</x:v>
      </x:c>
      <x:c r="G1571" s="4" t="n">
        <x:v>48.43</x:v>
      </x:c>
      <x:c r="H1571" s="4" t="n">
        <x:v>90.14</x:v>
      </x:c>
      <x:c r="I1571" s="5" t="n">
        <x:f t="shared" si="24">F1571*1000*H1571</x:f>
        <x:v>932081.8531999999</x:v>
      </x:c>
      <x:c r="J1571" t="n">
        <x:v>10.238</x:v>
      </x:c>
    </x:row>
    <x:row r="1572">
      <x:c r="A1572" s="3" t="n">
        <x:v>2023</x:v>
      </x:c>
      <x:c r="B1572" s="2" t="str">
        <x:v>Noviembre</x:v>
      </x:c>
      <x:c r="C1572" s="2" t="str">
        <x:v>RE-018387-1</x:v>
      </x:c>
      <x:c r="D1572" s="2" t="str">
        <x:v>P.E. MONDOÑEDO</x:v>
      </x:c>
      <x:c r="E1572" s="4" t="n">
        <x:v>11.753</x:v>
      </x:c>
      <x:c r="F1572" s="4" t="n">
        <x:f>J1572*0.97</x:f>
        <x:v>11.06091</x:v>
      </x:c>
      <x:c r="G1572" s="4" t="n">
        <x:v>48.43</x:v>
      </x:c>
      <x:c r="H1572" s="4" t="n">
        <x:v>63.45</x:v>
      </x:c>
      <x:c r="I1572" s="5" t="n">
        <x:f t="shared" si="24">F1572*1000*H1572</x:f>
        <x:v>701814.7395</x:v>
      </x:c>
      <x:c r="J1572" t="n">
        <x:v>11.403</x:v>
      </x:c>
    </x:row>
    <x:row r="1573">
      <x:c r="A1573" s="3" t="n">
        <x:v>2023</x:v>
      </x:c>
      <x:c r="B1573" s="2" t="str">
        <x:v>Diciembre</x:v>
      </x:c>
      <x:c r="C1573" s="2" t="str">
        <x:v>RE-018387-1</x:v>
      </x:c>
      <x:c r="D1573" s="2" t="str">
        <x:v>P.E. MONDOÑEDO</x:v>
      </x:c>
      <x:c r="E1573" s="4" t="n">
        <x:v>12.17</x:v>
      </x:c>
      <x:c r="F1573" s="4" t="n">
        <x:f>J1573*1.04</x:f>
        <x:v>12.34272</x:v>
      </x:c>
      <x:c r="G1573" s="4" t="n">
        <x:v>48.43</x:v>
      </x:c>
      <x:c r="H1573" s="4" t="n">
        <x:v>72.17</x:v>
      </x:c>
      <x:c r="I1573" s="5" t="n">
        <x:f t="shared" si="24">F1573*1000*H1573</x:f>
        <x:v>890774.1024</x:v>
      </x:c>
      <x:c r="J1573" t="n">
        <x:v>11.868</x:v>
      </x:c>
    </x:row>
    <x:row r="1574">
      <x:c r="A1574" s="3" t="n">
        <x:v>2023</x:v>
      </x:c>
      <x:c r="B1574" s="2" t="str">
        <x:v>Enero</x:v>
      </x:c>
      <x:c r="C1574" s="2" t="str">
        <x:v>RE-018585-1</x:v>
      </x:c>
      <x:c r="D1574" s="2" t="str">
        <x:v>P.E. VALSAGUEIRO</x:v>
      </x:c>
      <x:c r="E1574" s="4" t="n">
        <x:v>8.674</x:v>
      </x:c>
      <x:c r="F1574" s="4" t="n">
        <x:f>J1574*1</x:f>
        <x:v>8.533</x:v>
      </x:c>
      <x:c r="G1574" s="4" t="n">
        <x:v>32.5</x:v>
      </x:c>
      <x:c r="H1574" s="4" t="n">
        <x:v>69.55</x:v>
      </x:c>
      <x:c r="I1574" s="5" t="n">
        <x:f t="shared" si="24">F1574*1000*H1574</x:f>
        <x:v>593470.15</x:v>
      </x:c>
      <x:c r="J1574" t="n">
        <x:v>8.533</x:v>
      </x:c>
    </x:row>
    <x:row r="1575">
      <x:c r="A1575" s="3" t="n">
        <x:v>2023</x:v>
      </x:c>
      <x:c r="B1575" s="2" t="str">
        <x:v>Febrero</x:v>
      </x:c>
      <x:c r="C1575" s="2" t="str">
        <x:v>RE-018585-1</x:v>
      </x:c>
      <x:c r="D1575" s="2" t="str">
        <x:v>P.E. VALSAGUEIRO</x:v>
      </x:c>
      <x:c r="E1575" s="4" t="n">
        <x:v>7.167</x:v>
      </x:c>
      <x:c r="F1575" s="4" t="n">
        <x:f>J1575*0.96</x:f>
        <x:v>6.7766399999999996</x:v>
      </x:c>
      <x:c r="G1575" s="4" t="n">
        <x:v>32.5</x:v>
      </x:c>
      <x:c r="H1575" s="4" t="n">
        <x:v>133.47</x:v>
      </x:c>
      <x:c r="I1575" s="5" t="n">
        <x:f t="shared" si="24">F1575*1000*H1575</x:f>
        <x:v>904478.1407999999</x:v>
      </x:c>
      <x:c r="J1575" t="n">
        <x:v>7.059</x:v>
      </x:c>
    </x:row>
    <x:row r="1576">
      <x:c r="A1576" s="3" t="n">
        <x:v>2023</x:v>
      </x:c>
      <x:c r="B1576" s="2" t="str">
        <x:v>Marzo</x:v>
      </x:c>
      <x:c r="C1576" s="2" t="str">
        <x:v>RE-018585-1</x:v>
      </x:c>
      <x:c r="D1576" s="2" t="str">
        <x:v>P.E. VALSAGUEIRO</x:v>
      </x:c>
      <x:c r="E1576" s="4" t="n">
        <x:v>7.098</x:v>
      </x:c>
      <x:c r="F1576" s="4" t="n">
        <x:f>J1576*1.03</x:f>
        <x:v>7.1688</x:v>
      </x:c>
      <x:c r="G1576" s="4" t="n">
        <x:v>32.5</x:v>
      </x:c>
      <x:c r="H1576" s="4" t="n">
        <x:v>89.61</x:v>
      </x:c>
      <x:c r="I1576" s="5" t="n">
        <x:f t="shared" si="24">F1576*1000*H1576</x:f>
        <x:v>642396.1680000001</x:v>
      </x:c>
      <x:c r="J1576" t="n">
        <x:v>6.96</x:v>
      </x:c>
    </x:row>
    <x:row r="1577">
      <x:c r="A1577" s="3" t="n">
        <x:v>2023</x:v>
      </x:c>
      <x:c r="B1577" s="2" t="str">
        <x:v>Abril</x:v>
      </x:c>
      <x:c r="C1577" s="2" t="str">
        <x:v>RE-018585-1</x:v>
      </x:c>
      <x:c r="D1577" s="2" t="str">
        <x:v>P.E. VALSAGUEIRO</x:v>
      </x:c>
      <x:c r="E1577" s="4" t="n">
        <x:v>5.758</x:v>
      </x:c>
      <x:c r="F1577" s="4" t="n">
        <x:f>J1577*0.99</x:f>
        <x:v>5.54103</x:v>
      </x:c>
      <x:c r="G1577" s="4" t="n">
        <x:v>32.5</x:v>
      </x:c>
      <x:c r="H1577" s="4" t="n">
        <x:v>73.73</x:v>
      </x:c>
      <x:c r="I1577" s="5" t="n">
        <x:f t="shared" si="24">F1577*1000*H1577</x:f>
        <x:v>408540.1419</x:v>
      </x:c>
      <x:c r="J1577" t="n">
        <x:v>5.597</x:v>
      </x:c>
    </x:row>
    <x:row r="1578">
      <x:c r="A1578" s="3" t="n">
        <x:v>2023</x:v>
      </x:c>
      <x:c r="B1578" s="2" t="str">
        <x:v>Mayo</x:v>
      </x:c>
      <x:c r="C1578" s="2" t="str">
        <x:v>RE-018585-1</x:v>
      </x:c>
      <x:c r="D1578" s="2" t="str">
        <x:v>P.E. VALSAGUEIRO</x:v>
      </x:c>
      <x:c r="E1578" s="4" t="n">
        <x:v>6.023</x:v>
      </x:c>
      <x:c r="F1578" s="4" t="n">
        <x:f>J1578*0.95</x:f>
        <x:v>5.5689</x:v>
      </x:c>
      <x:c r="G1578" s="4" t="n">
        <x:v>32.5</x:v>
      </x:c>
      <x:c r="H1578" s="4" t="n">
        <x:v>74.21</x:v>
      </x:c>
      <x:c r="I1578" s="5" t="n">
        <x:f t="shared" si="24">F1578*1000*H1578</x:f>
        <x:v>413268.069</x:v>
      </x:c>
      <x:c r="J1578" t="n">
        <x:v>5.862</x:v>
      </x:c>
    </x:row>
    <x:row r="1579">
      <x:c r="A1579" s="3" t="n">
        <x:v>2023</x:v>
      </x:c>
      <x:c r="B1579" s="2" t="str">
        <x:v>Junio</x:v>
      </x:c>
      <x:c r="C1579" s="2" t="str">
        <x:v>RE-018585-1</x:v>
      </x:c>
      <x:c r="D1579" s="2" t="str">
        <x:v>P.E. VALSAGUEIRO</x:v>
      </x:c>
      <x:c r="E1579" s="4" t="n">
        <x:v>4.599</x:v>
      </x:c>
      <x:c r="F1579" s="4" t="n">
        <x:f>J1579*1.02</x:f>
        <x:v>4.566540000000001</x:v>
      </x:c>
      <x:c r="G1579" s="4" t="n">
        <x:v>32.5</x:v>
      </x:c>
      <x:c r="H1579" s="4" t="n">
        <x:v>93.02</x:v>
      </x:c>
      <x:c r="I1579" s="5" t="n">
        <x:f t="shared" si="24">F1579*1000*H1579</x:f>
        <x:v>424779.5508000001</x:v>
      </x:c>
      <x:c r="J1579" t="n">
        <x:v>4.477</x:v>
      </x:c>
    </x:row>
    <x:row r="1580">
      <x:c r="A1580" s="3" t="n">
        <x:v>2023</x:v>
      </x:c>
      <x:c r="B1580" s="2" t="str">
        <x:v>Julio</x:v>
      </x:c>
      <x:c r="C1580" s="2" t="str">
        <x:v>RE-018585-1</x:v>
      </x:c>
      <x:c r="D1580" s="2" t="str">
        <x:v>P.E. VALSAGUEIRO</x:v>
      </x:c>
      <x:c r="E1580" s="4" t="n">
        <x:v>3.876</x:v>
      </x:c>
      <x:c r="F1580" s="4" t="n">
        <x:f>J1580*0.98</x:f>
        <x:v>3.7386999999999997</x:v>
      </x:c>
      <x:c r="G1580" s="4" t="n">
        <x:v>32.5</x:v>
      </x:c>
      <x:c r="H1580" s="4" t="n">
        <x:v>90.47</x:v>
      </x:c>
      <x:c r="I1580" s="5" t="n">
        <x:f t="shared" si="24">F1580*1000*H1580</x:f>
        <x:v>338240.18899999995</x:v>
      </x:c>
      <x:c r="J1580" t="n">
        <x:v>3.815</x:v>
      </x:c>
    </x:row>
    <x:row r="1581">
      <x:c r="A1581" s="3" t="n">
        <x:v>2023</x:v>
      </x:c>
      <x:c r="B1581" s="2" t="str">
        <x:v>Agosto</x:v>
      </x:c>
      <x:c r="C1581" s="2" t="str">
        <x:v>RE-018585-1</x:v>
      </x:c>
      <x:c r="D1581" s="2" t="str">
        <x:v>P.E. VALSAGUEIRO</x:v>
      </x:c>
      <x:c r="E1581" s="4" t="n">
        <x:v>4.765</x:v>
      </x:c>
      <x:c r="F1581" s="4" t="n">
        <x:f>J1581*0.94</x:f>
        <x:v>4.40108</x:v>
      </x:c>
      <x:c r="G1581" s="4" t="n">
        <x:v>32.5</x:v>
      </x:c>
      <x:c r="H1581" s="4" t="n">
        <x:v>96.05</x:v>
      </x:c>
      <x:c r="I1581" s="5" t="n">
        <x:f t="shared" si="24">F1581*1000*H1581</x:f>
        <x:v>422723.734</x:v>
      </x:c>
      <x:c r="J1581" t="n">
        <x:v>4.682</x:v>
      </x:c>
    </x:row>
    <x:row r="1582">
      <x:c r="A1582" s="3" t="n">
        <x:v>2023</x:v>
      </x:c>
      <x:c r="B1582" s="2" t="str">
        <x:v>Septiembre</x:v>
      </x:c>
      <x:c r="C1582" s="2" t="str">
        <x:v>RE-018585-1</x:v>
      </x:c>
      <x:c r="D1582" s="2" t="str">
        <x:v>P.E. VALSAGUEIRO</x:v>
      </x:c>
      <x:c r="E1582" s="4" t="n">
        <x:v>5.419</x:v>
      </x:c>
      <x:c r="F1582" s="4" t="n">
        <x:f>J1582*1.01</x:f>
        <x:v>5.36714</x:v>
      </x:c>
      <x:c r="G1582" s="4" t="n">
        <x:v>32.5</x:v>
      </x:c>
      <x:c r="H1582" s="4" t="n">
        <x:v>103.34</x:v>
      </x:c>
      <x:c r="I1582" s="5" t="n">
        <x:f t="shared" si="24">F1582*1000*H1582</x:f>
        <x:v>554640.2476</x:v>
      </x:c>
      <x:c r="J1582" t="n">
        <x:v>5.314</x:v>
      </x:c>
    </x:row>
    <x:row r="1583">
      <x:c r="A1583" s="3" t="n">
        <x:v>2023</x:v>
      </x:c>
      <x:c r="B1583" s="2" t="str">
        <x:v>Octubre</x:v>
      </x:c>
      <x:c r="C1583" s="2" t="str">
        <x:v>RE-018585-1</x:v>
      </x:c>
      <x:c r="D1583" s="2" t="str">
        <x:v>P.E. VALSAGUEIRO</x:v>
      </x:c>
      <x:c r="E1583" s="4" t="n">
        <x:v>6.101</x:v>
      </x:c>
      <x:c r="F1583" s="4" t="n">
        <x:f>J1583*0.97</x:f>
        <x:v>5.73076</x:v>
      </x:c>
      <x:c r="G1583" s="4" t="n">
        <x:v>32.5</x:v>
      </x:c>
      <x:c r="H1583" s="4" t="n">
        <x:v>90.14</x:v>
      </x:c>
      <x:c r="I1583" s="5" t="n">
        <x:f t="shared" si="24">F1583*1000*H1583</x:f>
        <x:v>516570.7064</x:v>
      </x:c>
      <x:c r="J1583" t="n">
        <x:v>5.908</x:v>
      </x:c>
    </x:row>
    <x:row r="1584">
      <x:c r="A1584" s="3" t="n">
        <x:v>2023</x:v>
      </x:c>
      <x:c r="B1584" s="2" t="str">
        <x:v>Noviembre</x:v>
      </x:c>
      <x:c r="C1584" s="2" t="str">
        <x:v>RE-018585-1</x:v>
      </x:c>
      <x:c r="D1584" s="2" t="str">
        <x:v>P.E. VALSAGUEIRO</x:v>
      </x:c>
      <x:c r="E1584" s="4" t="n">
        <x:v>8.594</x:v>
      </x:c>
      <x:c r="F1584" s="4" t="n">
        <x:f>J1584*1.04</x:f>
        <x:v>8.74952</x:v>
      </x:c>
      <x:c r="G1584" s="4" t="n">
        <x:v>32.5</x:v>
      </x:c>
      <x:c r="H1584" s="4" t="n">
        <x:v>63.45</x:v>
      </x:c>
      <x:c r="I1584" s="5" t="n">
        <x:f t="shared" si="24">F1584*1000*H1584</x:f>
        <x:v>555157.044</x:v>
      </x:c>
      <x:c r="J1584" t="n">
        <x:v>8.413</x:v>
      </x:c>
    </x:row>
    <x:row r="1585">
      <x:c r="A1585" s="3" t="n">
        <x:v>2023</x:v>
      </x:c>
      <x:c r="B1585" s="2" t="str">
        <x:v>Diciembre</x:v>
      </x:c>
      <x:c r="C1585" s="2" t="str">
        <x:v>RE-018585-1</x:v>
      </x:c>
      <x:c r="D1585" s="2" t="str">
        <x:v>P.E. VALSAGUEIRO</x:v>
      </x:c>
      <x:c r="E1585" s="4" t="n">
        <x:v>9.761</x:v>
      </x:c>
      <x:c r="F1585" s="4" t="n">
        <x:f>J1585*1</x:f>
        <x:v>9.605</x:v>
      </x:c>
      <x:c r="G1585" s="4" t="n">
        <x:v>32.5</x:v>
      </x:c>
      <x:c r="H1585" s="4" t="n">
        <x:v>72.17</x:v>
      </x:c>
      <x:c r="I1585" s="5" t="n">
        <x:f t="shared" si="24">F1585*1000*H1585</x:f>
        <x:v>693192.85</x:v>
      </x:c>
      <x:c r="J1585" t="n">
        <x:v>9.605</x:v>
      </x:c>
    </x:row>
    <x:row r="1586">
      <x:c r="A1586" s="3" t="n">
        <x:v>2023</x:v>
      </x:c>
      <x:c r="B1586" s="2" t="str">
        <x:v>Enero</x:v>
      </x:c>
      <x:c r="C1586" s="2" t="str">
        <x:v>RE-018895-1</x:v>
      </x:c>
      <x:c r="D1586" s="2" t="str">
        <x:v>P.E. CASA</x:v>
      </x:c>
      <x:c r="E1586" s="4" t="n">
        <x:v>8.689</x:v>
      </x:c>
      <x:c r="F1586" s="4" t="n">
        <x:f>J1586*0.96</x:f>
        <x:v>8.146560000000001</x:v>
      </x:c>
      <x:c r="G1586" s="4" t="n">
        <x:v>29.9</x:v>
      </x:c>
      <x:c r="H1586" s="4" t="n">
        <x:v>69.55</x:v>
      </x:c>
      <x:c r="I1586" s="5" t="n">
        <x:f t="shared" si="24">F1586*1000*H1586</x:f>
        <x:v>566593.248</x:v>
      </x:c>
      <x:c r="J1586" t="n">
        <x:v>8.486</x:v>
      </x:c>
    </x:row>
    <x:row r="1587">
      <x:c r="A1587" s="3" t="n">
        <x:v>2023</x:v>
      </x:c>
      <x:c r="B1587" s="2" t="str">
        <x:v>Febrero</x:v>
      </x:c>
      <x:c r="C1587" s="2" t="str">
        <x:v>RE-018895-1</x:v>
      </x:c>
      <x:c r="D1587" s="2" t="str">
        <x:v>P.E. CASA</x:v>
      </x:c>
      <x:c r="E1587" s="4" t="n">
        <x:v>8.193</x:v>
      </x:c>
      <x:c r="F1587" s="4" t="n">
        <x:f>J1587*1.03</x:f>
        <x:v>8.21425</x:v>
      </x:c>
      <x:c r="G1587" s="4" t="n">
        <x:v>29.9</x:v>
      </x:c>
      <x:c r="H1587" s="4" t="n">
        <x:v>133.47</x:v>
      </x:c>
      <x:c r="I1587" s="5" t="n">
        <x:f t="shared" si="24">F1587*1000*H1587</x:f>
        <x:v>1096355.9475</x:v>
      </x:c>
      <x:c r="J1587" t="n">
        <x:v>7.975</x:v>
      </x:c>
    </x:row>
    <x:row r="1588">
      <x:c r="A1588" s="3" t="n">
        <x:v>2023</x:v>
      </x:c>
      <x:c r="B1588" s="2" t="str">
        <x:v>Marzo</x:v>
      </x:c>
      <x:c r="C1588" s="2" t="str">
        <x:v>RE-018895-1</x:v>
      </x:c>
      <x:c r="D1588" s="2" t="str">
        <x:v>P.E. CASA</x:v>
      </x:c>
      <x:c r="E1588" s="4" t="n">
        <x:v>6.881</x:v>
      </x:c>
      <x:c r="F1588" s="4" t="n">
        <x:f>J1588*0.99</x:f>
        <x:v>6.61815</x:v>
      </x:c>
      <x:c r="G1588" s="4" t="n">
        <x:v>29.9</x:v>
      </x:c>
      <x:c r="H1588" s="4" t="n">
        <x:v>89.61</x:v>
      </x:c>
      <x:c r="I1588" s="5" t="n">
        <x:f t="shared" si="24">F1588*1000*H1588</x:f>
        <x:v>593052.4214999999</x:v>
      </x:c>
      <x:c r="J1588" t="n">
        <x:v>6.685</x:v>
      </x:c>
    </x:row>
    <x:row r="1589">
      <x:c r="A1589" s="3" t="n">
        <x:v>2023</x:v>
      </x:c>
      <x:c r="B1589" s="2" t="str">
        <x:v>Abril</x:v>
      </x:c>
      <x:c r="C1589" s="2" t="str">
        <x:v>RE-018895-1</x:v>
      </x:c>
      <x:c r="D1589" s="2" t="str">
        <x:v>P.E. CASA</x:v>
      </x:c>
      <x:c r="E1589" s="4" t="n">
        <x:v>6.419</x:v>
      </x:c>
      <x:c r="F1589" s="4" t="n">
        <x:f>J1589*0.95</x:f>
        <x:v>5.9052</x:v>
      </x:c>
      <x:c r="G1589" s="4" t="n">
        <x:v>29.9</x:v>
      </x:c>
      <x:c r="H1589" s="4" t="n">
        <x:v>73.73</x:v>
      </x:c>
      <x:c r="I1589" s="5" t="n">
        <x:f t="shared" si="24">F1589*1000*H1589</x:f>
        <x:v>435390.396</x:v>
      </x:c>
      <x:c r="J1589" t="n">
        <x:v>6.216</x:v>
      </x:c>
    </x:row>
    <x:row r="1590">
      <x:c r="A1590" s="3" t="n">
        <x:v>2023</x:v>
      </x:c>
      <x:c r="B1590" s="2" t="str">
        <x:v>Mayo</x:v>
      </x:c>
      <x:c r="C1590" s="2" t="str">
        <x:v>RE-018895-1</x:v>
      </x:c>
      <x:c r="D1590" s="2" t="str">
        <x:v>P.E. CASA</x:v>
      </x:c>
      <x:c r="E1590" s="4" t="n">
        <x:v>6.299</x:v>
      </x:c>
      <x:c r="F1590" s="4" t="n">
        <x:f>J1590*1.02</x:f>
        <x:v>6.2781</x:v>
      </x:c>
      <x:c r="G1590" s="4" t="n">
        <x:v>29.9</x:v>
      </x:c>
      <x:c r="H1590" s="4" t="n">
        <x:v>74.21</x:v>
      </x:c>
      <x:c r="I1590" s="5" t="n">
        <x:f t="shared" si="24">F1590*1000*H1590</x:f>
        <x:v>465897.801</x:v>
      </x:c>
      <x:c r="J1590" t="n">
        <x:v>6.155</x:v>
      </x:c>
    </x:row>
    <x:row r="1591">
      <x:c r="A1591" s="3" t="n">
        <x:v>2023</x:v>
      </x:c>
      <x:c r="B1591" s="2" t="str">
        <x:v>Junio</x:v>
      </x:c>
      <x:c r="C1591" s="2" t="str">
        <x:v>RE-018895-1</x:v>
      </x:c>
      <x:c r="D1591" s="2" t="str">
        <x:v>P.E. CASA</x:v>
      </x:c>
      <x:c r="E1591" s="4" t="n">
        <x:v>4.814</x:v>
      </x:c>
      <x:c r="F1591" s="4" t="n">
        <x:f>J1591*0.98</x:f>
        <x:v>4.62952</x:v>
      </x:c>
      <x:c r="G1591" s="4" t="n">
        <x:v>29.9</x:v>
      </x:c>
      <x:c r="H1591" s="4" t="n">
        <x:v>93.02</x:v>
      </x:c>
      <x:c r="I1591" s="5" t="n">
        <x:f t="shared" si="24">F1591*1000*H1591</x:f>
        <x:v>430637.95040000003</x:v>
      </x:c>
      <x:c r="J1591" t="n">
        <x:v>4.724</x:v>
      </x:c>
    </x:row>
    <x:row r="1592">
      <x:c r="A1592" s="3" t="n">
        <x:v>2023</x:v>
      </x:c>
      <x:c r="B1592" s="2" t="str">
        <x:v>Julio</x:v>
      </x:c>
      <x:c r="C1592" s="2" t="str">
        <x:v>RE-018895-1</x:v>
      </x:c>
      <x:c r="D1592" s="2" t="str">
        <x:v>P.E. CASA</x:v>
      </x:c>
      <x:c r="E1592" s="4" t="n">
        <x:v>4.575</x:v>
      </x:c>
      <x:c r="F1592" s="4" t="n">
        <x:f>J1592*0.94</x:f>
        <x:v>4.22718</x:v>
      </x:c>
      <x:c r="G1592" s="4" t="n">
        <x:v>29.9</x:v>
      </x:c>
      <x:c r="H1592" s="4" t="n">
        <x:v>90.47</x:v>
      </x:c>
      <x:c r="I1592" s="5" t="n">
        <x:f t="shared" si="24">F1592*1000*H1592</x:f>
        <x:v>382432.97459999996</x:v>
      </x:c>
      <x:c r="J1592" t="n">
        <x:v>4.497</x:v>
      </x:c>
    </x:row>
    <x:row r="1593">
      <x:c r="A1593" s="3" t="n">
        <x:v>2023</x:v>
      </x:c>
      <x:c r="B1593" s="2" t="str">
        <x:v>Agosto</x:v>
      </x:c>
      <x:c r="C1593" s="2" t="str">
        <x:v>RE-018895-1</x:v>
      </x:c>
      <x:c r="D1593" s="2" t="str">
        <x:v>P.E. CASA</x:v>
      </x:c>
      <x:c r="E1593" s="4" t="n">
        <x:v>4.569</x:v>
      </x:c>
      <x:c r="F1593" s="4" t="n">
        <x:f>J1593*1.01</x:f>
        <x:v>4.53086</x:v>
      </x:c>
      <x:c r="G1593" s="4" t="n">
        <x:v>29.9</x:v>
      </x:c>
      <x:c r="H1593" s="4" t="n">
        <x:v>96.05</x:v>
      </x:c>
      <x:c r="I1593" s="5" t="n">
        <x:f t="shared" si="24">F1593*1000*H1593</x:f>
        <x:v>435189.10299999994</x:v>
      </x:c>
      <x:c r="J1593" t="n">
        <x:v>4.486</x:v>
      </x:c>
    </x:row>
    <x:row r="1594">
      <x:c r="A1594" s="3" t="n">
        <x:v>2023</x:v>
      </x:c>
      <x:c r="B1594" s="2" t="str">
        <x:v>Septiembre</x:v>
      </x:c>
      <x:c r="C1594" s="2" t="str">
        <x:v>RE-018895-1</x:v>
      </x:c>
      <x:c r="D1594" s="2" t="str">
        <x:v>P.E. CASA</x:v>
      </x:c>
      <x:c r="E1594" s="4" t="n">
        <x:v>5.461</x:v>
      </x:c>
      <x:c r="F1594" s="4" t="n">
        <x:f>J1594*0.97</x:f>
        <x:v>5.2069600000000005</x:v>
      </x:c>
      <x:c r="G1594" s="4" t="n">
        <x:v>29.9</x:v>
      </x:c>
      <x:c r="H1594" s="4" t="n">
        <x:v>103.34</x:v>
      </x:c>
      <x:c r="I1594" s="5" t="n">
        <x:f t="shared" si="24">F1594*1000*H1594</x:f>
        <x:v>538087.2464000001</x:v>
      </x:c>
      <x:c r="J1594" t="n">
        <x:v>5.368</x:v>
      </x:c>
    </x:row>
    <x:row r="1595">
      <x:c r="A1595" s="3" t="n">
        <x:v>2023</x:v>
      </x:c>
      <x:c r="B1595" s="2" t="str">
        <x:v>Octubre</x:v>
      </x:c>
      <x:c r="C1595" s="2" t="str">
        <x:v>RE-018895-1</x:v>
      </x:c>
      <x:c r="D1595" s="2" t="str">
        <x:v>P.E. CASA</x:v>
      </x:c>
      <x:c r="E1595" s="4" t="n">
        <x:v>6.74</x:v>
      </x:c>
      <x:c r="F1595" s="4" t="n">
        <x:f>J1595*1.04</x:f>
        <x:v>6.899360000000001</x:v>
      </x:c>
      <x:c r="G1595" s="4" t="n">
        <x:v>29.9</x:v>
      </x:c>
      <x:c r="H1595" s="4" t="n">
        <x:v>90.14</x:v>
      </x:c>
      <x:c r="I1595" s="5" t="n">
        <x:f t="shared" si="24">F1595*1000*H1595</x:f>
        <x:v>621908.3104000001</x:v>
      </x:c>
      <x:c r="J1595" t="n">
        <x:v>6.634</x:v>
      </x:c>
    </x:row>
    <x:row r="1596">
      <x:c r="A1596" s="3" t="n">
        <x:v>2023</x:v>
      </x:c>
      <x:c r="B1596" s="2" t="str">
        <x:v>Noviembre</x:v>
      </x:c>
      <x:c r="C1596" s="2" t="str">
        <x:v>RE-018895-1</x:v>
      </x:c>
      <x:c r="D1596" s="2" t="str">
        <x:v>P.E. CASA</x:v>
      </x:c>
      <x:c r="E1596" s="4" t="n">
        <x:v>8.127</x:v>
      </x:c>
      <x:c r="F1596" s="4" t="n">
        <x:f>J1596*1</x:f>
        <x:v>7.891</x:v>
      </x:c>
      <x:c r="G1596" s="4" t="n">
        <x:v>29.9</x:v>
      </x:c>
      <x:c r="H1596" s="4" t="n">
        <x:v>63.45</x:v>
      </x:c>
      <x:c r="I1596" s="5" t="n">
        <x:f t="shared" si="24">F1596*1000*H1596</x:f>
        <x:v>500683.95</x:v>
      </x:c>
      <x:c r="J1596" t="n">
        <x:v>7.891</x:v>
      </x:c>
    </x:row>
    <x:row r="1597">
      <x:c r="A1597" s="3" t="n">
        <x:v>2023</x:v>
      </x:c>
      <x:c r="B1597" s="2" t="str">
        <x:v>Diciembre</x:v>
      </x:c>
      <x:c r="C1597" s="2" t="str">
        <x:v>RE-018895-1</x:v>
      </x:c>
      <x:c r="D1597" s="2" t="str">
        <x:v>P.E. CASA</x:v>
      </x:c>
      <x:c r="E1597" s="4" t="n">
        <x:v>8.913</x:v>
      </x:c>
      <x:c r="F1597" s="4" t="n">
        <x:f>J1597*0.96</x:f>
        <x:v>8.35104</x:v>
      </x:c>
      <x:c r="G1597" s="4" t="n">
        <x:v>29.9</x:v>
      </x:c>
      <x:c r="H1597" s="4" t="n">
        <x:v>72.17</x:v>
      </x:c>
      <x:c r="I1597" s="5" t="n">
        <x:f t="shared" si="24">F1597*1000*H1597</x:f>
        <x:v>602694.5567999999</x:v>
      </x:c>
      <x:c r="J1597" t="n">
        <x:v>8.699</x:v>
      </x:c>
    </x:row>
    <x:row r="1598">
      <x:c r="A1598" s="3" t="n">
        <x:v>2023</x:v>
      </x:c>
      <x:c r="B1598" s="2" t="str">
        <x:v>Enero</x:v>
      </x:c>
      <x:c r="C1598" s="2" t="str">
        <x:v>RE-018896-1</x:v>
      </x:c>
      <x:c r="D1598" s="2" t="str">
        <x:v>P.E. CODESAS</x:v>
      </x:c>
      <x:c r="E1598" s="4" t="n">
        <x:v>4.647</x:v>
      </x:c>
      <x:c r="F1598" s="4" t="n">
        <x:f>J1598*1.03</x:f>
        <x:v>4.67311</x:v>
      </x:c>
      <x:c r="G1598" s="4" t="n">
        <x:v>17</x:v>
      </x:c>
      <x:c r="H1598" s="4" t="n">
        <x:v>69.55</x:v>
      </x:c>
      <x:c r="I1598" s="5" t="n">
        <x:f t="shared" si="24">F1598*1000*H1598</x:f>
        <x:v>325014.8005</x:v>
      </x:c>
      <x:c r="J1598" t="n">
        <x:v>4.537</x:v>
      </x:c>
    </x:row>
    <x:row r="1599">
      <x:c r="A1599" s="3" t="n">
        <x:v>2023</x:v>
      </x:c>
      <x:c r="B1599" s="2" t="str">
        <x:v>Febrero</x:v>
      </x:c>
      <x:c r="C1599" s="2" t="str">
        <x:v>RE-018896-1</x:v>
      </x:c>
      <x:c r="D1599" s="2" t="str">
        <x:v>P.E. CODESAS</x:v>
      </x:c>
      <x:c r="E1599" s="4" t="n">
        <x:v>4.599</x:v>
      </x:c>
      <x:c r="F1599" s="4" t="n">
        <x:f>J1599*0.99</x:f>
        <x:v>4.41738</x:v>
      </x:c>
      <x:c r="G1599" s="4" t="n">
        <x:v>17</x:v>
      </x:c>
      <x:c r="H1599" s="4" t="n">
        <x:v>133.47</x:v>
      </x:c>
      <x:c r="I1599" s="5" t="n">
        <x:f t="shared" si="24">F1599*1000*H1599</x:f>
        <x:v>589587.7085999999</x:v>
      </x:c>
      <x:c r="J1599" t="n">
        <x:v>4.462</x:v>
      </x:c>
    </x:row>
    <x:row r="1600">
      <x:c r="A1600" s="3" t="n">
        <x:v>2023</x:v>
      </x:c>
      <x:c r="B1600" s="2" t="str">
        <x:v>Marzo</x:v>
      </x:c>
      <x:c r="C1600" s="2" t="str">
        <x:v>RE-018896-1</x:v>
      </x:c>
      <x:c r="D1600" s="2" t="str">
        <x:v>P.E. CODESAS</x:v>
      </x:c>
      <x:c r="E1600" s="4" t="n">
        <x:v>5.122</x:v>
      </x:c>
      <x:c r="F1600" s="4" t="n">
        <x:f>J1600*0.95</x:f>
        <x:v>4.79085</x:v>
      </x:c>
      <x:c r="G1600" s="4" t="n">
        <x:v>17</x:v>
      </x:c>
      <x:c r="H1600" s="4" t="n">
        <x:v>89.61</x:v>
      </x:c>
      <x:c r="I1600" s="5" t="n">
        <x:f t="shared" si="24">F1600*1000*H1600</x:f>
        <x:v>429308.06849999994</x:v>
      </x:c>
      <x:c r="J1600" t="n">
        <x:v>5.043</x:v>
      </x:c>
    </x:row>
    <x:row r="1601">
      <x:c r="A1601" s="3" t="n">
        <x:v>2023</x:v>
      </x:c>
      <x:c r="B1601" s="2" t="str">
        <x:v>Abril</x:v>
      </x:c>
      <x:c r="C1601" s="2" t="str">
        <x:v>RE-018896-1</x:v>
      </x:c>
      <x:c r="D1601" s="2" t="str">
        <x:v>P.E. CODESAS</x:v>
      </x:c>
      <x:c r="E1601" s="4" t="n">
        <x:v>3.368</x:v>
      </x:c>
      <x:c r="F1601" s="4" t="n">
        <x:f>J1601*1.02</x:f>
        <x:v>3.37722</x:v>
      </x:c>
      <x:c r="G1601" s="4" t="n">
        <x:v>17</x:v>
      </x:c>
      <x:c r="H1601" s="4" t="n">
        <x:v>73.73</x:v>
      </x:c>
      <x:c r="I1601" s="5" t="n">
        <x:f t="shared" si="24">F1601*1000*H1601</x:f>
        <x:v>249002.4306</x:v>
      </x:c>
      <x:c r="J1601" t="n">
        <x:v>3.311</x:v>
      </x:c>
    </x:row>
    <x:row r="1602">
      <x:c r="A1602" s="3" t="n">
        <x:v>2023</x:v>
      </x:c>
      <x:c r="B1602" s="2" t="str">
        <x:v>Mayo</x:v>
      </x:c>
      <x:c r="C1602" s="2" t="str">
        <x:v>RE-018896-1</x:v>
      </x:c>
      <x:c r="D1602" s="2" t="str">
        <x:v>P.E. CODESAS</x:v>
      </x:c>
      <x:c r="E1602" s="4" t="n">
        <x:v>3.108</x:v>
      </x:c>
      <x:c r="F1602" s="4" t="n">
        <x:f>J1602*0.98</x:f>
        <x:v>2.9497999999999998</x:v>
      </x:c>
      <x:c r="G1602" s="4" t="n">
        <x:v>17</x:v>
      </x:c>
      <x:c r="H1602" s="4" t="n">
        <x:v>74.21</x:v>
      </x:c>
      <x:c r="I1602" s="5" t="n">
        <x:f t="shared" ref="I1602:I1665" si="25">F1602*1000*H1602</x:f>
        <x:v>218904.65799999997</x:v>
      </x:c>
      <x:c r="J1602" t="n">
        <x:v>3.01</x:v>
      </x:c>
    </x:row>
    <x:row r="1603">
      <x:c r="A1603" s="3" t="n">
        <x:v>2023</x:v>
      </x:c>
      <x:c r="B1603" s="2" t="str">
        <x:v>Junio</x:v>
      </x:c>
      <x:c r="C1603" s="2" t="str">
        <x:v>RE-018896-1</x:v>
      </x:c>
      <x:c r="D1603" s="2" t="str">
        <x:v>P.E. CODESAS</x:v>
      </x:c>
      <x:c r="E1603" s="4" t="n">
        <x:v>2.888</x:v>
      </x:c>
      <x:c r="F1603" s="4" t="n">
        <x:f>J1603*0.94</x:f>
        <x:v>2.67242</x:v>
      </x:c>
      <x:c r="G1603" s="4" t="n">
        <x:v>17</x:v>
      </x:c>
      <x:c r="H1603" s="4" t="n">
        <x:v>93.02</x:v>
      </x:c>
      <x:c r="I1603" s="5" t="n">
        <x:f t="shared" si="25">F1603*1000*H1603</x:f>
        <x:v>248588.50839999996</x:v>
      </x:c>
      <x:c r="J1603" t="n">
        <x:v>2.843</x:v>
      </x:c>
    </x:row>
    <x:row r="1604">
      <x:c r="A1604" s="3" t="n">
        <x:v>2023</x:v>
      </x:c>
      <x:c r="B1604" s="2" t="str">
        <x:v>Julio</x:v>
      </x:c>
      <x:c r="C1604" s="2" t="str">
        <x:v>RE-018896-1</x:v>
      </x:c>
      <x:c r="D1604" s="2" t="str">
        <x:v>P.E. CODESAS</x:v>
      </x:c>
      <x:c r="E1604" s="4" t="n">
        <x:v>2.519</x:v>
      </x:c>
      <x:c r="F1604" s="4" t="n">
        <x:f>J1604*1.01</x:f>
        <x:v>2.46844</x:v>
      </x:c>
      <x:c r="G1604" s="4" t="n">
        <x:v>17</x:v>
      </x:c>
      <x:c r="H1604" s="4" t="n">
        <x:v>90.47</x:v>
      </x:c>
      <x:c r="I1604" s="5" t="n">
        <x:f t="shared" si="25">F1604*1000*H1604</x:f>
        <x:v>223319.7668</x:v>
      </x:c>
      <x:c r="J1604" t="n">
        <x:v>2.444</x:v>
      </x:c>
    </x:row>
    <x:row r="1605">
      <x:c r="A1605" s="3" t="n">
        <x:v>2023</x:v>
      </x:c>
      <x:c r="B1605" s="2" t="str">
        <x:v>Agosto</x:v>
      </x:c>
      <x:c r="C1605" s="2" t="str">
        <x:v>RE-018896-1</x:v>
      </x:c>
      <x:c r="D1605" s="2" t="str">
        <x:v>P.E. CODESAS</x:v>
      </x:c>
      <x:c r="E1605" s="4" t="n">
        <x:v>3.041</x:v>
      </x:c>
      <x:c r="F1605" s="4" t="n">
        <x:f>J1605*0.97</x:f>
        <x:v>2.86732</x:v>
      </x:c>
      <x:c r="G1605" s="4" t="n">
        <x:v>17</x:v>
      </x:c>
      <x:c r="H1605" s="4" t="n">
        <x:v>96.05</x:v>
      </x:c>
      <x:c r="I1605" s="5" t="n">
        <x:f t="shared" si="25">F1605*1000*H1605</x:f>
        <x:v>275406.08599999995</x:v>
      </x:c>
      <x:c r="J1605" t="n">
        <x:v>2.956</x:v>
      </x:c>
    </x:row>
    <x:row r="1606">
      <x:c r="A1606" s="3" t="n">
        <x:v>2023</x:v>
      </x:c>
      <x:c r="B1606" s="2" t="str">
        <x:v>Septiembre</x:v>
      </x:c>
      <x:c r="C1606" s="2" t="str">
        <x:v>RE-018896-1</x:v>
      </x:c>
      <x:c r="D1606" s="2" t="str">
        <x:v>P.E. CODESAS</x:v>
      </x:c>
      <x:c r="E1606" s="4" t="n">
        <x:v>3.365</x:v>
      </x:c>
      <x:c r="F1606" s="4" t="n">
        <x:f>J1606*1.04</x:f>
        <x:v>3.43616</x:v>
      </x:c>
      <x:c r="G1606" s="4" t="n">
        <x:v>17</x:v>
      </x:c>
      <x:c r="H1606" s="4" t="n">
        <x:v>103.34</x:v>
      </x:c>
      <x:c r="I1606" s="5" t="n">
        <x:f t="shared" si="25">F1606*1000*H1606</x:f>
        <x:v>355092.77440000005</x:v>
      </x:c>
      <x:c r="J1606" t="n">
        <x:v>3.304</x:v>
      </x:c>
    </x:row>
    <x:row r="1607">
      <x:c r="A1607" s="3" t="n">
        <x:v>2023</x:v>
      </x:c>
      <x:c r="B1607" s="2" t="str">
        <x:v>Octubre</x:v>
      </x:c>
      <x:c r="C1607" s="2" t="str">
        <x:v>RE-018896-1</x:v>
      </x:c>
      <x:c r="D1607" s="2" t="str">
        <x:v>P.E. CODESAS</x:v>
      </x:c>
      <x:c r="E1607" s="4" t="n">
        <x:v>3.949</x:v>
      </x:c>
      <x:c r="F1607" s="4" t="n">
        <x:f>J1607*1</x:f>
        <x:v>3.853</x:v>
      </x:c>
      <x:c r="G1607" s="4" t="n">
        <x:v>17</x:v>
      </x:c>
      <x:c r="H1607" s="4" t="n">
        <x:v>90.14</x:v>
      </x:c>
      <x:c r="I1607" s="5" t="n">
        <x:f t="shared" si="25">F1607*1000*H1607</x:f>
        <x:v>347309.42</x:v>
      </x:c>
      <x:c r="J1607" t="n">
        <x:v>3.853</x:v>
      </x:c>
    </x:row>
    <x:row r="1608">
      <x:c r="A1608" s="3" t="n">
        <x:v>2023</x:v>
      </x:c>
      <x:c r="B1608" s="2" t="str">
        <x:v>Noviembre</x:v>
      </x:c>
      <x:c r="C1608" s="2" t="str">
        <x:v>RE-018896-1</x:v>
      </x:c>
      <x:c r="D1608" s="2" t="str">
        <x:v>P.E. CODESAS</x:v>
      </x:c>
      <x:c r="E1608" s="4" t="n">
        <x:v>4.07</x:v>
      </x:c>
      <x:c r="F1608" s="4" t="n">
        <x:f>J1608*0.96</x:f>
        <x:v>3.8179199999999995</x:v>
      </x:c>
      <x:c r="G1608" s="4" t="n">
        <x:v>17</x:v>
      </x:c>
      <x:c r="H1608" s="4" t="n">
        <x:v>63.45</x:v>
      </x:c>
      <x:c r="I1608" s="5" t="n">
        <x:f t="shared" si="25">F1608*1000*H1608</x:f>
        <x:v>242247.02399999998</x:v>
      </x:c>
      <x:c r="J1608" t="n">
        <x:v>3.977</x:v>
      </x:c>
    </x:row>
    <x:row r="1609">
      <x:c r="A1609" s="3" t="n">
        <x:v>2023</x:v>
      </x:c>
      <x:c r="B1609" s="2" t="str">
        <x:v>Diciembre</x:v>
      </x:c>
      <x:c r="C1609" s="2" t="str">
        <x:v>RE-018896-1</x:v>
      </x:c>
      <x:c r="D1609" s="2" t="str">
        <x:v>P.E. CODESAS</x:v>
      </x:c>
      <x:c r="E1609" s="4" t="n">
        <x:v>5.103</x:v>
      </x:c>
      <x:c r="F1609" s="4" t="n">
        <x:f>J1609*1.03</x:f>
        <x:v>5.12219</x:v>
      </x:c>
      <x:c r="G1609" s="4" t="n">
        <x:v>17</x:v>
      </x:c>
      <x:c r="H1609" s="4" t="n">
        <x:v>72.17</x:v>
      </x:c>
      <x:c r="I1609" s="5" t="n">
        <x:f t="shared" si="25">F1609*1000*H1609</x:f>
        <x:v>369668.4523</x:v>
      </x:c>
      <x:c r="J1609" t="n">
        <x:v>4.973</x:v>
      </x:c>
    </x:row>
    <x:row r="1610">
      <x:c r="A1610" s="3" t="n">
        <x:v>2023</x:v>
      </x:c>
      <x:c r="B1610" s="2" t="str">
        <x:v>Enero</x:v>
      </x:c>
      <x:c r="C1610" s="2" t="str">
        <x:v>RE-018897-1</x:v>
      </x:c>
      <x:c r="D1610" s="2" t="str">
        <x:v>Parque Eólico Couto de San Sebastian</x:v>
      </x:c>
      <x:c r="E1610" s="4" t="n">
        <x:v>4.385</x:v>
      </x:c>
      <x:c r="F1610" s="4" t="n">
        <x:f>J1610*0.99</x:f>
        <x:v>4.26492</x:v>
      </x:c>
      <x:c r="G1610" s="4" t="n">
        <x:v>18</x:v>
      </x:c>
      <x:c r="H1610" s="4" t="n">
        <x:v>69.55</x:v>
      </x:c>
      <x:c r="I1610" s="5" t="n">
        <x:f t="shared" si="25">F1610*1000*H1610</x:f>
        <x:v>296625.186</x:v>
      </x:c>
      <x:c r="J1610" t="n">
        <x:v>4.308</x:v>
      </x:c>
    </x:row>
    <x:row r="1611">
      <x:c r="A1611" s="3" t="n">
        <x:v>2023</x:v>
      </x:c>
      <x:c r="B1611" s="2" t="str">
        <x:v>Febrero</x:v>
      </x:c>
      <x:c r="C1611" s="2" t="str">
        <x:v>RE-018897-1</x:v>
      </x:c>
      <x:c r="D1611" s="2" t="str">
        <x:v>Parque Eólico Couto de San Sebastian</x:v>
      </x:c>
      <x:c r="E1611" s="4" t="n">
        <x:v>3.865</x:v>
      </x:c>
      <x:c r="F1611" s="4" t="n">
        <x:f>J1611*0.95</x:f>
        <x:v>3.5871999999999997</x:v>
      </x:c>
      <x:c r="G1611" s="4" t="n">
        <x:v>18</x:v>
      </x:c>
      <x:c r="H1611" s="4" t="n">
        <x:v>133.47</x:v>
      </x:c>
      <x:c r="I1611" s="5" t="n">
        <x:f t="shared" si="25">F1611*1000*H1611</x:f>
        <x:v>478783.584</x:v>
      </x:c>
      <x:c r="J1611" t="n">
        <x:v>3.776</x:v>
      </x:c>
    </x:row>
    <x:row r="1612">
      <x:c r="A1612" s="3" t="n">
        <x:v>2023</x:v>
      </x:c>
      <x:c r="B1612" s="2" t="str">
        <x:v>Marzo</x:v>
      </x:c>
      <x:c r="C1612" s="2" t="str">
        <x:v>RE-018897-1</x:v>
      </x:c>
      <x:c r="D1612" s="2" t="str">
        <x:v>Parque Eólico Couto de San Sebastian</x:v>
      </x:c>
      <x:c r="E1612" s="4" t="n">
        <x:v>4.499</x:v>
      </x:c>
      <x:c r="F1612" s="4" t="n">
        <x:f>J1612*1.02</x:f>
        <x:v>4.463520000000001</x:v>
      </x:c>
      <x:c r="G1612" s="4" t="n">
        <x:v>18</x:v>
      </x:c>
      <x:c r="H1612" s="4" t="n">
        <x:v>89.61</x:v>
      </x:c>
      <x:c r="I1612" s="5" t="n">
        <x:f t="shared" si="25">F1612*1000*H1612</x:f>
        <x:v>399976.0272</x:v>
      </x:c>
      <x:c r="J1612" t="n">
        <x:v>4.376</x:v>
      </x:c>
    </x:row>
    <x:row r="1613">
      <x:c r="A1613" s="3" t="n">
        <x:v>2023</x:v>
      </x:c>
      <x:c r="B1613" s="2" t="str">
        <x:v>Abril</x:v>
      </x:c>
      <x:c r="C1613" s="2" t="str">
        <x:v>RE-018897-1</x:v>
      </x:c>
      <x:c r="D1613" s="2" t="str">
        <x:v>Parque Eólico Couto de San Sebastian</x:v>
      </x:c>
      <x:c r="E1613" s="4" t="n">
        <x:v>3.362</x:v>
      </x:c>
      <x:c r="F1613" s="4" t="n">
        <x:f>J1613*0.98</x:f>
        <x:v>3.19284</x:v>
      </x:c>
      <x:c r="G1613" s="4" t="n">
        <x:v>18</x:v>
      </x:c>
      <x:c r="H1613" s="4" t="n">
        <x:v>73.73</x:v>
      </x:c>
      <x:c r="I1613" s="5" t="n">
        <x:f t="shared" si="25">F1613*1000*H1613</x:f>
        <x:v>235408.0932</x:v>
      </x:c>
      <x:c r="J1613" t="n">
        <x:v>3.258</x:v>
      </x:c>
    </x:row>
    <x:row r="1614">
      <x:c r="A1614" s="3" t="n">
        <x:v>2023</x:v>
      </x:c>
      <x:c r="B1614" s="2" t="str">
        <x:v>Mayo</x:v>
      </x:c>
      <x:c r="C1614" s="2" t="str">
        <x:v>RE-018897-1</x:v>
      </x:c>
      <x:c r="D1614" s="2" t="str">
        <x:v>Parque Eólico Couto de San Sebastian</x:v>
      </x:c>
      <x:c r="E1614" s="4" t="n">
        <x:v>3.71</x:v>
      </x:c>
      <x:c r="F1614" s="4" t="n">
        <x:f>J1614*0.94</x:f>
        <x:v>3.4009199999999997</x:v>
      </x:c>
      <x:c r="G1614" s="4" t="n">
        <x:v>18</x:v>
      </x:c>
      <x:c r="H1614" s="4" t="n">
        <x:v>74.21</x:v>
      </x:c>
      <x:c r="I1614" s="5" t="n">
        <x:f t="shared" si="25">F1614*1000*H1614</x:f>
        <x:v>252382.27319999994</x:v>
      </x:c>
      <x:c r="J1614" t="n">
        <x:v>3.618</x:v>
      </x:c>
    </x:row>
    <x:row r="1615">
      <x:c r="A1615" s="3" t="n">
        <x:v>2023</x:v>
      </x:c>
      <x:c r="B1615" s="2" t="str">
        <x:v>Junio</x:v>
      </x:c>
      <x:c r="C1615" s="2" t="str">
        <x:v>RE-018897-1</x:v>
      </x:c>
      <x:c r="D1615" s="2" t="str">
        <x:v>Parque Eólico Couto de San Sebastian</x:v>
      </x:c>
      <x:c r="E1615" s="4" t="n">
        <x:v>3.142</x:v>
      </x:c>
      <x:c r="F1615" s="4" t="n">
        <x:f>J1615*1.01</x:f>
        <x:v>3.07949</x:v>
      </x:c>
      <x:c r="G1615" s="4" t="n">
        <x:v>18</x:v>
      </x:c>
      <x:c r="H1615" s="4" t="n">
        <x:v>93.02</x:v>
      </x:c>
      <x:c r="I1615" s="5" t="n">
        <x:f t="shared" si="25">F1615*1000*H1615</x:f>
        <x:v>286454.15979999996</x:v>
      </x:c>
      <x:c r="J1615" t="n">
        <x:v>3.049</x:v>
      </x:c>
    </x:row>
    <x:row r="1616">
      <x:c r="A1616" s="3" t="n">
        <x:v>2023</x:v>
      </x:c>
      <x:c r="B1616" s="2" t="str">
        <x:v>Julio</x:v>
      </x:c>
      <x:c r="C1616" s="2" t="str">
        <x:v>RE-018897-1</x:v>
      </x:c>
      <x:c r="D1616" s="2" t="str">
        <x:v>Parque Eólico Couto de San Sebastian</x:v>
      </x:c>
      <x:c r="E1616" s="4" t="n">
        <x:v>2.587</x:v>
      </x:c>
      <x:c r="F1616" s="4" t="n">
        <x:f>J1616*0.97</x:f>
        <x:v>2.43276</x:v>
      </x:c>
      <x:c r="G1616" s="4" t="n">
        <x:v>18</x:v>
      </x:c>
      <x:c r="H1616" s="4" t="n">
        <x:v>90.47</x:v>
      </x:c>
      <x:c r="I1616" s="5" t="n">
        <x:f t="shared" si="25">F1616*1000*H1616</x:f>
        <x:v>220091.79720000003</x:v>
      </x:c>
      <x:c r="J1616" t="n">
        <x:v>2.508</x:v>
      </x:c>
    </x:row>
    <x:row r="1617">
      <x:c r="A1617" s="3" t="n">
        <x:v>2023</x:v>
      </x:c>
      <x:c r="B1617" s="2" t="str">
        <x:v>Agosto</x:v>
      </x:c>
      <x:c r="C1617" s="2" t="str">
        <x:v>RE-018897-1</x:v>
      </x:c>
      <x:c r="D1617" s="2" t="str">
        <x:v>Parque Eólico Couto de San Sebastian</x:v>
      </x:c>
      <x:c r="E1617" s="4" t="n">
        <x:v>2.921</x:v>
      </x:c>
      <x:c r="F1617" s="4" t="n">
        <x:f>J1617*1.04</x:f>
        <x:v>2.97752</x:v>
      </x:c>
      <x:c r="G1617" s="4" t="n">
        <x:v>18</x:v>
      </x:c>
      <x:c r="H1617" s="4" t="n">
        <x:v>96.05</x:v>
      </x:c>
      <x:c r="I1617" s="5" t="n">
        <x:f t="shared" si="25">F1617*1000*H1617</x:f>
        <x:v>285990.796</x:v>
      </x:c>
      <x:c r="J1617" t="n">
        <x:v>2.863</x:v>
      </x:c>
    </x:row>
    <x:row r="1618">
      <x:c r="A1618" s="3" t="n">
        <x:v>2023</x:v>
      </x:c>
      <x:c r="B1618" s="2" t="str">
        <x:v>Septiembre</x:v>
      </x:c>
      <x:c r="C1618" s="2" t="str">
        <x:v>RE-018897-1</x:v>
      </x:c>
      <x:c r="D1618" s="2" t="str">
        <x:v>Parque Eólico Couto de San Sebastian</x:v>
      </x:c>
      <x:c r="E1618" s="4" t="n">
        <x:v>3.588</x:v>
      </x:c>
      <x:c r="F1618" s="4" t="n">
        <x:f>J1618*1</x:f>
        <x:v>3.477</x:v>
      </x:c>
      <x:c r="G1618" s="4" t="n">
        <x:v>18</x:v>
      </x:c>
      <x:c r="H1618" s="4" t="n">
        <x:v>103.34</x:v>
      </x:c>
      <x:c r="I1618" s="5" t="n">
        <x:f t="shared" si="25">F1618*1000*H1618</x:f>
        <x:v>359313.18</x:v>
      </x:c>
      <x:c r="J1618" t="n">
        <x:v>3.477</x:v>
      </x:c>
    </x:row>
    <x:row r="1619">
      <x:c r="A1619" s="3" t="n">
        <x:v>2023</x:v>
      </x:c>
      <x:c r="B1619" s="2" t="str">
        <x:v>Octubre</x:v>
      </x:c>
      <x:c r="C1619" s="2" t="str">
        <x:v>RE-018897-1</x:v>
      </x:c>
      <x:c r="D1619" s="2" t="str">
        <x:v>Parque Eólico Couto de San Sebastian</x:v>
      </x:c>
      <x:c r="E1619" s="4" t="n">
        <x:v>4.605</x:v>
      </x:c>
      <x:c r="F1619" s="4" t="n">
        <x:f>J1619*0.96</x:f>
        <x:v>4.30848</x:v>
      </x:c>
      <x:c r="G1619" s="4" t="n">
        <x:v>18</x:v>
      </x:c>
      <x:c r="H1619" s="4" t="n">
        <x:v>90.14</x:v>
      </x:c>
      <x:c r="I1619" s="5" t="n">
        <x:f t="shared" si="25">F1619*1000*H1619</x:f>
        <x:v>388366.38720000006</x:v>
      </x:c>
      <x:c r="J1619" t="n">
        <x:v>4.488</x:v>
      </x:c>
    </x:row>
    <x:row r="1620">
      <x:c r="A1620" s="3" t="n">
        <x:v>2023</x:v>
      </x:c>
      <x:c r="B1620" s="2" t="str">
        <x:v>Noviembre</x:v>
      </x:c>
      <x:c r="C1620" s="2" t="str">
        <x:v>RE-018897-1</x:v>
      </x:c>
      <x:c r="D1620" s="2" t="str">
        <x:v>Parque Eólico Couto de San Sebastian</x:v>
      </x:c>
      <x:c r="E1620" s="4" t="n">
        <x:v>5.066</x:v>
      </x:c>
      <x:c r="F1620" s="4" t="n">
        <x:f>J1620*1.03</x:f>
        <x:v>5.12425</x:v>
      </x:c>
      <x:c r="G1620" s="4" t="n">
        <x:v>18</x:v>
      </x:c>
      <x:c r="H1620" s="4" t="n">
        <x:v>63.45</x:v>
      </x:c>
      <x:c r="I1620" s="5" t="n">
        <x:f t="shared" si="25">F1620*1000*H1620</x:f>
        <x:v>325133.66250000003</x:v>
      </x:c>
      <x:c r="J1620" t="n">
        <x:v>4.975</x:v>
      </x:c>
    </x:row>
    <x:row r="1621">
      <x:c r="A1621" s="3" t="n">
        <x:v>2023</x:v>
      </x:c>
      <x:c r="B1621" s="2" t="str">
        <x:v>Diciembre</x:v>
      </x:c>
      <x:c r="C1621" s="2" t="str">
        <x:v>RE-018897-1</x:v>
      </x:c>
      <x:c r="D1621" s="2" t="str">
        <x:v>Parque Eólico Couto de San Sebastian</x:v>
      </x:c>
      <x:c r="E1621" s="4" t="n">
        <x:v>5.512</x:v>
      </x:c>
      <x:c r="F1621" s="4" t="n">
        <x:f>J1621*0.99</x:f>
        <x:v>5.36778</x:v>
      </x:c>
      <x:c r="G1621" s="4" t="n">
        <x:v>18</x:v>
      </x:c>
      <x:c r="H1621" s="4" t="n">
        <x:v>72.17</x:v>
      </x:c>
      <x:c r="I1621" s="5" t="n">
        <x:f t="shared" si="25">F1621*1000*H1621</x:f>
        <x:v>387392.6826</x:v>
      </x:c>
      <x:c r="J1621" t="n">
        <x:v>5.422</x:v>
      </x:c>
    </x:row>
    <x:row r="1622">
      <x:c r="A1622" s="3" t="n">
        <x:v>2023</x:v>
      </x:c>
      <x:c r="B1622" s="2" t="str">
        <x:v>Enero</x:v>
      </x:c>
      <x:c r="C1622" s="2" t="str">
        <x:v>RE-019887-1</x:v>
      </x:c>
      <x:c r="D1622" s="2" t="str">
        <x:v>P.E. MONTE RANDE</x:v>
      </x:c>
      <x:c r="E1622" s="4" t="n">
        <x:v>3.055</x:v>
      </x:c>
      <x:c r="F1622" s="4" t="n">
        <x:f>J1622*0.95</x:f>
        <x:v>2.81865</x:v>
      </x:c>
      <x:c r="G1622" s="4" t="n">
        <x:v>9.35</x:v>
      </x:c>
      <x:c r="H1622" s="4" t="n">
        <x:v>69.55</x:v>
      </x:c>
      <x:c r="I1622" s="5" t="n">
        <x:f t="shared" si="25">F1622*1000*H1622</x:f>
        <x:v>196037.1075</x:v>
      </x:c>
      <x:c r="J1622" t="n">
        <x:v>2.967</x:v>
      </x:c>
    </x:row>
    <x:row r="1623">
      <x:c r="A1623" s="3" t="n">
        <x:v>2023</x:v>
      </x:c>
      <x:c r="B1623" s="2" t="str">
        <x:v>Febrero</x:v>
      </x:c>
      <x:c r="C1623" s="2" t="str">
        <x:v>RE-019887-1</x:v>
      </x:c>
      <x:c r="D1623" s="2" t="str">
        <x:v>P.E. MONTE RANDE</x:v>
      </x:c>
      <x:c r="E1623" s="4" t="n">
        <x:v>2.527</x:v>
      </x:c>
      <x:c r="F1623" s="4" t="n">
        <x:f>J1623*1.02</x:f>
        <x:v>2.5275600000000003</x:v>
      </x:c>
      <x:c r="G1623" s="4" t="n">
        <x:v>9.35</x:v>
      </x:c>
      <x:c r="H1623" s="4" t="n">
        <x:v>133.47</x:v>
      </x:c>
      <x:c r="I1623" s="5" t="n">
        <x:f t="shared" si="25">F1623*1000*H1623</x:f>
        <x:v>337353.4332</x:v>
      </x:c>
      <x:c r="J1623" t="n">
        <x:v>2.478</x:v>
      </x:c>
    </x:row>
    <x:row r="1624">
      <x:c r="A1624" s="3" t="n">
        <x:v>2023</x:v>
      </x:c>
      <x:c r="B1624" s="2" t="str">
        <x:v>Marzo</x:v>
      </x:c>
      <x:c r="C1624" s="2" t="str">
        <x:v>RE-019887-1</x:v>
      </x:c>
      <x:c r="D1624" s="2" t="str">
        <x:v>P.E. MONTE RANDE</x:v>
      </x:c>
      <x:c r="E1624" s="4" t="n">
        <x:v>2.756</x:v>
      </x:c>
      <x:c r="F1624" s="4" t="n">
        <x:f>J1624*0.98</x:f>
        <x:v>2.6499200000000003</x:v>
      </x:c>
      <x:c r="G1624" s="4" t="n">
        <x:v>9.35</x:v>
      </x:c>
      <x:c r="H1624" s="4" t="n">
        <x:v>89.61</x:v>
      </x:c>
      <x:c r="I1624" s="5" t="n">
        <x:f t="shared" si="25">F1624*1000*H1624</x:f>
        <x:v>237459.33120000002</x:v>
      </x:c>
      <x:c r="J1624" t="n">
        <x:v>2.704</x:v>
      </x:c>
    </x:row>
    <x:row r="1625">
      <x:c r="A1625" s="3" t="n">
        <x:v>2023</x:v>
      </x:c>
      <x:c r="B1625" s="2" t="str">
        <x:v>Abril</x:v>
      </x:c>
      <x:c r="C1625" s="2" t="str">
        <x:v>RE-019887-1</x:v>
      </x:c>
      <x:c r="D1625" s="2" t="str">
        <x:v>P.E. MONTE RANDE</x:v>
      </x:c>
      <x:c r="E1625" s="4" t="n">
        <x:v>2.26</x:v>
      </x:c>
      <x:c r="F1625" s="4" t="n">
        <x:f>J1625*0.94</x:f>
        <x:v>2.09056</x:v>
      </x:c>
      <x:c r="G1625" s="4" t="n">
        <x:v>9.35</x:v>
      </x:c>
      <x:c r="H1625" s="4" t="n">
        <x:v>73.73</x:v>
      </x:c>
      <x:c r="I1625" s="5" t="n">
        <x:f t="shared" si="25">F1625*1000*H1625</x:f>
        <x:v>154136.9888</x:v>
      </x:c>
      <x:c r="J1625" t="n">
        <x:v>2.224</x:v>
      </x:c>
    </x:row>
    <x:row r="1626">
      <x:c r="A1626" s="3" t="n">
        <x:v>2023</x:v>
      </x:c>
      <x:c r="B1626" s="2" t="str">
        <x:v>Mayo</x:v>
      </x:c>
      <x:c r="C1626" s="2" t="str">
        <x:v>RE-019887-1</x:v>
      </x:c>
      <x:c r="D1626" s="2" t="str">
        <x:v>P.E. MONTE RANDE</x:v>
      </x:c>
      <x:c r="E1626" s="4" t="n">
        <x:v>1.587</x:v>
      </x:c>
      <x:c r="F1626" s="4" t="n">
        <x:f>J1626*1.01</x:f>
        <x:v>1.55843</x:v>
      </x:c>
      <x:c r="G1626" s="4" t="n">
        <x:v>9.35</x:v>
      </x:c>
      <x:c r="H1626" s="4" t="n">
        <x:v>74.21</x:v>
      </x:c>
      <x:c r="I1626" s="5" t="n">
        <x:f t="shared" si="25">F1626*1000*H1626</x:f>
        <x:v>115651.0903</x:v>
      </x:c>
      <x:c r="J1626" t="n">
        <x:v>1.543</x:v>
      </x:c>
    </x:row>
    <x:row r="1627">
      <x:c r="A1627" s="3" t="n">
        <x:v>2023</x:v>
      </x:c>
      <x:c r="B1627" s="2" t="str">
        <x:v>Junio</x:v>
      </x:c>
      <x:c r="C1627" s="2" t="str">
        <x:v>RE-019887-1</x:v>
      </x:c>
      <x:c r="D1627" s="2" t="str">
        <x:v>P.E. MONTE RANDE</x:v>
      </x:c>
      <x:c r="E1627" s="4" t="n">
        <x:v>1.386</x:v>
      </x:c>
      <x:c r="F1627" s="4" t="n">
        <x:f>J1627*0.97</x:f>
        <x:v>1.32308</x:v>
      </x:c>
      <x:c r="G1627" s="4" t="n">
        <x:v>9.35</x:v>
      </x:c>
      <x:c r="H1627" s="4" t="n">
        <x:v>93.02</x:v>
      </x:c>
      <x:c r="I1627" s="5" t="n">
        <x:f t="shared" si="25">F1627*1000*H1627</x:f>
        <x:v>123072.90159999998</x:v>
      </x:c>
      <x:c r="J1627" t="n">
        <x:v>1.364</x:v>
      </x:c>
    </x:row>
    <x:row r="1628">
      <x:c r="A1628" s="3" t="n">
        <x:v>2023</x:v>
      </x:c>
      <x:c r="B1628" s="2" t="str">
        <x:v>Julio</x:v>
      </x:c>
      <x:c r="C1628" s="2" t="str">
        <x:v>RE-019887-1</x:v>
      </x:c>
      <x:c r="D1628" s="2" t="str">
        <x:v>P.E. MONTE RANDE</x:v>
      </x:c>
      <x:c r="E1628" s="4" t="n">
        <x:v>1.442</x:v>
      </x:c>
      <x:c r="F1628" s="4" t="n">
        <x:f>J1628*1.04</x:f>
        <x:v>1.46536</x:v>
      </x:c>
      <x:c r="G1628" s="4" t="n">
        <x:v>9.35</x:v>
      </x:c>
      <x:c r="H1628" s="4" t="n">
        <x:v>90.47</x:v>
      </x:c>
      <x:c r="I1628" s="5" t="n">
        <x:f t="shared" si="25">F1628*1000*H1628</x:f>
        <x:v>132571.1192</x:v>
      </x:c>
      <x:c r="J1628" t="n">
        <x:v>1.409</x:v>
      </x:c>
    </x:row>
    <x:row r="1629">
      <x:c r="A1629" s="3" t="n">
        <x:v>2023</x:v>
      </x:c>
      <x:c r="B1629" s="2" t="str">
        <x:v>Agosto</x:v>
      </x:c>
      <x:c r="C1629" s="2" t="str">
        <x:v>RE-019887-1</x:v>
      </x:c>
      <x:c r="D1629" s="2" t="str">
        <x:v>P.E. MONTE RANDE</x:v>
      </x:c>
      <x:c r="E1629" s="4" t="n">
        <x:v>1.366</x:v>
      </x:c>
      <x:c r="F1629" s="4" t="n">
        <x:f>J1629*1</x:f>
        <x:v>1.337</x:v>
      </x:c>
      <x:c r="G1629" s="4" t="n">
        <x:v>9.35</x:v>
      </x:c>
      <x:c r="H1629" s="4" t="n">
        <x:v>96.05</x:v>
      </x:c>
      <x:c r="I1629" s="5" t="n">
        <x:f t="shared" si="25">F1629*1000*H1629</x:f>
        <x:v>128418.84999999999</x:v>
      </x:c>
      <x:c r="J1629" t="n">
        <x:v>1.337</x:v>
      </x:c>
    </x:row>
    <x:row r="1630">
      <x:c r="A1630" s="3" t="n">
        <x:v>2023</x:v>
      </x:c>
      <x:c r="B1630" s="2" t="str">
        <x:v>Septiembre</x:v>
      </x:c>
      <x:c r="C1630" s="2" t="str">
        <x:v>RE-019887-1</x:v>
      </x:c>
      <x:c r="D1630" s="2" t="str">
        <x:v>P.E. MONTE RANDE</x:v>
      </x:c>
      <x:c r="E1630" s="4" t="n">
        <x:v>1.805</x:v>
      </x:c>
      <x:c r="F1630" s="4" t="n">
        <x:f>J1630*0.96</x:f>
        <x:v>1.68384</x:v>
      </x:c>
      <x:c r="G1630" s="4" t="n">
        <x:v>9.35</x:v>
      </x:c>
      <x:c r="H1630" s="4" t="n">
        <x:v>103.34</x:v>
      </x:c>
      <x:c r="I1630" s="5" t="n">
        <x:f t="shared" si="25">F1630*1000*H1630</x:f>
        <x:v>174008.0256</x:v>
      </x:c>
      <x:c r="J1630" t="n">
        <x:v>1.754</x:v>
      </x:c>
    </x:row>
    <x:row r="1631">
      <x:c r="A1631" s="3" t="n">
        <x:v>2023</x:v>
      </x:c>
      <x:c r="B1631" s="2" t="str">
        <x:v>Octubre</x:v>
      </x:c>
      <x:c r="C1631" s="2" t="str">
        <x:v>RE-019887-1</x:v>
      </x:c>
      <x:c r="D1631" s="2" t="str">
        <x:v>P.E. MONTE RANDE</x:v>
      </x:c>
      <x:c r="E1631" s="4" t="n">
        <x:v>2.288</x:v>
      </x:c>
      <x:c r="F1631" s="4" t="n">
        <x:f>J1631*1.03</x:f>
        <x:v>2.30823</x:v>
      </x:c>
      <x:c r="G1631" s="4" t="n">
        <x:v>9.35</x:v>
      </x:c>
      <x:c r="H1631" s="4" t="n">
        <x:v>90.14</x:v>
      </x:c>
      <x:c r="I1631" s="5" t="n">
        <x:f t="shared" si="25">F1631*1000*H1631</x:f>
        <x:v>208063.8522</x:v>
      </x:c>
      <x:c r="J1631" t="n">
        <x:v>2.241</x:v>
      </x:c>
    </x:row>
    <x:row r="1632">
      <x:c r="A1632" s="3" t="n">
        <x:v>2023</x:v>
      </x:c>
      <x:c r="B1632" s="2" t="str">
        <x:v>Noviembre</x:v>
      </x:c>
      <x:c r="C1632" s="2" t="str">
        <x:v>RE-019887-1</x:v>
      </x:c>
      <x:c r="D1632" s="2" t="str">
        <x:v>P.E. MONTE RANDE</x:v>
      </x:c>
      <x:c r="E1632" s="4" t="n">
        <x:v>2.228</x:v>
      </x:c>
      <x:c r="F1632" s="4" t="n">
        <x:f>J1632*0.99</x:f>
        <x:v>2.1681</x:v>
      </x:c>
      <x:c r="G1632" s="4" t="n">
        <x:v>9.35</x:v>
      </x:c>
      <x:c r="H1632" s="4" t="n">
        <x:v>63.45</x:v>
      </x:c>
      <x:c r="I1632" s="5" t="n">
        <x:f t="shared" si="25">F1632*1000*H1632</x:f>
        <x:v>137565.945</x:v>
      </x:c>
      <x:c r="J1632" t="n">
        <x:v>2.19</x:v>
      </x:c>
    </x:row>
    <x:row r="1633">
      <x:c r="A1633" s="3" t="n">
        <x:v>2023</x:v>
      </x:c>
      <x:c r="B1633" s="2" t="str">
        <x:v>Diciembre</x:v>
      </x:c>
      <x:c r="C1633" s="2" t="str">
        <x:v>RE-019887-1</x:v>
      </x:c>
      <x:c r="D1633" s="2" t="str">
        <x:v>P.E. MONTE RANDE</x:v>
      </x:c>
      <x:c r="E1633" s="4" t="n">
        <x:v>3.103</x:v>
      </x:c>
      <x:c r="F1633" s="4" t="n">
        <x:f>J1633*0.95</x:f>
        <x:v>2.89275</x:v>
      </x:c>
      <x:c r="G1633" s="4" t="n">
        <x:v>9.35</x:v>
      </x:c>
      <x:c r="H1633" s="4" t="n">
        <x:v>72.17</x:v>
      </x:c>
      <x:c r="I1633" s="5" t="n">
        <x:f t="shared" si="25">F1633*1000*H1633</x:f>
        <x:v>208769.76750000002</x:v>
      </x:c>
      <x:c r="J1633" t="n">
        <x:v>3.045</x:v>
      </x:c>
    </x:row>
    <x:row r="1634">
      <x:c r="A1634" s="3" t="n">
        <x:v>2023</x:v>
      </x:c>
      <x:c r="B1634" s="2" t="str">
        <x:v>Enero</x:v>
      </x:c>
      <x:c r="C1634" s="2" t="str">
        <x:v>RE-023438-1</x:v>
      </x:c>
      <x:c r="D1634" s="2" t="str">
        <x:v>P. E. AMPLIACION SERRA DA LOBA (PENA REVOLTA)</x:v>
      </x:c>
      <x:c r="E1634" s="4" t="n">
        <x:v>1.1222857142857143</x:v>
      </x:c>
      <x:c r="F1634" s="4" t="n">
        <x:f>J1634*1.02</x:f>
        <x:v>1.1080114285714286</x:v>
      </x:c>
      <x:c r="G1634" s="4" t="n">
        <x:v>4</x:v>
      </x:c>
      <x:c r="H1634" s="4" t="n">
        <x:v>69.55</x:v>
      </x:c>
      <x:c r="I1634" s="5" t="n">
        <x:f t="shared" si="25">F1634*1000*H1634</x:f>
        <x:v>77062.19485714287</x:v>
      </x:c>
      <x:c r="J1634" t="n">
        <x:v>1.0862857142857143</x:v>
      </x:c>
    </x:row>
    <x:row r="1635">
      <x:c r="A1635" s="3" t="n">
        <x:v>2023</x:v>
      </x:c>
      <x:c r="B1635" s="2" t="str">
        <x:v>Enero</x:v>
      </x:c>
      <x:c r="C1635" s="2" t="str">
        <x:v>RE-023438-2</x:v>
      </x:c>
      <x:c r="D1635" s="2" t="str">
        <x:v>P. E. AMPLIACION SERRA DA LOBA (PENA REVOLTA)</x:v>
      </x:c>
      <x:c r="E1635" s="4" t="n">
        <x:v>2.8057142857142856</x:v>
      </x:c>
      <x:c r="F1635" s="4" t="n">
        <x:f>J1635*1.02</x:f>
        <x:v>2.7700285714285715</x:v>
      </x:c>
      <x:c r="G1635" s="4" t="n">
        <x:v>10</x:v>
      </x:c>
      <x:c r="H1635" s="4" t="n">
        <x:v>69.55</x:v>
      </x:c>
      <x:c r="I1635" s="5" t="n">
        <x:f t="shared" si="25">F1635*1000*H1635</x:f>
        <x:v>192655.48714285714</x:v>
      </x:c>
      <x:c r="J1635" t="n">
        <x:v>2.7157142857142857</x:v>
      </x:c>
    </x:row>
    <x:row r="1636">
      <x:c r="A1636" s="3" t="n">
        <x:v>2023</x:v>
      </x:c>
      <x:c r="B1636" s="2" t="str">
        <x:v>Febrero</x:v>
      </x:c>
      <x:c r="C1636" s="2" t="str">
        <x:v>RE-023438-1</x:v>
      </x:c>
      <x:c r="D1636" s="2" t="str">
        <x:v>P. E. AMPLIACION SERRA DA LOBA (PENA REVOLTA)</x:v>
      </x:c>
      <x:c r="E1636" s="4" t="n">
        <x:v>0.9371428571428572</x:v>
      </x:c>
      <x:c r="F1636" s="4" t="n">
        <x:f>J1636*0.98</x:f>
        <x:v>0.8934799999999999</x:v>
      </x:c>
      <x:c r="G1636" s="4" t="n">
        <x:v>4</x:v>
      </x:c>
      <x:c r="H1636" s="4" t="n">
        <x:v>133.47</x:v>
      </x:c>
      <x:c r="I1636" s="5" t="n">
        <x:f t="shared" si="25">F1636*1000*H1636</x:f>
        <x:v>119252.77559999998</x:v>
      </x:c>
      <x:c r="J1636" t="n">
        <x:v>0.9117142857142857</x:v>
      </x:c>
    </x:row>
    <x:row r="1637">
      <x:c r="A1637" s="3" t="n">
        <x:v>2023</x:v>
      </x:c>
      <x:c r="B1637" s="2" t="str">
        <x:v>Febrero</x:v>
      </x:c>
      <x:c r="C1637" s="2" t="str">
        <x:v>RE-023438-2</x:v>
      </x:c>
      <x:c r="D1637" s="2" t="str">
        <x:v>P. E. AMPLIACION SERRA DA LOBA (PENA REVOLTA)</x:v>
      </x:c>
      <x:c r="E1637" s="4" t="n">
        <x:v>2.3428571428571425</x:v>
      </x:c>
      <x:c r="F1637" s="4" t="n">
        <x:f>J1637*0.98</x:f>
        <x:v>2.2337</x:v>
      </x:c>
      <x:c r="G1637" s="4" t="n">
        <x:v>10</x:v>
      </x:c>
      <x:c r="H1637" s="4" t="n">
        <x:v>133.47</x:v>
      </x:c>
      <x:c r="I1637" s="5" t="n">
        <x:f t="shared" si="25">F1637*1000*H1637</x:f>
        <x:v>298131.93899999995</x:v>
      </x:c>
      <x:c r="J1637" t="n">
        <x:v>2.279285714285714</x:v>
      </x:c>
    </x:row>
    <x:row r="1638">
      <x:c r="A1638" s="3" t="n">
        <x:v>2023</x:v>
      </x:c>
      <x:c r="B1638" s="2" t="str">
        <x:v>Marzo</x:v>
      </x:c>
      <x:c r="C1638" s="2" t="str">
        <x:v>RE-023438-1</x:v>
      </x:c>
      <x:c r="D1638" s="2" t="str">
        <x:v>P. E. AMPLIACION SERRA DA LOBA (PENA REVOLTA)</x:v>
      </x:c>
      <x:c r="E1638" s="4" t="n">
        <x:v>1.016</x:v>
      </x:c>
      <x:c r="F1638" s="4" t="n">
        <x:f>J1638*0.94</x:f>
        <x:v>0.9397314285714284</x:v>
      </x:c>
      <x:c r="G1638" s="4" t="n">
        <x:v>4</x:v>
      </x:c>
      <x:c r="H1638" s="4" t="n">
        <x:v>89.61</x:v>
      </x:c>
      <x:c r="I1638" s="5" t="n">
        <x:f t="shared" si="25">F1638*1000*H1638</x:f>
        <x:v>84209.3333142857</x:v>
      </x:c>
      <x:c r="J1638" t="n">
        <x:v>0.9997142857142857</x:v>
      </x:c>
    </x:row>
    <x:row r="1639">
      <x:c r="A1639" s="3" t="n">
        <x:v>2023</x:v>
      </x:c>
      <x:c r="B1639" s="2" t="str">
        <x:v>Marzo</x:v>
      </x:c>
      <x:c r="C1639" s="2" t="str">
        <x:v>RE-023438-2</x:v>
      </x:c>
      <x:c r="D1639" s="2" t="str">
        <x:v>P. E. AMPLIACION SERRA DA LOBA (PENA REVOLTA)</x:v>
      </x:c>
      <x:c r="E1639" s="4" t="n">
        <x:v>2.54</x:v>
      </x:c>
      <x:c r="F1639" s="4" t="n">
        <x:f>J1639*0.94</x:f>
        <x:v>2.3493285714285714</x:v>
      </x:c>
      <x:c r="G1639" s="4" t="n">
        <x:v>10</x:v>
      </x:c>
      <x:c r="H1639" s="4" t="n">
        <x:v>89.61</x:v>
      </x:c>
      <x:c r="I1639" s="5" t="n">
        <x:f t="shared" si="25">F1639*1000*H1639</x:f>
        <x:v>210523.3332857143</x:v>
      </x:c>
      <x:c r="J1639" t="n">
        <x:v>2.4992857142857146</x:v>
      </x:c>
    </x:row>
    <x:row r="1640">
      <x:c r="A1640" s="3" t="n">
        <x:v>2023</x:v>
      </x:c>
      <x:c r="B1640" s="2" t="str">
        <x:v>Abril</x:v>
      </x:c>
      <x:c r="C1640" s="2" t="str">
        <x:v>RE-023438-1</x:v>
      </x:c>
      <x:c r="D1640" s="2" t="str">
        <x:v>P. E. AMPLIACION SERRA DA LOBA (PENA REVOLTA)</x:v>
      </x:c>
      <x:c r="E1640" s="4" t="n">
        <x:v>0.8671428571428571</x:v>
      </x:c>
      <x:c r="F1640" s="4" t="n">
        <x:f>J1640*1.01</x:f>
        <x:v>0.8602314285714286</x:v>
      </x:c>
      <x:c r="G1640" s="4" t="n">
        <x:v>4</x:v>
      </x:c>
      <x:c r="H1640" s="4" t="n">
        <x:v>73.73</x:v>
      </x:c>
      <x:c r="I1640" s="5" t="n">
        <x:f t="shared" si="25">F1640*1000*H1640</x:f>
        <x:v>63424.863228571434</x:v>
      </x:c>
      <x:c r="J1640" t="n">
        <x:v>0.8517142857142858</x:v>
      </x:c>
    </x:row>
    <x:row r="1641">
      <x:c r="A1641" s="3" t="n">
        <x:v>2023</x:v>
      </x:c>
      <x:c r="B1641" s="2" t="str">
        <x:v>Abril</x:v>
      </x:c>
      <x:c r="C1641" s="2" t="str">
        <x:v>RE-023438-2</x:v>
      </x:c>
      <x:c r="D1641" s="2" t="str">
        <x:v>P. E. AMPLIACION SERRA DA LOBA (PENA REVOLTA)</x:v>
      </x:c>
      <x:c r="E1641" s="4" t="n">
        <x:v>2.167857142857143</x:v>
      </x:c>
      <x:c r="F1641" s="4" t="n">
        <x:f>J1641*1.01</x:f>
        <x:v>2.150578571428571</x:v>
      </x:c>
      <x:c r="G1641" s="4" t="n">
        <x:v>10</x:v>
      </x:c>
      <x:c r="H1641" s="4" t="n">
        <x:v>73.73</x:v>
      </x:c>
      <x:c r="I1641" s="5" t="n">
        <x:f t="shared" si="25">F1641*1000*H1641</x:f>
        <x:v>158562.15807142857</x:v>
      </x:c>
      <x:c r="J1641" t="n">
        <x:v>2.129285714285714</x:v>
      </x:c>
    </x:row>
    <x:row r="1642">
      <x:c r="A1642" s="3" t="n">
        <x:v>2023</x:v>
      </x:c>
      <x:c r="B1642" s="2" t="str">
        <x:v>Mayo</x:v>
      </x:c>
      <x:c r="C1642" s="2" t="str">
        <x:v>RE-023438-1</x:v>
      </x:c>
      <x:c r="D1642" s="2" t="str">
        <x:v>P. E. AMPLIACION SERRA DA LOBA (PENA REVOLTA)</x:v>
      </x:c>
      <x:c r="E1642" s="4" t="n">
        <x:v>0.8014285714285714</x:v>
      </x:c>
      <x:c r="F1642" s="4" t="n">
        <x:f>J1642*0.97</x:f>
        <x:v>0.7599257142857143</x:v>
      </x:c>
      <x:c r="G1642" s="4" t="n">
        <x:v>4</x:v>
      </x:c>
      <x:c r="H1642" s="4" t="n">
        <x:v>74.21</x:v>
      </x:c>
      <x:c r="I1642" s="5" t="n">
        <x:f t="shared" si="25">F1642*1000*H1642</x:f>
        <x:v>56394.087257142855</x:v>
      </x:c>
      <x:c r="J1642" t="n">
        <x:v>0.7834285714285715</x:v>
      </x:c>
    </x:row>
    <x:row r="1643">
      <x:c r="A1643" s="3" t="n">
        <x:v>2023</x:v>
      </x:c>
      <x:c r="B1643" s="2" t="str">
        <x:v>Mayo</x:v>
      </x:c>
      <x:c r="C1643" s="2" t="str">
        <x:v>RE-023438-2</x:v>
      </x:c>
      <x:c r="D1643" s="2" t="str">
        <x:v>P. E. AMPLIACION SERRA DA LOBA (PENA REVOLTA)</x:v>
      </x:c>
      <x:c r="E1643" s="4" t="n">
        <x:v>2.003571428571429</x:v>
      </x:c>
      <x:c r="F1643" s="4" t="n">
        <x:f>J1643*0.97</x:f>
        <x:v>1.8998142857142857</x:v>
      </x:c>
      <x:c r="G1643" s="4" t="n">
        <x:v>10</x:v>
      </x:c>
      <x:c r="H1643" s="4" t="n">
        <x:v>74.21</x:v>
      </x:c>
      <x:c r="I1643" s="5" t="n">
        <x:f t="shared" si="25">F1643*1000*H1643</x:f>
        <x:v>140985.21814285713</x:v>
      </x:c>
      <x:c r="J1643" t="n">
        <x:v>1.9585714285714286</x:v>
      </x:c>
    </x:row>
    <x:row r="1644">
      <x:c r="A1644" s="3" t="n">
        <x:v>2023</x:v>
      </x:c>
      <x:c r="B1644" s="2" t="str">
        <x:v>Junio</x:v>
      </x:c>
      <x:c r="C1644" s="2" t="str">
        <x:v>RE-023438-1</x:v>
      </x:c>
      <x:c r="D1644" s="2" t="str">
        <x:v>P. E. AMPLIACION SERRA DA LOBA (PENA REVOLTA)</x:v>
      </x:c>
      <x:c r="E1644" s="4" t="n">
        <x:v>0.576857142857143</x:v>
      </x:c>
      <x:c r="F1644" s="4" t="n">
        <x:f>J1644*1.04</x:f>
        <x:v>0.5862628571428572</x:v>
      </x:c>
      <x:c r="G1644" s="4" t="n">
        <x:v>4</x:v>
      </x:c>
      <x:c r="H1644" s="4" t="n">
        <x:v>93.02</x:v>
      </x:c>
      <x:c r="I1644" s="5" t="n">
        <x:f t="shared" si="25">F1644*1000*H1644</x:f>
        <x:v>54534.170971428575</x:v>
      </x:c>
      <x:c r="J1644" t="n">
        <x:v>0.5637142857142857</x:v>
      </x:c>
    </x:row>
    <x:row r="1645">
      <x:c r="A1645" s="3" t="n">
        <x:v>2023</x:v>
      </x:c>
      <x:c r="B1645" s="2" t="str">
        <x:v>Junio</x:v>
      </x:c>
      <x:c r="C1645" s="2" t="str">
        <x:v>RE-023438-2</x:v>
      </x:c>
      <x:c r="D1645" s="2" t="str">
        <x:v>P. E. AMPLIACION SERRA DA LOBA (PENA REVOLTA)</x:v>
      </x:c>
      <x:c r="E1645" s="4" t="n">
        <x:v>1.4421428571428572</x:v>
      </x:c>
      <x:c r="F1645" s="4" t="n">
        <x:f>J1645*1.04</x:f>
        <x:v>1.4656571428571428</x:v>
      </x:c>
      <x:c r="G1645" s="4" t="n">
        <x:v>10</x:v>
      </x:c>
      <x:c r="H1645" s="4" t="n">
        <x:v>93.02</x:v>
      </x:c>
      <x:c r="I1645" s="5" t="n">
        <x:f t="shared" si="25">F1645*1000*H1645</x:f>
        <x:v>136335.42742857142</x:v>
      </x:c>
      <x:c r="J1645" t="n">
        <x:v>1.4092857142857143</x:v>
      </x:c>
    </x:row>
    <x:row r="1646">
      <x:c r="A1646" s="3" t="n">
        <x:v>2023</x:v>
      </x:c>
      <x:c r="B1646" s="2" t="str">
        <x:v>Julio</x:v>
      </x:c>
      <x:c r="C1646" s="2" t="str">
        <x:v>RE-023438-1</x:v>
      </x:c>
      <x:c r="D1646" s="2" t="str">
        <x:v>P. E. AMPLIACION SERRA DA LOBA (PENA REVOLTA)</x:v>
      </x:c>
      <x:c r="E1646" s="4" t="n">
        <x:v>0.5922857142857143</x:v>
      </x:c>
      <x:c r="F1646" s="4" t="n">
        <x:f>J1646*1</x:f>
        <x:v>0.576</x:v>
      </x:c>
      <x:c r="G1646" s="4" t="n">
        <x:v>4</x:v>
      </x:c>
      <x:c r="H1646" s="4" t="n">
        <x:v>90.47</x:v>
      </x:c>
      <x:c r="I1646" s="5" t="n">
        <x:f t="shared" si="25">F1646*1000*H1646</x:f>
        <x:v>52110.72</x:v>
      </x:c>
      <x:c r="J1646" t="n">
        <x:v>0.576</x:v>
      </x:c>
    </x:row>
    <x:row r="1647">
      <x:c r="A1647" s="3" t="n">
        <x:v>2023</x:v>
      </x:c>
      <x:c r="B1647" s="2" t="str">
        <x:v>Julio</x:v>
      </x:c>
      <x:c r="C1647" s="2" t="str">
        <x:v>RE-023438-2</x:v>
      </x:c>
      <x:c r="D1647" s="2" t="str">
        <x:v>P. E. AMPLIACION SERRA DA LOBA (PENA REVOLTA)</x:v>
      </x:c>
      <x:c r="E1647" s="4" t="n">
        <x:v>1.4807142857142856</x:v>
      </x:c>
      <x:c r="F1647" s="4" t="n">
        <x:f>J1647*1</x:f>
        <x:v>1.44</x:v>
      </x:c>
      <x:c r="G1647" s="4" t="n">
        <x:v>10</x:v>
      </x:c>
      <x:c r="H1647" s="4" t="n">
        <x:v>90.47</x:v>
      </x:c>
      <x:c r="I1647" s="5" t="n">
        <x:f t="shared" si="25">F1647*1000*H1647</x:f>
        <x:v>130276.8</x:v>
      </x:c>
      <x:c r="J1647" t="n">
        <x:v>1.44</x:v>
      </x:c>
    </x:row>
    <x:row r="1648">
      <x:c r="A1648" s="3" t="n">
        <x:v>2023</x:v>
      </x:c>
      <x:c r="B1648" s="2" t="str">
        <x:v>Agosto</x:v>
      </x:c>
      <x:c r="C1648" s="2" t="str">
        <x:v>RE-023438-1</x:v>
      </x:c>
      <x:c r="D1648" s="2" t="str">
        <x:v>P. E. AMPLIACION SERRA DA LOBA (PENA REVOLTA)</x:v>
      </x:c>
      <x:c r="E1648" s="4" t="n">
        <x:v>0.5448571428571428</x:v>
      </x:c>
      <x:c r="F1648" s="4" t="n">
        <x:f>J1648*0.96</x:f>
        <x:v>0.5123657142857142</x:v>
      </x:c>
      <x:c r="G1648" s="4" t="n">
        <x:v>4</x:v>
      </x:c>
      <x:c r="H1648" s="4" t="n">
        <x:v>96.05</x:v>
      </x:c>
      <x:c r="I1648" s="5" t="n">
        <x:f t="shared" si="25">F1648*1000*H1648</x:f>
        <x:v>49212.72685714284</x:v>
      </x:c>
      <x:c r="J1648" t="n">
        <x:v>0.5337142857142857</x:v>
      </x:c>
    </x:row>
    <x:row r="1649">
      <x:c r="A1649" s="3" t="n">
        <x:v>2023</x:v>
      </x:c>
      <x:c r="B1649" s="2" t="str">
        <x:v>Agosto</x:v>
      </x:c>
      <x:c r="C1649" s="2" t="str">
        <x:v>RE-023438-2</x:v>
      </x:c>
      <x:c r="D1649" s="2" t="str">
        <x:v>P. E. AMPLIACION SERRA DA LOBA (PENA REVOLTA)</x:v>
      </x:c>
      <x:c r="E1649" s="4" t="n">
        <x:v>1.362142857142857</x:v>
      </x:c>
      <x:c r="F1649" s="4" t="n">
        <x:f>J1649*0.96</x:f>
        <x:v>1.280914285714286</x:v>
      </x:c>
      <x:c r="G1649" s="4" t="n">
        <x:v>10</x:v>
      </x:c>
      <x:c r="H1649" s="4" t="n">
        <x:v>96.05</x:v>
      </x:c>
      <x:c r="I1649" s="5" t="n">
        <x:f t="shared" si="25">F1649*1000*H1649</x:f>
        <x:v>123031.81714285715</x:v>
      </x:c>
      <x:c r="J1649" t="n">
        <x:v>1.3342857142857145</x:v>
      </x:c>
    </x:row>
    <x:row r="1650">
      <x:c r="A1650" s="3" t="n">
        <x:v>2023</x:v>
      </x:c>
      <x:c r="B1650" s="2" t="str">
        <x:v>Septiembre</x:v>
      </x:c>
      <x:c r="C1650" s="2" t="str">
        <x:v>RE-023438-1</x:v>
      </x:c>
      <x:c r="D1650" s="2" t="str">
        <x:v>P. E. AMPLIACION SERRA DA LOBA (PENA REVOLTA)</x:v>
      </x:c>
      <x:c r="E1650" s="4" t="n">
        <x:v>0.7148571428571429</x:v>
      </x:c>
      <x:c r="F1650" s="4" t="n">
        <x:f>J1650*1.03</x:f>
        <x:v>0.7192342857142857</x:v>
      </x:c>
      <x:c r="G1650" s="4" t="n">
        <x:v>4</x:v>
      </x:c>
      <x:c r="H1650" s="4" t="n">
        <x:v>103.34</x:v>
      </x:c>
      <x:c r="I1650" s="5" t="n">
        <x:f t="shared" si="25">F1650*1000*H1650</x:f>
        <x:v>74325.67108571429</x:v>
      </x:c>
      <x:c r="J1650" t="n">
        <x:v>0.6982857142857143</x:v>
      </x:c>
    </x:row>
    <x:row r="1651">
      <x:c r="A1651" s="3" t="n">
        <x:v>2023</x:v>
      </x:c>
      <x:c r="B1651" s="2" t="str">
        <x:v>Septiembre</x:v>
      </x:c>
      <x:c r="C1651" s="2" t="str">
        <x:v>RE-023438-2</x:v>
      </x:c>
      <x:c r="D1651" s="2" t="str">
        <x:v>P. E. AMPLIACION SERRA DA LOBA (PENA REVOLTA)</x:v>
      </x:c>
      <x:c r="E1651" s="4" t="n">
        <x:v>1.787142857142857</x:v>
      </x:c>
      <x:c r="F1651" s="4" t="n">
        <x:f>J1651*1.03</x:f>
        <x:v>1.798085714285714</x:v>
      </x:c>
      <x:c r="G1651" s="4" t="n">
        <x:v>10</x:v>
      </x:c>
      <x:c r="H1651" s="4" t="n">
        <x:v>103.34</x:v>
      </x:c>
      <x:c r="I1651" s="5" t="n">
        <x:f t="shared" si="25">F1651*1000*H1651</x:f>
        <x:v>185814.1777142857</x:v>
      </x:c>
      <x:c r="J1651" t="n">
        <x:v>1.7457142857142856</x:v>
      </x:c>
    </x:row>
    <x:row r="1652">
      <x:c r="A1652" s="3" t="n">
        <x:v>2023</x:v>
      </x:c>
      <x:c r="B1652" s="2" t="str">
        <x:v>Octubre</x:v>
      </x:c>
      <x:c r="C1652" s="2" t="str">
        <x:v>RE-023438-1</x:v>
      </x:c>
      <x:c r="D1652" s="2" t="str">
        <x:v>P. E. AMPLIACION SERRA DA LOBA (PENA REVOLTA)</x:v>
      </x:c>
      <x:c r="E1652" s="4" t="n">
        <x:v>0.8422857142857143</x:v>
      </x:c>
      <x:c r="F1652" s="4" t="n">
        <x:f>J1652*0.99</x:f>
        <x:v>0.8106685714285714</x:v>
      </x:c>
      <x:c r="G1652" s="4" t="n">
        <x:v>4</x:v>
      </x:c>
      <x:c r="H1652" s="4" t="n">
        <x:v>90.14</x:v>
      </x:c>
      <x:c r="I1652" s="5" t="n">
        <x:f t="shared" si="25">F1652*1000*H1652</x:f>
        <x:v>73073.66502857143</x:v>
      </x:c>
      <x:c r="J1652" t="n">
        <x:v>0.8188571428571428</x:v>
      </x:c>
    </x:row>
    <x:row r="1653">
      <x:c r="A1653" s="3" t="n">
        <x:v>2023</x:v>
      </x:c>
      <x:c r="B1653" s="2" t="str">
        <x:v>Octubre</x:v>
      </x:c>
      <x:c r="C1653" s="2" t="str">
        <x:v>RE-023438-2</x:v>
      </x:c>
      <x:c r="D1653" s="2" t="str">
        <x:v>P. E. AMPLIACION SERRA DA LOBA (PENA REVOLTA)</x:v>
      </x:c>
      <x:c r="E1653" s="4" t="n">
        <x:v>2.105714285714286</x:v>
      </x:c>
      <x:c r="F1653" s="4" t="n">
        <x:f>J1653*0.99</x:f>
        <x:v>2.0266714285714285</x:v>
      </x:c>
      <x:c r="G1653" s="4" t="n">
        <x:v>10</x:v>
      </x:c>
      <x:c r="H1653" s="4" t="n">
        <x:v>90.14</x:v>
      </x:c>
      <x:c r="I1653" s="5" t="n">
        <x:f t="shared" si="25">F1653*1000*H1653</x:f>
        <x:v>182684.16257142855</x:v>
      </x:c>
      <x:c r="J1653" t="n">
        <x:v>2.047142857142857</x:v>
      </x:c>
    </x:row>
    <x:row r="1654">
      <x:c r="A1654" s="3" t="n">
        <x:v>2023</x:v>
      </x:c>
      <x:c r="B1654" s="2" t="str">
        <x:v>Noviembre</x:v>
      </x:c>
      <x:c r="C1654" s="2" t="str">
        <x:v>RE-023438-1</x:v>
      </x:c>
      <x:c r="D1654" s="2" t="str">
        <x:v>P. E. AMPLIACION SERRA DA LOBA (PENA REVOLTA)</x:v>
      </x:c>
      <x:c r="E1654" s="4" t="n">
        <x:v>0.9154285714285715</x:v>
      </x:c>
      <x:c r="F1654" s="4" t="n">
        <x:f>J1654*0.95</x:f>
        <x:v>0.8422428571428571</x:v>
      </x:c>
      <x:c r="G1654" s="4" t="n">
        <x:v>4</x:v>
      </x:c>
      <x:c r="H1654" s="4" t="n">
        <x:v>63.45</x:v>
      </x:c>
      <x:c r="I1654" s="5" t="n">
        <x:f t="shared" si="25">F1654*1000*H1654</x:f>
        <x:v>53440.309285714284</x:v>
      </x:c>
      <x:c r="J1654" t="n">
        <x:v>0.8865714285714286</x:v>
      </x:c>
    </x:row>
    <x:row r="1655">
      <x:c r="A1655" s="3" t="n">
        <x:v>2023</x:v>
      </x:c>
      <x:c r="B1655" s="2" t="str">
        <x:v>Noviembre</x:v>
      </x:c>
      <x:c r="C1655" s="2" t="str">
        <x:v>RE-023438-2</x:v>
      </x:c>
      <x:c r="D1655" s="2" t="str">
        <x:v>P. E. AMPLIACION SERRA DA LOBA (PENA REVOLTA)</x:v>
      </x:c>
      <x:c r="E1655" s="4" t="n">
        <x:v>2.2885714285714287</x:v>
      </x:c>
      <x:c r="F1655" s="4" t="n">
        <x:f>J1655*0.95</x:f>
        <x:v>2.105607142857143</x:v>
      </x:c>
      <x:c r="G1655" s="4" t="n">
        <x:v>10</x:v>
      </x:c>
      <x:c r="H1655" s="4" t="n">
        <x:v>63.45</x:v>
      </x:c>
      <x:c r="I1655" s="5" t="n">
        <x:f t="shared" si="25">F1655*1000*H1655</x:f>
        <x:v>133600.77321428573</x:v>
      </x:c>
      <x:c r="J1655" t="n">
        <x:v>2.2164285714285716</x:v>
      </x:c>
    </x:row>
    <x:row r="1656">
      <x:c r="A1656" s="3" t="n">
        <x:v>2023</x:v>
      </x:c>
      <x:c r="B1656" s="2" t="str">
        <x:v>Diciembre</x:v>
      </x:c>
      <x:c r="C1656" s="2" t="str">
        <x:v>RE-023438-1</x:v>
      </x:c>
      <x:c r="D1656" s="2" t="str">
        <x:v>P. E. AMPLIACION SERRA DA LOBA (PENA REVOLTA)</x:v>
      </x:c>
      <x:c r="E1656" s="4" t="n">
        <x:v>1.1545714285714288</x:v>
      </x:c>
      <x:c r="F1656" s="4" t="n">
        <x:f>J1656*1.02</x:f>
        <x:v>1.14036</x:v>
      </x:c>
      <x:c r="G1656" s="4" t="n">
        <x:v>4</x:v>
      </x:c>
      <x:c r="H1656" s="4" t="n">
        <x:v>72.17</x:v>
      </x:c>
      <x:c r="I1656" s="5" t="n">
        <x:f t="shared" si="25">F1656*1000*H1656</x:f>
        <x:v>82299.78120000001</x:v>
      </x:c>
      <x:c r="J1656" t="n">
        <x:v>1.118</x:v>
      </x:c>
    </x:row>
    <x:row r="1657">
      <x:c r="A1657" s="3" t="n">
        <x:v>2023</x:v>
      </x:c>
      <x:c r="B1657" s="2" t="str">
        <x:v>Diciembre</x:v>
      </x:c>
      <x:c r="C1657" s="2" t="str">
        <x:v>RE-023438-2</x:v>
      </x:c>
      <x:c r="D1657" s="2" t="str">
        <x:v>P. E. AMPLIACION SERRA DA LOBA (PENA REVOLTA)</x:v>
      </x:c>
      <x:c r="E1657" s="4" t="n">
        <x:v>2.8864285714285716</x:v>
      </x:c>
      <x:c r="F1657" s="4" t="n">
        <x:f>J1657*1.02</x:f>
        <x:v>2.8508999999999998</x:v>
      </x:c>
      <x:c r="G1657" s="4" t="n">
        <x:v>10</x:v>
      </x:c>
      <x:c r="H1657" s="4" t="n">
        <x:v>72.17</x:v>
      </x:c>
      <x:c r="I1657" s="5" t="n">
        <x:f t="shared" si="25">F1657*1000*H1657</x:f>
        <x:v>205749.45299999998</x:v>
      </x:c>
      <x:c r="J1657" t="n">
        <x:v>2.795</x:v>
      </x:c>
    </x:row>
    <x:row r="1658">
      <x:c r="A1658" s="3" t="n">
        <x:v>2023</x:v>
      </x:c>
      <x:c r="B1658" s="2" t="str">
        <x:v>Enero</x:v>
      </x:c>
      <x:c r="C1658" s="2" t="str">
        <x:v>RE-023918-1</x:v>
      </x:c>
      <x:c r="D1658" s="2" t="str">
        <x:v>P.E. SERRA DO PARAMO</x:v>
      </x:c>
      <x:c r="E1658" s="4" t="n">
        <x:v>6.053</x:v>
      </x:c>
      <x:c r="F1658" s="4" t="n">
        <x:f>J1658*0.98</x:f>
        <x:v>5.808459999999999</x:v>
      </x:c>
      <x:c r="G1658" s="4" t="n">
        <x:v>20</x:v>
      </x:c>
      <x:c r="H1658" s="4" t="n">
        <x:v>69.55</x:v>
      </x:c>
      <x:c r="I1658" s="5" t="n">
        <x:f t="shared" si="25">F1658*1000*H1658</x:f>
        <x:v>403978.3929999999</x:v>
      </x:c>
      <x:c r="J1658" t="n">
        <x:v>5.927</x:v>
      </x:c>
    </x:row>
    <x:row r="1659">
      <x:c r="A1659" s="3" t="n">
        <x:v>2023</x:v>
      </x:c>
      <x:c r="B1659" s="2" t="str">
        <x:v>Febrero</x:v>
      </x:c>
      <x:c r="C1659" s="2" t="str">
        <x:v>RE-023918-1</x:v>
      </x:c>
      <x:c r="D1659" s="2" t="str">
        <x:v>P.E. SERRA DO PARAMO</x:v>
      </x:c>
      <x:c r="E1659" s="4" t="n">
        <x:v>4.551</x:v>
      </x:c>
      <x:c r="F1659" s="4" t="n">
        <x:f>J1659*0.94</x:f>
        <x:v>4.1736</x:v>
      </x:c>
      <x:c r="G1659" s="4" t="n">
        <x:v>20</x:v>
      </x:c>
      <x:c r="H1659" s="4" t="n">
        <x:v>133.47</x:v>
      </x:c>
      <x:c r="I1659" s="5" t="n">
        <x:f t="shared" si="25">F1659*1000*H1659</x:f>
        <x:v>557050.392</x:v>
      </x:c>
      <x:c r="J1659" t="n">
        <x:v>4.44</x:v>
      </x:c>
    </x:row>
    <x:row r="1660">
      <x:c r="A1660" s="3" t="n">
        <x:v>2023</x:v>
      </x:c>
      <x:c r="B1660" s="2" t="str">
        <x:v>Marzo</x:v>
      </x:c>
      <x:c r="C1660" s="2" t="str">
        <x:v>RE-023918-1</x:v>
      </x:c>
      <x:c r="D1660" s="2" t="str">
        <x:v>P.E. SERRA DO PARAMO</x:v>
      </x:c>
      <x:c r="E1660" s="4" t="n">
        <x:v>5.314</x:v>
      </x:c>
      <x:c r="F1660" s="4" t="n">
        <x:f>J1660*1.01</x:f>
        <x:v>5.20049</x:v>
      </x:c>
      <x:c r="G1660" s="4" t="n">
        <x:v>20</x:v>
      </x:c>
      <x:c r="H1660" s="4" t="n">
        <x:v>89.61</x:v>
      </x:c>
      <x:c r="I1660" s="5" t="n">
        <x:f t="shared" si="25">F1660*1000*H1660</x:f>
        <x:v>466015.90890000004</x:v>
      </x:c>
      <x:c r="J1660" t="n">
        <x:v>5.149</x:v>
      </x:c>
    </x:row>
    <x:row r="1661">
      <x:c r="A1661" s="3" t="n">
        <x:v>2023</x:v>
      </x:c>
      <x:c r="B1661" s="2" t="str">
        <x:v>Abril</x:v>
      </x:c>
      <x:c r="C1661" s="2" t="str">
        <x:v>RE-023918-1</x:v>
      </x:c>
      <x:c r="D1661" s="2" t="str">
        <x:v>P.E. SERRA DO PARAMO</x:v>
      </x:c>
      <x:c r="E1661" s="4" t="n">
        <x:v>4.627</x:v>
      </x:c>
      <x:c r="F1661" s="4" t="n">
        <x:f>J1661*0.97</x:f>
        <x:v>4.407679999999999</x:v>
      </x:c>
      <x:c r="G1661" s="4" t="n">
        <x:v>20</x:v>
      </x:c>
      <x:c r="H1661" s="4" t="n">
        <x:v>73.73</x:v>
      </x:c>
      <x:c r="I1661" s="5" t="n">
        <x:f t="shared" si="25">F1661*1000*H1661</x:f>
        <x:v>324978.24639999995</x:v>
      </x:c>
      <x:c r="J1661" t="n">
        <x:v>4.544</x:v>
      </x:c>
    </x:row>
    <x:row r="1662">
      <x:c r="A1662" s="3" t="n">
        <x:v>2023</x:v>
      </x:c>
      <x:c r="B1662" s="2" t="str">
        <x:v>Mayo</x:v>
      </x:c>
      <x:c r="C1662" s="2" t="str">
        <x:v>RE-023918-1</x:v>
      </x:c>
      <x:c r="D1662" s="2" t="str">
        <x:v>P.E. SERRA DO PARAMO</x:v>
      </x:c>
      <x:c r="E1662" s="4" t="n">
        <x:v>3.643</x:v>
      </x:c>
      <x:c r="F1662" s="4" t="n">
        <x:f>J1662*1.04</x:f>
        <x:v>3.71592</x:v>
      </x:c>
      <x:c r="G1662" s="4" t="n">
        <x:v>20</x:v>
      </x:c>
      <x:c r="H1662" s="4" t="n">
        <x:v>74.21</x:v>
      </x:c>
      <x:c r="I1662" s="5" t="n">
        <x:f t="shared" si="25">F1662*1000*H1662</x:f>
        <x:v>275758.42319999996</x:v>
      </x:c>
      <x:c r="J1662" t="n">
        <x:v>3.573</x:v>
      </x:c>
    </x:row>
    <x:row r="1663">
      <x:c r="A1663" s="3" t="n">
        <x:v>2023</x:v>
      </x:c>
      <x:c r="B1663" s="2" t="str">
        <x:v>Junio</x:v>
      </x:c>
      <x:c r="C1663" s="2" t="str">
        <x:v>RE-023918-1</x:v>
      </x:c>
      <x:c r="D1663" s="2" t="str">
        <x:v>P.E. SERRA DO PARAMO</x:v>
      </x:c>
      <x:c r="E1663" s="4" t="n">
        <x:v>3.125</x:v>
      </x:c>
      <x:c r="F1663" s="4" t="n">
        <x:f>J1663*1</x:f>
        <x:v>3.026</x:v>
      </x:c>
      <x:c r="G1663" s="4" t="n">
        <x:v>20</x:v>
      </x:c>
      <x:c r="H1663" s="4" t="n">
        <x:v>93.02</x:v>
      </x:c>
      <x:c r="I1663" s="5" t="n">
        <x:f t="shared" si="25">F1663*1000*H1663</x:f>
        <x:v>281478.51999999996</x:v>
      </x:c>
      <x:c r="J1663" t="n">
        <x:v>3.026</x:v>
      </x:c>
    </x:row>
    <x:row r="1664">
      <x:c r="A1664" s="3" t="n">
        <x:v>2023</x:v>
      </x:c>
      <x:c r="B1664" s="2" t="str">
        <x:v>Julio</x:v>
      </x:c>
      <x:c r="C1664" s="2" t="str">
        <x:v>RE-023918-1</x:v>
      </x:c>
      <x:c r="D1664" s="2" t="str">
        <x:v>P.E. SERRA DO PARAMO</x:v>
      </x:c>
      <x:c r="E1664" s="4" t="n">
        <x:v>3.372</x:v>
      </x:c>
      <x:c r="F1664" s="4" t="n">
        <x:f>J1664*0.96</x:f>
        <x:v>3.1872</x:v>
      </x:c>
      <x:c r="G1664" s="4" t="n">
        <x:v>20</x:v>
      </x:c>
      <x:c r="H1664" s="4" t="n">
        <x:v>90.47</x:v>
      </x:c>
      <x:c r="I1664" s="5" t="n">
        <x:f t="shared" si="25">F1664*1000*H1664</x:f>
        <x:v>288345.984</x:v>
      </x:c>
      <x:c r="J1664" t="n">
        <x:v>3.32</x:v>
      </x:c>
    </x:row>
    <x:row r="1665">
      <x:c r="A1665" s="3" t="n">
        <x:v>2023</x:v>
      </x:c>
      <x:c r="B1665" s="2" t="str">
        <x:v>Agosto</x:v>
      </x:c>
      <x:c r="C1665" s="2" t="str">
        <x:v>RE-023918-1</x:v>
      </x:c>
      <x:c r="D1665" s="2" t="str">
        <x:v>P.E. SERRA DO PARAMO</x:v>
      </x:c>
      <x:c r="E1665" s="4" t="n">
        <x:v>3.338</x:v>
      </x:c>
      <x:c r="F1665" s="4" t="n">
        <x:f>J1665*1.03</x:f>
        <x:v>3.37325</x:v>
      </x:c>
      <x:c r="G1665" s="4" t="n">
        <x:v>20</x:v>
      </x:c>
      <x:c r="H1665" s="4" t="n">
        <x:v>96.05</x:v>
      </x:c>
      <x:c r="I1665" s="5" t="n">
        <x:f t="shared" si="25">F1665*1000*H1665</x:f>
        <x:v>324000.6625</x:v>
      </x:c>
      <x:c r="J1665" t="n">
        <x:v>3.275</x:v>
      </x:c>
    </x:row>
    <x:row r="1666">
      <x:c r="A1666" s="3" t="n">
        <x:v>2023</x:v>
      </x:c>
      <x:c r="B1666" s="2" t="str">
        <x:v>Septiembre</x:v>
      </x:c>
      <x:c r="C1666" s="2" t="str">
        <x:v>RE-023918-1</x:v>
      </x:c>
      <x:c r="D1666" s="2" t="str">
        <x:v>P.E. SERRA DO PARAMO</x:v>
      </x:c>
      <x:c r="E1666" s="4" t="n">
        <x:v>3.927</x:v>
      </x:c>
      <x:c r="F1666" s="4" t="n">
        <x:f>J1666*0.99</x:f>
        <x:v>3.77289</x:v>
      </x:c>
      <x:c r="G1666" s="4" t="n">
        <x:v>20</x:v>
      </x:c>
      <x:c r="H1666" s="4" t="n">
        <x:v>103.34</x:v>
      </x:c>
      <x:c r="I1666" s="5" t="n">
        <x:f t="shared" ref="I1666:I1729" si="26">F1666*1000*H1666</x:f>
        <x:v>389890.4526</x:v>
      </x:c>
      <x:c r="J1666" t="n">
        <x:v>3.811</x:v>
      </x:c>
    </x:row>
    <x:row r="1667">
      <x:c r="A1667" s="3" t="n">
        <x:v>2023</x:v>
      </x:c>
      <x:c r="B1667" s="2" t="str">
        <x:v>Octubre</x:v>
      </x:c>
      <x:c r="C1667" s="2" t="str">
        <x:v>RE-023918-1</x:v>
      </x:c>
      <x:c r="D1667" s="2" t="str">
        <x:v>P.E. SERRA DO PARAMO</x:v>
      </x:c>
      <x:c r="E1667" s="4" t="n">
        <x:v>4.973</x:v>
      </x:c>
      <x:c r="F1667" s="4" t="n">
        <x:f>J1667*0.95</x:f>
        <x:v>4.59135</x:v>
      </x:c>
      <x:c r="G1667" s="4" t="n">
        <x:v>20</x:v>
      </x:c>
      <x:c r="H1667" s="4" t="n">
        <x:v>90.14</x:v>
      </x:c>
      <x:c r="I1667" s="5" t="n">
        <x:f t="shared" si="26">F1667*1000*H1667</x:f>
        <x:v>413864.28900000005</x:v>
      </x:c>
      <x:c r="J1667" t="n">
        <x:v>4.833</x:v>
      </x:c>
    </x:row>
    <x:row r="1668">
      <x:c r="A1668" s="3" t="n">
        <x:v>2023</x:v>
      </x:c>
      <x:c r="B1668" s="2" t="str">
        <x:v>Noviembre</x:v>
      </x:c>
      <x:c r="C1668" s="2" t="str">
        <x:v>RE-023918-1</x:v>
      </x:c>
      <x:c r="D1668" s="2" t="str">
        <x:v>P.E. SERRA DO PARAMO</x:v>
      </x:c>
      <x:c r="E1668" s="4" t="n">
        <x:v>5.701</x:v>
      </x:c>
      <x:c r="F1668" s="4" t="n">
        <x:f>J1668*1.02</x:f>
        <x:v>5.722200000000001</x:v>
      </x:c>
      <x:c r="G1668" s="4" t="n">
        <x:v>20</x:v>
      </x:c>
      <x:c r="H1668" s="4" t="n">
        <x:v>63.45</x:v>
      </x:c>
      <x:c r="I1668" s="5" t="n">
        <x:f t="shared" si="26">F1668*1000*H1668</x:f>
        <x:v>363073.5900000001</x:v>
      </x:c>
      <x:c r="J1668" t="n">
        <x:v>5.61</x:v>
      </x:c>
    </x:row>
    <x:row r="1669">
      <x:c r="A1669" s="3" t="n">
        <x:v>2023</x:v>
      </x:c>
      <x:c r="B1669" s="2" t="str">
        <x:v>Diciembre</x:v>
      </x:c>
      <x:c r="C1669" s="2" t="str">
        <x:v>RE-023918-1</x:v>
      </x:c>
      <x:c r="D1669" s="2" t="str">
        <x:v>P.E. SERRA DO PARAMO</x:v>
      </x:c>
      <x:c r="E1669" s="4" t="n">
        <x:v>5.632</x:v>
      </x:c>
      <x:c r="F1669" s="4" t="n">
        <x:f>J1669*0.98</x:f>
        <x:v>5.43312</x:v>
      </x:c>
      <x:c r="G1669" s="4" t="n">
        <x:v>20</x:v>
      </x:c>
      <x:c r="H1669" s="4" t="n">
        <x:v>72.17</x:v>
      </x:c>
      <x:c r="I1669" s="5" t="n">
        <x:f t="shared" si="26">F1669*1000*H1669</x:f>
        <x:v>392108.2704</x:v>
      </x:c>
      <x:c r="J1669" t="n">
        <x:v>5.544</x:v>
      </x:c>
    </x:row>
    <x:row r="1670">
      <x:c r="A1670" s="3" t="n">
        <x:v>2023</x:v>
      </x:c>
      <x:c r="B1670" s="2" t="str">
        <x:v>Enero</x:v>
      </x:c>
      <x:c r="C1670" s="2" t="str">
        <x:v>RE-025548-1</x:v>
      </x:c>
      <x:c r="D1670" s="2" t="str">
        <x:v>P. E. SINGULAR DE CAMPO DAS CRUCES</x:v>
      </x:c>
      <x:c r="E1670" s="4" t="n">
        <x:v>0.612</x:v>
      </x:c>
      <x:c r="F1670" s="4" t="n">
        <x:f>J1670*0.94</x:f>
        <x:v>0.5611799999999999</x:v>
      </x:c>
      <x:c r="G1670" s="4" t="n">
        <x:v>1.8</x:v>
      </x:c>
      <x:c r="H1670" s="4" t="n">
        <x:v>69.55</x:v>
      </x:c>
      <x:c r="I1670" s="5" t="n">
        <x:f t="shared" si="26">F1670*1000*H1670</x:f>
        <x:v>39030.068999999996</x:v>
      </x:c>
      <x:c r="J1670" t="n">
        <x:v>0.597</x:v>
      </x:c>
    </x:row>
    <x:row r="1671">
      <x:c r="A1671" s="3" t="n">
        <x:v>2023</x:v>
      </x:c>
      <x:c r="B1671" s="2" t="str">
        <x:v>Febrero</x:v>
      </x:c>
      <x:c r="C1671" s="2" t="str">
        <x:v>RE-025548-1</x:v>
      </x:c>
      <x:c r="D1671" s="2" t="str">
        <x:v>P. E. SINGULAR DE CAMPO DAS CRUCES</x:v>
      </x:c>
      <x:c r="E1671" s="4" t="n">
        <x:v>0.512</x:v>
      </x:c>
      <x:c r="F1671" s="4" t="n">
        <x:f>J1671*1.01</x:f>
        <x:v>0.50702</x:v>
      </x:c>
      <x:c r="G1671" s="4" t="n">
        <x:v>1.8</x:v>
      </x:c>
      <x:c r="H1671" s="4" t="n">
        <x:v>133.47</x:v>
      </x:c>
      <x:c r="I1671" s="5" t="n">
        <x:f t="shared" si="26">F1671*1000*H1671</x:f>
        <x:v>67671.9594</x:v>
      </x:c>
      <x:c r="J1671" t="n">
        <x:v>0.502</x:v>
      </x:c>
    </x:row>
    <x:row r="1672">
      <x:c r="A1672" s="3" t="n">
        <x:v>2023</x:v>
      </x:c>
      <x:c r="B1672" s="2" t="str">
        <x:v>Marzo</x:v>
      </x:c>
      <x:c r="C1672" s="2" t="str">
        <x:v>RE-025548-1</x:v>
      </x:c>
      <x:c r="D1672" s="2" t="str">
        <x:v>P. E. SINGULAR DE CAMPO DAS CRUCES</x:v>
      </x:c>
      <x:c r="E1672" s="4" t="n">
        <x:v>0.466</x:v>
      </x:c>
      <x:c r="F1672" s="4" t="n">
        <x:f>J1672*0.97</x:f>
        <x:v>0.44426</x:v>
      </x:c>
      <x:c r="G1672" s="4" t="n">
        <x:v>1.8</x:v>
      </x:c>
      <x:c r="H1672" s="4" t="n">
        <x:v>89.61</x:v>
      </x:c>
      <x:c r="I1672" s="5" t="n">
        <x:f t="shared" si="26">F1672*1000*H1672</x:f>
        <x:v>39810.1386</x:v>
      </x:c>
      <x:c r="J1672" t="n">
        <x:v>0.458</x:v>
      </x:c>
    </x:row>
    <x:row r="1673">
      <x:c r="A1673" s="3" t="n">
        <x:v>2023</x:v>
      </x:c>
      <x:c r="B1673" s="2" t="str">
        <x:v>Abril</x:v>
      </x:c>
      <x:c r="C1673" s="2" t="str">
        <x:v>RE-025548-1</x:v>
      </x:c>
      <x:c r="D1673" s="2" t="str">
        <x:v>P. E. SINGULAR DE CAMPO DAS CRUCES</x:v>
      </x:c>
      <x:c r="E1673" s="4" t="n">
        <x:v>0.438</x:v>
      </x:c>
      <x:c r="F1673" s="4" t="n">
        <x:f>J1673*1.04</x:f>
        <x:v>0.44512</x:v>
      </x:c>
      <x:c r="G1673" s="4" t="n">
        <x:v>1.8</x:v>
      </x:c>
      <x:c r="H1673" s="4" t="n">
        <x:v>73.73</x:v>
      </x:c>
      <x:c r="I1673" s="5" t="n">
        <x:f t="shared" si="26">F1673*1000*H1673</x:f>
        <x:v>32818.6976</x:v>
      </x:c>
      <x:c r="J1673" t="n">
        <x:v>0.428</x:v>
      </x:c>
    </x:row>
    <x:row r="1674">
      <x:c r="A1674" s="3" t="n">
        <x:v>2023</x:v>
      </x:c>
      <x:c r="B1674" s="2" t="str">
        <x:v>Mayo</x:v>
      </x:c>
      <x:c r="C1674" s="2" t="str">
        <x:v>RE-025548-1</x:v>
      </x:c>
      <x:c r="D1674" s="2" t="str">
        <x:v>P. E. SINGULAR DE CAMPO DAS CRUCES</x:v>
      </x:c>
      <x:c r="E1674" s="4" t="n">
        <x:v>0.328</x:v>
      </x:c>
      <x:c r="F1674" s="4" t="n">
        <x:f>J1674*1</x:f>
        <x:v>0.322</x:v>
      </x:c>
      <x:c r="G1674" s="4" t="n">
        <x:v>1.8</x:v>
      </x:c>
      <x:c r="H1674" s="4" t="n">
        <x:v>74.21</x:v>
      </x:c>
      <x:c r="I1674" s="5" t="n">
        <x:f t="shared" si="26">F1674*1000*H1674</x:f>
        <x:v>23895.62</x:v>
      </x:c>
      <x:c r="J1674" t="n">
        <x:v>0.322</x:v>
      </x:c>
    </x:row>
    <x:row r="1675">
      <x:c r="A1675" s="3" t="n">
        <x:v>2023</x:v>
      </x:c>
      <x:c r="B1675" s="2" t="str">
        <x:v>Junio</x:v>
      </x:c>
      <x:c r="C1675" s="2" t="str">
        <x:v>RE-025548-1</x:v>
      </x:c>
      <x:c r="D1675" s="2" t="str">
        <x:v>P. E. SINGULAR DE CAMPO DAS CRUCES</x:v>
      </x:c>
      <x:c r="E1675" s="4" t="n">
        <x:v>0.33</x:v>
      </x:c>
      <x:c r="F1675" s="4" t="n">
        <x:f>J1675*0.96</x:f>
        <x:v>0.31008</x:v>
      </x:c>
      <x:c r="G1675" s="4" t="n">
        <x:v>1.8</x:v>
      </x:c>
      <x:c r="H1675" s="4" t="n">
        <x:v>93.02</x:v>
      </x:c>
      <x:c r="I1675" s="5" t="n">
        <x:f t="shared" si="26">F1675*1000*H1675</x:f>
        <x:v>28843.641600000003</x:v>
      </x:c>
      <x:c r="J1675" t="n">
        <x:v>0.323</x:v>
      </x:c>
    </x:row>
    <x:row r="1676">
      <x:c r="A1676" s="3" t="n">
        <x:v>2023</x:v>
      </x:c>
      <x:c r="B1676" s="2" t="str">
        <x:v>Julio</x:v>
      </x:c>
      <x:c r="C1676" s="2" t="str">
        <x:v>RE-025548-1</x:v>
      </x:c>
      <x:c r="D1676" s="2" t="str">
        <x:v>P. E. SINGULAR DE CAMPO DAS CRUCES</x:v>
      </x:c>
      <x:c r="E1676" s="4" t="n">
        <x:v>0.25</x:v>
      </x:c>
      <x:c r="F1676" s="4" t="n">
        <x:f>J1676*1.03</x:f>
        <x:v>0.25235</x:v>
      </x:c>
      <x:c r="G1676" s="4" t="n">
        <x:v>1.8</x:v>
      </x:c>
      <x:c r="H1676" s="4" t="n">
        <x:v>90.47</x:v>
      </x:c>
      <x:c r="I1676" s="5" t="n">
        <x:f t="shared" si="26">F1676*1000*H1676</x:f>
        <x:v>22830.1045</x:v>
      </x:c>
      <x:c r="J1676" t="n">
        <x:v>0.245</x:v>
      </x:c>
    </x:row>
    <x:row r="1677">
      <x:c r="A1677" s="3" t="n">
        <x:v>2023</x:v>
      </x:c>
      <x:c r="B1677" s="2" t="str">
        <x:v>Agosto</x:v>
      </x:c>
      <x:c r="C1677" s="2" t="str">
        <x:v>RE-025548-1</x:v>
      </x:c>
      <x:c r="D1677" s="2" t="str">
        <x:v>P. E. SINGULAR DE CAMPO DAS CRUCES</x:v>
      </x:c>
      <x:c r="E1677" s="4" t="n">
        <x:v>0.265</x:v>
      </x:c>
      <x:c r="F1677" s="4" t="n">
        <x:f>J1677*0.99</x:f>
        <x:v>0.2574</x:v>
      </x:c>
      <x:c r="G1677" s="4" t="n">
        <x:v>1.8</x:v>
      </x:c>
      <x:c r="H1677" s="4" t="n">
        <x:v>96.05</x:v>
      </x:c>
      <x:c r="I1677" s="5" t="n">
        <x:f t="shared" si="26">F1677*1000*H1677</x:f>
        <x:v>24723.270000000004</x:v>
      </x:c>
      <x:c r="J1677" t="n">
        <x:v>0.26</x:v>
      </x:c>
    </x:row>
    <x:row r="1678">
      <x:c r="A1678" s="3" t="n">
        <x:v>2023</x:v>
      </x:c>
      <x:c r="B1678" s="2" t="str">
        <x:v>Septiembre</x:v>
      </x:c>
      <x:c r="C1678" s="2" t="str">
        <x:v>RE-025548-1</x:v>
      </x:c>
      <x:c r="D1678" s="2" t="str">
        <x:v>P. E. SINGULAR DE CAMPO DAS CRUCES</x:v>
      </x:c>
      <x:c r="E1678" s="4" t="n">
        <x:v>0.303</x:v>
      </x:c>
      <x:c r="F1678" s="4" t="n">
        <x:f>J1678*0.95</x:f>
        <x:v>0.28119999999999995</x:v>
      </x:c>
      <x:c r="G1678" s="4" t="n">
        <x:v>1.8</x:v>
      </x:c>
      <x:c r="H1678" s="4" t="n">
        <x:v>103.34</x:v>
      </x:c>
      <x:c r="I1678" s="5" t="n">
        <x:f t="shared" si="26">F1678*1000*H1678</x:f>
        <x:v>29059.207999999995</x:v>
      </x:c>
      <x:c r="J1678" t="n">
        <x:v>0.296</x:v>
      </x:c>
    </x:row>
    <x:row r="1679">
      <x:c r="A1679" s="3" t="n">
        <x:v>2023</x:v>
      </x:c>
      <x:c r="B1679" s="2" t="str">
        <x:v>Octubre</x:v>
      </x:c>
      <x:c r="C1679" s="2" t="str">
        <x:v>RE-025548-1</x:v>
      </x:c>
      <x:c r="D1679" s="2" t="str">
        <x:v>P. E. SINGULAR DE CAMPO DAS CRUCES</x:v>
      </x:c>
      <x:c r="E1679" s="4" t="n">
        <x:v>0.476</x:v>
      </x:c>
      <x:c r="F1679" s="4" t="n">
        <x:f>J1679*1.02</x:f>
        <x:v>0.47328000000000003</x:v>
      </x:c>
      <x:c r="G1679" s="4" t="n">
        <x:v>1.8</x:v>
      </x:c>
      <x:c r="H1679" s="4" t="n">
        <x:v>90.14</x:v>
      </x:c>
      <x:c r="I1679" s="5" t="n">
        <x:f t="shared" si="26">F1679*1000*H1679</x:f>
        <x:v>42661.459200000005</x:v>
      </x:c>
      <x:c r="J1679" t="n">
        <x:v>0.464</x:v>
      </x:c>
    </x:row>
    <x:row r="1680">
      <x:c r="A1680" s="3" t="n">
        <x:v>2023</x:v>
      </x:c>
      <x:c r="B1680" s="2" t="str">
        <x:v>Noviembre</x:v>
      </x:c>
      <x:c r="C1680" s="2" t="str">
        <x:v>RE-025548-1</x:v>
      </x:c>
      <x:c r="D1680" s="2" t="str">
        <x:v>P. E. SINGULAR DE CAMPO DAS CRUCES</x:v>
      </x:c>
      <x:c r="E1680" s="4" t="n">
        <x:v>0.478</x:v>
      </x:c>
      <x:c r="F1680" s="4" t="n">
        <x:f>J1680*0.98</x:f>
        <x:v>0.4557</x:v>
      </x:c>
      <x:c r="G1680" s="4" t="n">
        <x:v>1.8</x:v>
      </x:c>
      <x:c r="H1680" s="4" t="n">
        <x:v>63.45</x:v>
      </x:c>
      <x:c r="I1680" s="5" t="n">
        <x:f t="shared" si="26">F1680*1000*H1680</x:f>
        <x:v>28914.165</x:v>
      </x:c>
      <x:c r="J1680" t="n">
        <x:v>0.465</x:v>
      </x:c>
    </x:row>
    <x:row r="1681">
      <x:c r="A1681" s="3" t="n">
        <x:v>2023</x:v>
      </x:c>
      <x:c r="B1681" s="2" t="str">
        <x:v>Diciembre</x:v>
      </x:c>
      <x:c r="C1681" s="2" t="str">
        <x:v>RE-025548-1</x:v>
      </x:c>
      <x:c r="D1681" s="2" t="str">
        <x:v>P. E. SINGULAR DE CAMPO DAS CRUCES</x:v>
      </x:c>
      <x:c r="E1681" s="4" t="n">
        <x:v>0.538</x:v>
      </x:c>
      <x:c r="F1681" s="4" t="n">
        <x:f>J1681*0.94</x:f>
        <x:v>0.49538</x:v>
      </x:c>
      <x:c r="G1681" s="4" t="n">
        <x:v>1.8</x:v>
      </x:c>
      <x:c r="H1681" s="4" t="n">
        <x:v>72.17</x:v>
      </x:c>
      <x:c r="I1681" s="5" t="n">
        <x:f t="shared" si="26">F1681*1000*H1681</x:f>
        <x:v>35751.5746</x:v>
      </x:c>
      <x:c r="J1681" t="n">
        <x:v>0.527</x:v>
      </x:c>
    </x:row>
    <x:row r="1682">
      <x:c r="A1682" s="3" t="n">
        <x:v>2023</x:v>
      </x:c>
      <x:c r="B1682" s="2" t="str">
        <x:v>Enero</x:v>
      </x:c>
      <x:c r="C1682" s="2" t="str">
        <x:v>RE-028031-1</x:v>
      </x:c>
      <x:c r="D1682" s="2" t="str">
        <x:v>P.E. SINGULAR DE ORTIGUEIRA</x:v>
      </x:c>
      <x:c r="E1682" s="4" t="n">
        <x:v>0.8527272727272727</x:v>
      </x:c>
      <x:c r="F1682" s="4" t="n">
        <x:f>J1682*1.01</x:f>
        <x:v>0.8419727272727274</x:v>
      </x:c>
      <x:c r="G1682" s="4" t="n">
        <x:v>2.9</x:v>
      </x:c>
      <x:c r="H1682" s="4" t="n">
        <x:v>69.55</x:v>
      </x:c>
      <x:c r="I1682" s="5" t="n">
        <x:f t="shared" si="26">F1682*1000*H1682</x:f>
        <x:v>58559.203181818186</x:v>
      </x:c>
      <x:c r="J1682" t="n">
        <x:v>0.8336363636363637</x:v>
      </x:c>
    </x:row>
    <x:row r="1683">
      <x:c r="A1683" s="3" t="n">
        <x:v>2023</x:v>
      </x:c>
      <x:c r="B1683" s="2" t="str">
        <x:v>Enero</x:v>
      </x:c>
      <x:c r="C1683" s="2" t="str">
        <x:v>RE-028031-2</x:v>
      </x:c>
      <x:c r="D1683" s="2" t="str">
        <x:v>P.E. SINGULAR DE ORTIGUEIRA</x:v>
      </x:c>
      <x:c r="E1683" s="4" t="n">
        <x:v>0.08527272727272728</x:v>
      </x:c>
      <x:c r="F1683" s="4" t="n">
        <x:f>J1683*1.01</x:f>
        <x:v>0.08419727272727268</x:v>
      </x:c>
      <x:c r="G1683" s="4" t="n">
        <x:v>0.29</x:v>
      </x:c>
      <x:c r="H1683" s="4" t="n">
        <x:v>69.55</x:v>
      </x:c>
      <x:c r="I1683" s="5" t="n">
        <x:f t="shared" si="26">F1683*1000*H1683</x:f>
        <x:v>5855.920318181815</x:v>
      </x:c>
      <x:c r="J1683" t="n">
        <x:v>0.0833636363636363</x:v>
      </x:c>
    </x:row>
    <x:row r="1684">
      <x:c r="A1684" s="3" t="n">
        <x:v>2023</x:v>
      </x:c>
      <x:c r="B1684" s="2" t="str">
        <x:v>Febrero</x:v>
      </x:c>
      <x:c r="C1684" s="2" t="str">
        <x:v>RE-028031-1</x:v>
      </x:c>
      <x:c r="D1684" s="2" t="str">
        <x:v>P.E. SINGULAR DE ORTIGUEIRA</x:v>
      </x:c>
      <x:c r="E1684" s="4" t="n">
        <x:v>0.7836363636363637</x:v>
      </x:c>
      <x:c r="F1684" s="4" t="n">
        <x:f>J1684*0.97</x:f>
        <x:v>0.7468999999999999</x:v>
      </x:c>
      <x:c r="G1684" s="4" t="n">
        <x:v>2.9</x:v>
      </x:c>
      <x:c r="H1684" s="4" t="n">
        <x:v>133.47</x:v>
      </x:c>
      <x:c r="I1684" s="5" t="n">
        <x:f t="shared" si="26">F1684*1000*H1684</x:f>
        <x:v>99688.74299999999</x:v>
      </x:c>
      <x:c r="J1684" t="n">
        <x:v>0.7699999999999999</x:v>
      </x:c>
    </x:row>
    <x:row r="1685">
      <x:c r="A1685" s="3" t="n">
        <x:v>2023</x:v>
      </x:c>
      <x:c r="B1685" s="2" t="str">
        <x:v>Febrero</x:v>
      </x:c>
      <x:c r="C1685" s="2" t="str">
        <x:v>RE-028031-2</x:v>
      </x:c>
      <x:c r="D1685" s="2" t="str">
        <x:v>P.E. SINGULAR DE ORTIGUEIRA</x:v>
      </x:c>
      <x:c r="E1685" s="4" t="n">
        <x:v>0.0783636363636363</x:v>
      </x:c>
      <x:c r="F1685" s="4" t="n">
        <x:f>J1685*0.97</x:f>
        <x:v>0.07469000000000006</x:v>
      </x:c>
      <x:c r="G1685" s="4" t="n">
        <x:v>0.29</x:v>
      </x:c>
      <x:c r="H1685" s="4" t="n">
        <x:v>133.47</x:v>
      </x:c>
      <x:c r="I1685" s="5" t="n">
        <x:f t="shared" si="26">F1685*1000*H1685</x:f>
        <x:v>9968.874300000009</x:v>
      </x:c>
      <x:c r="J1685" t="n">
        <x:v>0.07700000000000007</x:v>
      </x:c>
    </x:row>
    <x:row r="1686">
      <x:c r="A1686" s="3" t="n">
        <x:v>2023</x:v>
      </x:c>
      <x:c r="B1686" s="2" t="str">
        <x:v>Marzo</x:v>
      </x:c>
      <x:c r="C1686" s="2" t="str">
        <x:v>RE-028031-1</x:v>
      </x:c>
      <x:c r="D1686" s="2" t="str">
        <x:v>P.E. SINGULAR DE ORTIGUEIRA</x:v>
      </x:c>
      <x:c r="E1686" s="4" t="n">
        <x:v>0.7681818181818182</x:v>
      </x:c>
      <x:c r="F1686" s="4" t="n">
        <x:f>J1686*1.04</x:f>
        <x:v>0.7828363636363637</x:v>
      </x:c>
      <x:c r="G1686" s="4" t="n">
        <x:v>2.9</x:v>
      </x:c>
      <x:c r="H1686" s="4" t="n">
        <x:v>89.61</x:v>
      </x:c>
      <x:c r="I1686" s="5" t="n">
        <x:f t="shared" si="26">F1686*1000*H1686</x:f>
        <x:v>70149.96654545455</x:v>
      </x:c>
      <x:c r="J1686" t="n">
        <x:v>0.7527272727272727</x:v>
      </x:c>
    </x:row>
    <x:row r="1687">
      <x:c r="A1687" s="3" t="n">
        <x:v>2023</x:v>
      </x:c>
      <x:c r="B1687" s="2" t="str">
        <x:v>Marzo</x:v>
      </x:c>
      <x:c r="C1687" s="2" t="str">
        <x:v>RE-028031-2</x:v>
      </x:c>
      <x:c r="D1687" s="2" t="str">
        <x:v>P.E. SINGULAR DE ORTIGUEIRA</x:v>
      </x:c>
      <x:c r="E1687" s="4" t="n">
        <x:v>0.07681818181818179</x:v>
      </x:c>
      <x:c r="F1687" s="4" t="n">
        <x:f>J1687*1.04</x:f>
        <x:v>0.07828363636363636</x:v>
      </x:c>
      <x:c r="G1687" s="4" t="n">
        <x:v>0.29</x:v>
      </x:c>
      <x:c r="H1687" s="4" t="n">
        <x:v>89.61</x:v>
      </x:c>
      <x:c r="I1687" s="5" t="n">
        <x:f t="shared" si="26">F1687*1000*H1687</x:f>
        <x:v>7014.9966545454545</x:v>
      </x:c>
      <x:c r="J1687" t="n">
        <x:v>0.07527272727272727</x:v>
      </x:c>
    </x:row>
    <x:row r="1688">
      <x:c r="A1688" s="3" t="n">
        <x:v>2023</x:v>
      </x:c>
      <x:c r="B1688" s="2" t="str">
        <x:v>Abril</x:v>
      </x:c>
      <x:c r="C1688" s="2" t="str">
        <x:v>RE-028031-1</x:v>
      </x:c>
      <x:c r="D1688" s="2" t="str">
        <x:v>P.E. SINGULAR DE ORTIGUEIRA</x:v>
      </x:c>
      <x:c r="E1688" s="4" t="n">
        <x:v>0.5481818181818182</x:v>
      </x:c>
      <x:c r="F1688" s="4" t="n">
        <x:f>J1688*1</x:f>
        <x:v>0.5327272727272727</x:v>
      </x:c>
      <x:c r="G1688" s="4" t="n">
        <x:v>2.9</x:v>
      </x:c>
      <x:c r="H1688" s="4" t="n">
        <x:v>73.73</x:v>
      </x:c>
      <x:c r="I1688" s="5" t="n">
        <x:f t="shared" si="26">F1688*1000*H1688</x:f>
        <x:v>39277.98181818182</x:v>
      </x:c>
      <x:c r="J1688" t="n">
        <x:v>0.5327272727272727</x:v>
      </x:c>
    </x:row>
    <x:row r="1689">
      <x:c r="A1689" s="3" t="n">
        <x:v>2023</x:v>
      </x:c>
      <x:c r="B1689" s="2" t="str">
        <x:v>Abril</x:v>
      </x:c>
      <x:c r="C1689" s="2" t="str">
        <x:v>RE-028031-2</x:v>
      </x:c>
      <x:c r="D1689" s="2" t="str">
        <x:v>P.E. SINGULAR DE ORTIGUEIRA</x:v>
      </x:c>
      <x:c r="E1689" s="4" t="n">
        <x:v>0.054818181818181766</x:v>
      </x:c>
      <x:c r="F1689" s="4" t="n">
        <x:f>J1689*1</x:f>
        <x:v>0.05327272727272725</x:v>
      </x:c>
      <x:c r="G1689" s="4" t="n">
        <x:v>0.29</x:v>
      </x:c>
      <x:c r="H1689" s="4" t="n">
        <x:v>73.73</x:v>
      </x:c>
      <x:c r="I1689" s="5" t="n">
        <x:f t="shared" si="26">F1689*1000*H1689</x:f>
        <x:v>3927.7981818181806</x:v>
      </x:c>
      <x:c r="J1689" t="n">
        <x:v>0.05327272727272725</x:v>
      </x:c>
    </x:row>
    <x:row r="1690">
      <x:c r="A1690" s="3" t="n">
        <x:v>2023</x:v>
      </x:c>
      <x:c r="B1690" s="2" t="str">
        <x:v>Mayo</x:v>
      </x:c>
      <x:c r="C1690" s="2" t="str">
        <x:v>RE-028031-1</x:v>
      </x:c>
      <x:c r="D1690" s="2" t="str">
        <x:v>P.E. SINGULAR DE ORTIGUEIRA</x:v>
      </x:c>
      <x:c r="E1690" s="4" t="n">
        <x:v>0.48909090909090913</x:v>
      </x:c>
      <x:c r="F1690" s="4" t="n">
        <x:f>J1690*0.96</x:f>
        <x:v>0.4581818181818182</x:v>
      </x:c>
      <x:c r="G1690" s="4" t="n">
        <x:v>2.9</x:v>
      </x:c>
      <x:c r="H1690" s="4" t="n">
        <x:v>74.21</x:v>
      </x:c>
      <x:c r="I1690" s="5" t="n">
        <x:f t="shared" si="26">F1690*1000*H1690</x:f>
        <x:v>34001.67272727272</x:v>
      </x:c>
      <x:c r="J1690" t="n">
        <x:v>0.4772727272727273</x:v>
      </x:c>
    </x:row>
    <x:row r="1691">
      <x:c r="A1691" s="3" t="n">
        <x:v>2023</x:v>
      </x:c>
      <x:c r="B1691" s="2" t="str">
        <x:v>Mayo</x:v>
      </x:c>
      <x:c r="C1691" s="2" t="str">
        <x:v>RE-028031-2</x:v>
      </x:c>
      <x:c r="D1691" s="2" t="str">
        <x:v>P.E. SINGULAR DE ORTIGUEIRA</x:v>
      </x:c>
      <x:c r="E1691" s="4" t="n">
        <x:v>0.0489090909090909</x:v>
      </x:c>
      <x:c r="F1691" s="4" t="n">
        <x:f>J1691*0.96</x:f>
        <x:v>0.04581818181818182</x:v>
      </x:c>
      <x:c r="G1691" s="4" t="n">
        <x:v>0.29</x:v>
      </x:c>
      <x:c r="H1691" s="4" t="n">
        <x:v>74.21</x:v>
      </x:c>
      <x:c r="I1691" s="5" t="n">
        <x:f t="shared" si="26">F1691*1000*H1691</x:f>
        <x:v>3400.1672727272726</x:v>
      </x:c>
      <x:c r="J1691" t="n">
        <x:v>0.04772727272727273</x:v>
      </x:c>
    </x:row>
    <x:row r="1692">
      <x:c r="A1692" s="3" t="n">
        <x:v>2023</x:v>
      </x:c>
      <x:c r="B1692" s="2" t="str">
        <x:v>Junio</x:v>
      </x:c>
      <x:c r="C1692" s="2" t="str">
        <x:v>RE-028031-1</x:v>
      </x:c>
      <x:c r="D1692" s="2" t="str">
        <x:v>P.E. SINGULAR DE ORTIGUEIRA</x:v>
      </x:c>
      <x:c r="E1692" s="4" t="n">
        <x:v>0.5018181818181818</x:v>
      </x:c>
      <x:c r="F1692" s="4" t="n">
        <x:f>J1692*1.03</x:f>
        <x:v>0.5084454545454545</x:v>
      </x:c>
      <x:c r="G1692" s="4" t="n">
        <x:v>2.9</x:v>
      </x:c>
      <x:c r="H1692" s="4" t="n">
        <x:v>93.02</x:v>
      </x:c>
      <x:c r="I1692" s="5" t="n">
        <x:f t="shared" si="26">F1692*1000*H1692</x:f>
        <x:v>47295.59618181818</x:v>
      </x:c>
      <x:c r="J1692" t="n">
        <x:v>0.49363636363636365</x:v>
      </x:c>
    </x:row>
    <x:row r="1693">
      <x:c r="A1693" s="3" t="n">
        <x:v>2023</x:v>
      </x:c>
      <x:c r="B1693" s="2" t="str">
        <x:v>Junio</x:v>
      </x:c>
      <x:c r="C1693" s="2" t="str">
        <x:v>RE-028031-2</x:v>
      </x:c>
      <x:c r="D1693" s="2" t="str">
        <x:v>P.E. SINGULAR DE ORTIGUEIRA</x:v>
      </x:c>
      <x:c r="E1693" s="4" t="n">
        <x:v>0.050181818181818216</x:v>
      </x:c>
      <x:c r="F1693" s="4" t="n">
        <x:f>J1693*1.03</x:f>
        <x:v>0.05084454545454548</x:v>
      </x:c>
      <x:c r="G1693" s="4" t="n">
        <x:v>0.29</x:v>
      </x:c>
      <x:c r="H1693" s="4" t="n">
        <x:v>93.02</x:v>
      </x:c>
      <x:c r="I1693" s="5" t="n">
        <x:f t="shared" si="26">F1693*1000*H1693</x:f>
        <x:v>4729.559618181821</x:v>
      </x:c>
      <x:c r="J1693" t="n">
        <x:v>0.04936363636363639</x:v>
      </x:c>
    </x:row>
    <x:row r="1694">
      <x:c r="A1694" s="3" t="n">
        <x:v>2023</x:v>
      </x:c>
      <x:c r="B1694" s="2" t="str">
        <x:v>Julio</x:v>
      </x:c>
      <x:c r="C1694" s="2" t="str">
        <x:v>RE-028031-1</x:v>
      </x:c>
      <x:c r="D1694" s="2" t="str">
        <x:v>P.E. SINGULAR DE ORTIGUEIRA</x:v>
      </x:c>
      <x:c r="E1694" s="4" t="n">
        <x:v>0.3881818181818182</x:v>
      </x:c>
      <x:c r="F1694" s="4" t="n">
        <x:f>J1694*0.99</x:f>
        <x:v>0.3753</x:v>
      </x:c>
      <x:c r="G1694" s="4" t="n">
        <x:v>2.9</x:v>
      </x:c>
      <x:c r="H1694" s="4" t="n">
        <x:v>90.47</x:v>
      </x:c>
      <x:c r="I1694" s="5" t="n">
        <x:f t="shared" si="26">F1694*1000*H1694</x:f>
        <x:v>33953.391</x:v>
      </x:c>
      <x:c r="J1694" t="n">
        <x:v>0.3790909090909091</x:v>
      </x:c>
    </x:row>
    <x:row r="1695">
      <x:c r="A1695" s="3" t="n">
        <x:v>2023</x:v>
      </x:c>
      <x:c r="B1695" s="2" t="str">
        <x:v>Julio</x:v>
      </x:c>
      <x:c r="C1695" s="2" t="str">
        <x:v>RE-028031-2</x:v>
      </x:c>
      <x:c r="D1695" s="2" t="str">
        <x:v>P.E. SINGULAR DE ORTIGUEIRA</x:v>
      </x:c>
      <x:c r="E1695" s="4" t="n">
        <x:v>0.03881818181818181</x:v>
      </x:c>
      <x:c r="F1695" s="4" t="n">
        <x:f>J1695*0.99</x:f>
        <x:v>0.03752999999999998</x:v>
      </x:c>
      <x:c r="G1695" s="4" t="n">
        <x:v>0.29</x:v>
      </x:c>
      <x:c r="H1695" s="4" t="n">
        <x:v>90.47</x:v>
      </x:c>
      <x:c r="I1695" s="5" t="n">
        <x:f t="shared" si="26">F1695*1000*H1695</x:f>
        <x:v>3395.3390999999983</x:v>
      </x:c>
      <x:c r="J1695" t="n">
        <x:v>0.03790909090909089</x:v>
      </x:c>
    </x:row>
    <x:row r="1696">
      <x:c r="A1696" s="3" t="n">
        <x:v>2023</x:v>
      </x:c>
      <x:c r="B1696" s="2" t="str">
        <x:v>Agosto</x:v>
      </x:c>
      <x:c r="C1696" s="2" t="str">
        <x:v>RE-028031-1</x:v>
      </x:c>
      <x:c r="D1696" s="2" t="str">
        <x:v>P.E. SINGULAR DE ORTIGUEIRA</x:v>
      </x:c>
      <x:c r="E1696" s="4" t="n">
        <x:v>0.5118181818181817</x:v>
      </x:c>
      <x:c r="F1696" s="4" t="n">
        <x:f>J1696*0.95</x:f>
        <x:v>0.47154545454545455</x:v>
      </x:c>
      <x:c r="G1696" s="4" t="n">
        <x:v>2.9</x:v>
      </x:c>
      <x:c r="H1696" s="4" t="n">
        <x:v>96.05</x:v>
      </x:c>
      <x:c r="I1696" s="5" t="n">
        <x:f t="shared" si="26">F1696*1000*H1696</x:f>
        <x:v>45291.94090909091</x:v>
      </x:c>
      <x:c r="J1696" t="n">
        <x:v>0.4963636363636364</x:v>
      </x:c>
    </x:row>
    <x:row r="1697">
      <x:c r="A1697" s="3" t="n">
        <x:v>2023</x:v>
      </x:c>
      <x:c r="B1697" s="2" t="str">
        <x:v>Agosto</x:v>
      </x:c>
      <x:c r="C1697" s="2" t="str">
        <x:v>RE-028031-2</x:v>
      </x:c>
      <x:c r="D1697" s="2" t="str">
        <x:v>P.E. SINGULAR DE ORTIGUEIRA</x:v>
      </x:c>
      <x:c r="E1697" s="4" t="n">
        <x:v>0.05118181818181822</x:v>
      </x:c>
      <x:c r="F1697" s="4" t="n">
        <x:f>J1697*0.95</x:f>
        <x:v>0.04715454545454546</x:v>
      </x:c>
      <x:c r="G1697" s="4" t="n">
        <x:v>0.29</x:v>
      </x:c>
      <x:c r="H1697" s="4" t="n">
        <x:v>96.05</x:v>
      </x:c>
      <x:c r="I1697" s="5" t="n">
        <x:f t="shared" si="26">F1697*1000*H1697</x:f>
        <x:v>4529.194090909092</x:v>
      </x:c>
      <x:c r="J1697" t="n">
        <x:v>0.049636363636363645</x:v>
      </x:c>
    </x:row>
    <x:row r="1698">
      <x:c r="A1698" s="3" t="n">
        <x:v>2023</x:v>
      </x:c>
      <x:c r="B1698" s="2" t="str">
        <x:v>Septiembre</x:v>
      </x:c>
      <x:c r="C1698" s="2" t="str">
        <x:v>RE-028031-1</x:v>
      </x:c>
      <x:c r="D1698" s="2" t="str">
        <x:v>P.E. SINGULAR DE ORTIGUEIRA</x:v>
      </x:c>
      <x:c r="E1698" s="4" t="n">
        <x:v>0.5172727272727272</x:v>
      </x:c>
      <x:c r="F1698" s="4" t="n">
        <x:f>J1698*1.02</x:f>
        <x:v>0.5192727272727273</x:v>
      </x:c>
      <x:c r="G1698" s="4" t="n">
        <x:v>2.9</x:v>
      </x:c>
      <x:c r="H1698" s="4" t="n">
        <x:v>103.34</x:v>
      </x:c>
      <x:c r="I1698" s="5" t="n">
        <x:f t="shared" si="26">F1698*1000*H1698</x:f>
        <x:v>53661.643636363646</x:v>
      </x:c>
      <x:c r="J1698" t="n">
        <x:v>0.5090909090909091</x:v>
      </x:c>
    </x:row>
    <x:row r="1699">
      <x:c r="A1699" s="3" t="n">
        <x:v>2023</x:v>
      </x:c>
      <x:c r="B1699" s="2" t="str">
        <x:v>Septiembre</x:v>
      </x:c>
      <x:c r="C1699" s="2" t="str">
        <x:v>RE-028031-2</x:v>
      </x:c>
      <x:c r="D1699" s="2" t="str">
        <x:v>P.E. SINGULAR DE ORTIGUEIRA</x:v>
      </x:c>
      <x:c r="E1699" s="4" t="n">
        <x:v>0.05172727272727273</x:v>
      </x:c>
      <x:c r="F1699" s="4" t="n">
        <x:f>J1699*1.02</x:f>
        <x:v>0.051927272727272725</x:v>
      </x:c>
      <x:c r="G1699" s="4" t="n">
        <x:v>0.29</x:v>
      </x:c>
      <x:c r="H1699" s="4" t="n">
        <x:v>103.34</x:v>
      </x:c>
      <x:c r="I1699" s="5" t="n">
        <x:f t="shared" si="26">F1699*1000*H1699</x:f>
        <x:v>5366.164363636363</x:v>
      </x:c>
      <x:c r="J1699" t="n">
        <x:v>0.050909090909090904</x:v>
      </x:c>
    </x:row>
    <x:row r="1700">
      <x:c r="A1700" s="3" t="n">
        <x:v>2023</x:v>
      </x:c>
      <x:c r="B1700" s="2" t="str">
        <x:v>Octubre</x:v>
      </x:c>
      <x:c r="C1700" s="2" t="str">
        <x:v>RE-028031-1</x:v>
      </x:c>
      <x:c r="D1700" s="2" t="str">
        <x:v>P.E. SINGULAR DE ORTIGUEIRA</x:v>
      </x:c>
      <x:c r="E1700" s="4" t="n">
        <x:v>0.6972727272727274</x:v>
      </x:c>
      <x:c r="F1700" s="4" t="n">
        <x:f>J1700*0.98</x:f>
        <x:v>0.6690727272727273</x:v>
      </x:c>
      <x:c r="G1700" s="4" t="n">
        <x:v>2.9</x:v>
      </x:c>
      <x:c r="H1700" s="4" t="n">
        <x:v>90.14</x:v>
      </x:c>
      <x:c r="I1700" s="5" t="n">
        <x:f t="shared" si="26">F1700*1000*H1700</x:f>
        <x:v>60310.21563636363</x:v>
      </x:c>
      <x:c r="J1700" t="n">
        <x:v>0.6827272727272727</x:v>
      </x:c>
    </x:row>
    <x:row r="1701">
      <x:c r="A1701" s="3" t="n">
        <x:v>2023</x:v>
      </x:c>
      <x:c r="B1701" s="2" t="str">
        <x:v>Octubre</x:v>
      </x:c>
      <x:c r="C1701" s="2" t="str">
        <x:v>RE-028031-2</x:v>
      </x:c>
      <x:c r="D1701" s="2" t="str">
        <x:v>P.E. SINGULAR DE ORTIGUEIRA</x:v>
      </x:c>
      <x:c r="E1701" s="4" t="n">
        <x:v>0.06972727272727264</x:v>
      </x:c>
      <x:c r="F1701" s="4" t="n">
        <x:f>J1701*0.98</x:f>
        <x:v>0.06690727272727272</x:v>
      </x:c>
      <x:c r="G1701" s="4" t="n">
        <x:v>0.29</x:v>
      </x:c>
      <x:c r="H1701" s="4" t="n">
        <x:v>90.14</x:v>
      </x:c>
      <x:c r="I1701" s="5" t="n">
        <x:f t="shared" si="26">F1701*1000*H1701</x:f>
        <x:v>6031.021563636362</x:v>
      </x:c>
      <x:c r="J1701" t="n">
        <x:v>0.06827272727272726</x:v>
      </x:c>
    </x:row>
    <x:row r="1702">
      <x:c r="A1702" s="3" t="n">
        <x:v>2023</x:v>
      </x:c>
      <x:c r="B1702" s="2" t="str">
        <x:v>Noviembre</x:v>
      </x:c>
      <x:c r="C1702" s="2" t="str">
        <x:v>RE-028031-1</x:v>
      </x:c>
      <x:c r="D1702" s="2" t="str">
        <x:v>P.E. SINGULAR DE ORTIGUEIRA</x:v>
      </x:c>
      <x:c r="E1702" s="4" t="n">
        <x:v>0.84</x:v>
      </x:c>
      <x:c r="F1702" s="4" t="n">
        <x:f>J1702*0.94</x:f>
        <x:v>0.769090909090909</x:v>
      </x:c>
      <x:c r="G1702" s="4" t="n">
        <x:v>2.9</x:v>
      </x:c>
      <x:c r="H1702" s="4" t="n">
        <x:v>63.45</x:v>
      </x:c>
      <x:c r="I1702" s="5" t="n">
        <x:f t="shared" si="26">F1702*1000*H1702</x:f>
        <x:v>48798.81818181818</x:v>
      </x:c>
      <x:c r="J1702" t="n">
        <x:v>0.8181818181818182</x:v>
      </x:c>
    </x:row>
    <x:row r="1703">
      <x:c r="A1703" s="3" t="n">
        <x:v>2023</x:v>
      </x:c>
      <x:c r="B1703" s="2" t="str">
        <x:v>Noviembre</x:v>
      </x:c>
      <x:c r="C1703" s="2" t="str">
        <x:v>RE-028031-2</x:v>
      </x:c>
      <x:c r="D1703" s="2" t="str">
        <x:v>P.E. SINGULAR DE ORTIGUEIRA</x:v>
      </x:c>
      <x:c r="E1703" s="4" t="n">
        <x:v>0.08400000000000007</x:v>
      </x:c>
      <x:c r="F1703" s="4" t="n">
        <x:f>J1703*0.94</x:f>
        <x:v>0.07690909090909087</x:v>
      </x:c>
      <x:c r="G1703" s="4" t="n">
        <x:v>0.29</x:v>
      </x:c>
      <x:c r="H1703" s="4" t="n">
        <x:v>63.45</x:v>
      </x:c>
      <x:c r="I1703" s="5" t="n">
        <x:f t="shared" si="26">F1703*1000*H1703</x:f>
        <x:v>4879.881818181816</x:v>
      </x:c>
      <x:c r="J1703" t="n">
        <x:v>0.08181818181818179</x:v>
      </x:c>
    </x:row>
    <x:row r="1704">
      <x:c r="A1704" s="3" t="n">
        <x:v>2023</x:v>
      </x:c>
      <x:c r="B1704" s="2" t="str">
        <x:v>Diciembre</x:v>
      </x:c>
      <x:c r="C1704" s="2" t="str">
        <x:v>RE-028031-1</x:v>
      </x:c>
      <x:c r="D1704" s="2" t="str">
        <x:v>P.E. SINGULAR DE ORTIGUEIRA</x:v>
      </x:c>
      <x:c r="E1704" s="4" t="n">
        <x:v>0.9463636363636363</x:v>
      </x:c>
      <x:c r="F1704" s="4" t="n">
        <x:f>J1704*1.01</x:f>
        <x:v>0.9411363636363634</x:v>
      </x:c>
      <x:c r="G1704" s="4" t="n">
        <x:v>2.9</x:v>
      </x:c>
      <x:c r="H1704" s="4" t="n">
        <x:v>72.17</x:v>
      </x:c>
      <x:c r="I1704" s="5" t="n">
        <x:f t="shared" si="26">F1704*1000*H1704</x:f>
        <x:v>67921.81136363634</x:v>
      </x:c>
      <x:c r="J1704" t="n">
        <x:v>0.9318181818181817</x:v>
      </x:c>
    </x:row>
    <x:row r="1705">
      <x:c r="A1705" s="3" t="n">
        <x:v>2023</x:v>
      </x:c>
      <x:c r="B1705" s="2" t="str">
        <x:v>Diciembre</x:v>
      </x:c>
      <x:c r="C1705" s="2" t="str">
        <x:v>RE-028031-2</x:v>
      </x:c>
      <x:c r="D1705" s="2" t="str">
        <x:v>P.E. SINGULAR DE ORTIGUEIRA</x:v>
      </x:c>
      <x:c r="E1705" s="4" t="n">
        <x:v>0.09463636363636363</x:v>
      </x:c>
      <x:c r="F1705" s="4" t="n">
        <x:f>J1705*1.01</x:f>
        <x:v>0.09411363636363644</x:v>
      </x:c>
      <x:c r="G1705" s="4" t="n">
        <x:v>0.29</x:v>
      </x:c>
      <x:c r="H1705" s="4" t="n">
        <x:v>72.17</x:v>
      </x:c>
      <x:c r="I1705" s="5" t="n">
        <x:f t="shared" si="26">F1705*1000*H1705</x:f>
        <x:v>6792.1811363636425</x:v>
      </x:c>
      <x:c r="J1705" t="n">
        <x:v>0.09318181818181825</x:v>
      </x:c>
    </x:row>
    <x:row r="1706">
      <x:c r="A1706" s="3" t="n">
        <x:v>2023</x:v>
      </x:c>
      <x:c r="B1706" s="2" t="str">
        <x:v>Enero</x:v>
      </x:c>
      <x:c r="C1706" s="2" t="str">
        <x:v>RE-028349-1</x:v>
      </x:c>
      <x:c r="D1706" s="2" t="str">
        <x:v>P.E. SINGULAR DE LALIN</x:v>
      </x:c>
      <x:c r="E1706" s="4" t="n">
        <x:v>0.88</x:v>
      </x:c>
      <x:c r="F1706" s="4" t="n">
        <x:f>J1706*0.97</x:f>
        <x:v>0.83711</x:v>
      </x:c>
      <x:c r="G1706" s="4" t="n">
        <x:v>3</x:v>
      </x:c>
      <x:c r="H1706" s="4" t="n">
        <x:v>69.55</x:v>
      </x:c>
      <x:c r="I1706" s="5" t="n">
        <x:f t="shared" si="26">F1706*1000*H1706</x:f>
        <x:v>58221.0005</x:v>
      </x:c>
      <x:c r="J1706" t="n">
        <x:v>0.863</x:v>
      </x:c>
    </x:row>
    <x:row r="1707">
      <x:c r="A1707" s="3" t="n">
        <x:v>2023</x:v>
      </x:c>
      <x:c r="B1707" s="2" t="str">
        <x:v>Febrero</x:v>
      </x:c>
      <x:c r="C1707" s="2" t="str">
        <x:v>RE-028349-1</x:v>
      </x:c>
      <x:c r="D1707" s="2" t="str">
        <x:v>P.E. SINGULAR DE LALIN</x:v>
      </x:c>
      <x:c r="E1707" s="4" t="n">
        <x:v>0.677</x:v>
      </x:c>
      <x:c r="F1707" s="4" t="n">
        <x:f>J1707*1.04</x:f>
        <x:v>0.68328</x:v>
      </x:c>
      <x:c r="G1707" s="4" t="n">
        <x:v>3</x:v>
      </x:c>
      <x:c r="H1707" s="4" t="n">
        <x:v>133.47</x:v>
      </x:c>
      <x:c r="I1707" s="5" t="n">
        <x:f t="shared" si="26">F1707*1000*H1707</x:f>
        <x:v>91197.3816</x:v>
      </x:c>
      <x:c r="J1707" t="n">
        <x:v>0.657</x:v>
      </x:c>
    </x:row>
    <x:row r="1708">
      <x:c r="A1708" s="3" t="n">
        <x:v>2023</x:v>
      </x:c>
      <x:c r="B1708" s="2" t="str">
        <x:v>Marzo</x:v>
      </x:c>
      <x:c r="C1708" s="2" t="str">
        <x:v>RE-028349-1</x:v>
      </x:c>
      <x:c r="D1708" s="2" t="str">
        <x:v>P.E. SINGULAR DE LALIN</x:v>
      </x:c>
      <x:c r="E1708" s="4" t="n">
        <x:v>0.679</x:v>
      </x:c>
      <x:c r="F1708" s="4" t="n">
        <x:f>J1708*1</x:f>
        <x:v>0.662</x:v>
      </x:c>
      <x:c r="G1708" s="4" t="n">
        <x:v>3</x:v>
      </x:c>
      <x:c r="H1708" s="4" t="n">
        <x:v>89.61</x:v>
      </x:c>
      <x:c r="I1708" s="5" t="n">
        <x:f t="shared" si="26">F1708*1000*H1708</x:f>
        <x:v>59321.82</x:v>
      </x:c>
      <x:c r="J1708" t="n">
        <x:v>0.662</x:v>
      </x:c>
    </x:row>
    <x:row r="1709">
      <x:c r="A1709" s="3" t="n">
        <x:v>2023</x:v>
      </x:c>
      <x:c r="B1709" s="2" t="str">
        <x:v>Abril</x:v>
      </x:c>
      <x:c r="C1709" s="2" t="str">
        <x:v>RE-028349-1</x:v>
      </x:c>
      <x:c r="D1709" s="2" t="str">
        <x:v>P.E. SINGULAR DE LALIN</x:v>
      </x:c>
      <x:c r="E1709" s="4" t="n">
        <x:v>0.706</x:v>
      </x:c>
      <x:c r="F1709" s="4" t="n">
        <x:f>J1709*0.96</x:f>
        <x:v>0.6652799999999999</x:v>
      </x:c>
      <x:c r="G1709" s="4" t="n">
        <x:v>3</x:v>
      </x:c>
      <x:c r="H1709" s="4" t="n">
        <x:v>73.73</x:v>
      </x:c>
      <x:c r="I1709" s="5" t="n">
        <x:f t="shared" si="26">F1709*1000*H1709</x:f>
        <x:v>49051.094399999994</x:v>
      </x:c>
      <x:c r="J1709" t="n">
        <x:v>0.693</x:v>
      </x:c>
    </x:row>
    <x:row r="1710">
      <x:c r="A1710" s="3" t="n">
        <x:v>2023</x:v>
      </x:c>
      <x:c r="B1710" s="2" t="str">
        <x:v>Mayo</x:v>
      </x:c>
      <x:c r="C1710" s="2" t="str">
        <x:v>RE-028349-1</x:v>
      </x:c>
      <x:c r="D1710" s="2" t="str">
        <x:v>P.E. SINGULAR DE LALIN</x:v>
      </x:c>
      <x:c r="E1710" s="4" t="n">
        <x:v>0.651</x:v>
      </x:c>
      <x:c r="F1710" s="4" t="n">
        <x:f>J1710*1.03</x:f>
        <x:v>0.65405</x:v>
      </x:c>
      <x:c r="G1710" s="4" t="n">
        <x:v>3</x:v>
      </x:c>
      <x:c r="H1710" s="4" t="n">
        <x:v>74.21</x:v>
      </x:c>
      <x:c r="I1710" s="5" t="n">
        <x:f t="shared" si="26">F1710*1000*H1710</x:f>
        <x:v>48537.0505</x:v>
      </x:c>
      <x:c r="J1710" t="n">
        <x:v>0.635</x:v>
      </x:c>
    </x:row>
    <x:row r="1711">
      <x:c r="A1711" s="3" t="n">
        <x:v>2023</x:v>
      </x:c>
      <x:c r="B1711" s="2" t="str">
        <x:v>Junio</x:v>
      </x:c>
      <x:c r="C1711" s="2" t="str">
        <x:v>RE-028349-1</x:v>
      </x:c>
      <x:c r="D1711" s="2" t="str">
        <x:v>P.E. SINGULAR DE LALIN</x:v>
      </x:c>
      <x:c r="E1711" s="4" t="n">
        <x:v>0.526</x:v>
      </x:c>
      <x:c r="F1711" s="4" t="n">
        <x:f>J1711*0.99</x:f>
        <x:v>0.50787</x:v>
      </x:c>
      <x:c r="G1711" s="4" t="n">
        <x:v>3</x:v>
      </x:c>
      <x:c r="H1711" s="4" t="n">
        <x:v>93.02</x:v>
      </x:c>
      <x:c r="I1711" s="5" t="n">
        <x:f t="shared" si="26">F1711*1000*H1711</x:f>
        <x:v>47242.06740000001</x:v>
      </x:c>
      <x:c r="J1711" t="n">
        <x:v>0.513</x:v>
      </x:c>
    </x:row>
    <x:row r="1712">
      <x:c r="A1712" s="3" t="n">
        <x:v>2023</x:v>
      </x:c>
      <x:c r="B1712" s="2" t="str">
        <x:v>Julio</x:v>
      </x:c>
      <x:c r="C1712" s="2" t="str">
        <x:v>RE-028349-1</x:v>
      </x:c>
      <x:c r="D1712" s="2" t="str">
        <x:v>P.E. SINGULAR DE LALIN</x:v>
      </x:c>
      <x:c r="E1712" s="4" t="n">
        <x:v>0.503</x:v>
      </x:c>
      <x:c r="F1712" s="4" t="n">
        <x:f>J1712*0.95</x:f>
        <x:v>0.47025</x:v>
      </x:c>
      <x:c r="G1712" s="4" t="n">
        <x:v>3</x:v>
      </x:c>
      <x:c r="H1712" s="4" t="n">
        <x:v>90.47</x:v>
      </x:c>
      <x:c r="I1712" s="5" t="n">
        <x:f t="shared" si="26">F1712*1000*H1712</x:f>
        <x:v>42543.5175</x:v>
      </x:c>
      <x:c r="J1712" t="n">
        <x:v>0.495</x:v>
      </x:c>
    </x:row>
    <x:row r="1713">
      <x:c r="A1713" s="3" t="n">
        <x:v>2023</x:v>
      </x:c>
      <x:c r="B1713" s="2" t="str">
        <x:v>Agosto</x:v>
      </x:c>
      <x:c r="C1713" s="2" t="str">
        <x:v>RE-028349-1</x:v>
      </x:c>
      <x:c r="D1713" s="2" t="str">
        <x:v>P.E. SINGULAR DE LALIN</x:v>
      </x:c>
      <x:c r="E1713" s="4" t="n">
        <x:v>0.517</x:v>
      </x:c>
      <x:c r="F1713" s="4" t="n">
        <x:f>J1713*1.02</x:f>
        <x:v>0.51714</x:v>
      </x:c>
      <x:c r="G1713" s="4" t="n">
        <x:v>3</x:v>
      </x:c>
      <x:c r="H1713" s="4" t="n">
        <x:v>96.05</x:v>
      </x:c>
      <x:c r="I1713" s="5" t="n">
        <x:f t="shared" si="26">F1713*1000*H1713</x:f>
        <x:v>49671.297000000006</x:v>
      </x:c>
      <x:c r="J1713" t="n">
        <x:v>0.507</x:v>
      </x:c>
    </x:row>
    <x:row r="1714">
      <x:c r="A1714" s="3" t="n">
        <x:v>2023</x:v>
      </x:c>
      <x:c r="B1714" s="2" t="str">
        <x:v>Septiembre</x:v>
      </x:c>
      <x:c r="C1714" s="2" t="str">
        <x:v>RE-028349-1</x:v>
      </x:c>
      <x:c r="D1714" s="2" t="str">
        <x:v>P.E. SINGULAR DE LALIN</x:v>
      </x:c>
      <x:c r="E1714" s="4" t="n">
        <x:v>0.61</x:v>
      </x:c>
      <x:c r="F1714" s="4" t="n">
        <x:f>J1714*0.98</x:f>
        <x:v>0.5840799999999999</x:v>
      </x:c>
      <x:c r="G1714" s="4" t="n">
        <x:v>3</x:v>
      </x:c>
      <x:c r="H1714" s="4" t="n">
        <x:v>103.34</x:v>
      </x:c>
      <x:c r="I1714" s="5" t="n">
        <x:f t="shared" si="26">F1714*1000*H1714</x:f>
        <x:v>60358.82719999999</x:v>
      </x:c>
      <x:c r="J1714" t="n">
        <x:v>0.596</x:v>
      </x:c>
    </x:row>
    <x:row r="1715">
      <x:c r="A1715" s="3" t="n">
        <x:v>2023</x:v>
      </x:c>
      <x:c r="B1715" s="2" t="str">
        <x:v>Octubre</x:v>
      </x:c>
      <x:c r="C1715" s="2" t="str">
        <x:v>RE-028349-1</x:v>
      </x:c>
      <x:c r="D1715" s="2" t="str">
        <x:v>P.E. SINGULAR DE LALIN</x:v>
      </x:c>
      <x:c r="E1715" s="4" t="n">
        <x:v>0.631</x:v>
      </x:c>
      <x:c r="F1715" s="4" t="n">
        <x:f>J1715*0.94</x:f>
        <x:v>0.5818599999999999</x:v>
      </x:c>
      <x:c r="G1715" s="4" t="n">
        <x:v>3</x:v>
      </x:c>
      <x:c r="H1715" s="4" t="n">
        <x:v>90.14</x:v>
      </x:c>
      <x:c r="I1715" s="5" t="n">
        <x:f t="shared" si="26">F1715*1000*H1715</x:f>
        <x:v>52448.86039999999</x:v>
      </x:c>
      <x:c r="J1715" t="n">
        <x:v>0.619</x:v>
      </x:c>
    </x:row>
    <x:row r="1716">
      <x:c r="A1716" s="3" t="n">
        <x:v>2023</x:v>
      </x:c>
      <x:c r="B1716" s="2" t="str">
        <x:v>Noviembre</x:v>
      </x:c>
      <x:c r="C1716" s="2" t="str">
        <x:v>RE-028349-1</x:v>
      </x:c>
      <x:c r="D1716" s="2" t="str">
        <x:v>P.E. SINGULAR DE LALIN</x:v>
      </x:c>
      <x:c r="E1716" s="4" t="n">
        <x:v>0.698</x:v>
      </x:c>
      <x:c r="F1716" s="4" t="n">
        <x:f>J1716*1.01</x:f>
        <x:v>0.6938700000000001</x:v>
      </x:c>
      <x:c r="G1716" s="4" t="n">
        <x:v>3</x:v>
      </x:c>
      <x:c r="H1716" s="4" t="n">
        <x:v>63.45</x:v>
      </x:c>
      <x:c r="I1716" s="5" t="n">
        <x:f t="shared" si="26">F1716*1000*H1716</x:f>
        <x:v>44026.05150000001</x:v>
      </x:c>
      <x:c r="J1716" t="n">
        <x:v>0.687</x:v>
      </x:c>
    </x:row>
    <x:row r="1717">
      <x:c r="A1717" s="3" t="n">
        <x:v>2023</x:v>
      </x:c>
      <x:c r="B1717" s="2" t="str">
        <x:v>Diciembre</x:v>
      </x:c>
      <x:c r="C1717" s="2" t="str">
        <x:v>RE-028349-1</x:v>
      </x:c>
      <x:c r="D1717" s="2" t="str">
        <x:v>P.E. SINGULAR DE LALIN</x:v>
      </x:c>
      <x:c r="E1717" s="4" t="n">
        <x:v>0.92</x:v>
      </x:c>
      <x:c r="F1717" s="4" t="n">
        <x:f>J1717*0.97</x:f>
        <x:v>0.86912</x:v>
      </x:c>
      <x:c r="G1717" s="4" t="n">
        <x:v>3</x:v>
      </x:c>
      <x:c r="H1717" s="4" t="n">
        <x:v>72.17</x:v>
      </x:c>
      <x:c r="I1717" s="5" t="n">
        <x:f t="shared" si="26">F1717*1000*H1717</x:f>
        <x:v>62724.390400000004</x:v>
      </x:c>
      <x:c r="J1717" t="n">
        <x:v>0.896</x:v>
      </x:c>
    </x:row>
    <x:row r="1718">
      <x:c r="A1718" s="3" t="n">
        <x:v>2023</x:v>
      </x:c>
      <x:c r="B1718" s="2" t="str">
        <x:v>Enero</x:v>
      </x:c>
      <x:c r="C1718" s="2" t="str">
        <x:v>RE-028367-1</x:v>
      </x:c>
      <x:c r="D1718" s="2" t="str">
        <x:v>P.E. POUSADOIRO-FONSECA FASE I</x:v>
      </x:c>
      <x:c r="E1718" s="4" t="n">
        <x:v>6.067</x:v>
      </x:c>
      <x:c r="F1718" s="4" t="n">
        <x:f>J1718*1.04</x:f>
        <x:v>6.21192</x:v>
      </x:c>
      <x:c r="G1718" s="4" t="n">
        <x:v>23.5</x:v>
      </x:c>
      <x:c r="H1718" s="4" t="n">
        <x:v>69.55</x:v>
      </x:c>
      <x:c r="I1718" s="5" t="n">
        <x:f t="shared" si="26">F1718*1000*H1718</x:f>
        <x:v>432039.03599999996</x:v>
      </x:c>
      <x:c r="J1718" t="n">
        <x:v>5.973</x:v>
      </x:c>
    </x:row>
    <x:row r="1719">
      <x:c r="A1719" s="3" t="n">
        <x:v>2023</x:v>
      </x:c>
      <x:c r="B1719" s="2" t="str">
        <x:v>Febrero</x:v>
      </x:c>
      <x:c r="C1719" s="2" t="str">
        <x:v>RE-028367-1</x:v>
      </x:c>
      <x:c r="D1719" s="2" t="str">
        <x:v>P.E. POUSADOIRO-FONSECA FASE I</x:v>
      </x:c>
      <x:c r="E1719" s="4" t="n">
        <x:v>6.431</x:v>
      </x:c>
      <x:c r="F1719" s="4" t="n">
        <x:f>J1719*1</x:f>
        <x:v>6.234</x:v>
      </x:c>
      <x:c r="G1719" s="4" t="n">
        <x:v>23.5</x:v>
      </x:c>
      <x:c r="H1719" s="4" t="n">
        <x:v>133.47</x:v>
      </x:c>
      <x:c r="I1719" s="5" t="n">
        <x:f t="shared" si="26">F1719*1000*H1719</x:f>
        <x:v>832051.98</x:v>
      </x:c>
      <x:c r="J1719" t="n">
        <x:v>6.234</x:v>
      </x:c>
    </x:row>
    <x:row r="1720">
      <x:c r="A1720" s="3" t="n">
        <x:v>2023</x:v>
      </x:c>
      <x:c r="B1720" s="2" t="str">
        <x:v>Marzo</x:v>
      </x:c>
      <x:c r="C1720" s="2" t="str">
        <x:v>RE-028367-1</x:v>
      </x:c>
      <x:c r="D1720" s="2" t="str">
        <x:v>P.E. POUSADOIRO-FONSECA FASE I</x:v>
      </x:c>
      <x:c r="E1720" s="4" t="n">
        <x:v>6.409</x:v>
      </x:c>
      <x:c r="F1720" s="4" t="n">
        <x:f>J1720*0.96</x:f>
        <x:v>5.98464</x:v>
      </x:c>
      <x:c r="G1720" s="4" t="n">
        <x:v>23.5</x:v>
      </x:c>
      <x:c r="H1720" s="4" t="n">
        <x:v>89.61</x:v>
      </x:c>
      <x:c r="I1720" s="5" t="n">
        <x:f t="shared" si="26">F1720*1000*H1720</x:f>
        <x:v>536283.5904</x:v>
      </x:c>
      <x:c r="J1720" t="n">
        <x:v>6.234</x:v>
      </x:c>
    </x:row>
    <x:row r="1721">
      <x:c r="A1721" s="3" t="n">
        <x:v>2023</x:v>
      </x:c>
      <x:c r="B1721" s="2" t="str">
        <x:v>Abril</x:v>
      </x:c>
      <x:c r="C1721" s="2" t="str">
        <x:v>RE-028367-1</x:v>
      </x:c>
      <x:c r="D1721" s="2" t="str">
        <x:v>P.E. POUSADOIRO-FONSECA FASE I</x:v>
      </x:c>
      <x:c r="E1721" s="4" t="n">
        <x:v>4.455</x:v>
      </x:c>
      <x:c r="F1721" s="4" t="n">
        <x:f>J1721*1.03</x:f>
        <x:v>4.47638</x:v>
      </x:c>
      <x:c r="G1721" s="4" t="n">
        <x:v>23.5</x:v>
      </x:c>
      <x:c r="H1721" s="4" t="n">
        <x:v>73.73</x:v>
      </x:c>
      <x:c r="I1721" s="5" t="n">
        <x:f t="shared" si="26">F1721*1000*H1721</x:f>
        <x:v>330043.49740000005</x:v>
      </x:c>
      <x:c r="J1721" t="n">
        <x:v>4.346</x:v>
      </x:c>
    </x:row>
    <x:row r="1722">
      <x:c r="A1722" s="3" t="n">
        <x:v>2023</x:v>
      </x:c>
      <x:c r="B1722" s="2" t="str">
        <x:v>Mayo</x:v>
      </x:c>
      <x:c r="C1722" s="2" t="str">
        <x:v>RE-028367-1</x:v>
      </x:c>
      <x:c r="D1722" s="2" t="str">
        <x:v>P.E. POUSADOIRO-FONSECA FASE I</x:v>
      </x:c>
      <x:c r="E1722" s="4" t="n">
        <x:v>4.437</x:v>
      </x:c>
      <x:c r="F1722" s="4" t="n">
        <x:f>J1722*0.99</x:f>
        <x:v>4.2669</x:v>
      </x:c>
      <x:c r="G1722" s="4" t="n">
        <x:v>23.5</x:v>
      </x:c>
      <x:c r="H1722" s="4" t="n">
        <x:v>74.21</x:v>
      </x:c>
      <x:c r="I1722" s="5" t="n">
        <x:f t="shared" si="26">F1722*1000*H1722</x:f>
        <x:v>316646.6489999999</x:v>
      </x:c>
      <x:c r="J1722" t="n">
        <x:v>4.31</x:v>
      </x:c>
    </x:row>
    <x:row r="1723">
      <x:c r="A1723" s="3" t="n">
        <x:v>2023</x:v>
      </x:c>
      <x:c r="B1723" s="2" t="str">
        <x:v>Junio</x:v>
      </x:c>
      <x:c r="C1723" s="2" t="str">
        <x:v>RE-028367-1</x:v>
      </x:c>
      <x:c r="D1723" s="2" t="str">
        <x:v>P.E. POUSADOIRO-FONSECA FASE I</x:v>
      </x:c>
      <x:c r="E1723" s="4" t="n">
        <x:v>4.06</x:v>
      </x:c>
      <x:c r="F1723" s="4" t="n">
        <x:f>J1723*0.95</x:f>
        <x:v>3.7477499999999995</x:v>
      </x:c>
      <x:c r="G1723" s="4" t="n">
        <x:v>23.5</x:v>
      </x:c>
      <x:c r="H1723" s="4" t="n">
        <x:v>93.02</x:v>
      </x:c>
      <x:c r="I1723" s="5" t="n">
        <x:f t="shared" si="26">F1723*1000*H1723</x:f>
        <x:v>348615.70499999996</x:v>
      </x:c>
      <x:c r="J1723" t="n">
        <x:v>3.945</x:v>
      </x:c>
    </x:row>
    <x:row r="1724">
      <x:c r="A1724" s="3" t="n">
        <x:v>2023</x:v>
      </x:c>
      <x:c r="B1724" s="2" t="str">
        <x:v>Julio</x:v>
      </x:c>
      <x:c r="C1724" s="2" t="str">
        <x:v>RE-028367-1</x:v>
      </x:c>
      <x:c r="D1724" s="2" t="str">
        <x:v>P.E. POUSADOIRO-FONSECA FASE I</x:v>
      </x:c>
      <x:c r="E1724" s="4" t="n">
        <x:v>3.7</x:v>
      </x:c>
      <x:c r="F1724" s="4" t="n">
        <x:f>J1724*1.02</x:f>
        <x:v>3.67098</x:v>
      </x:c>
      <x:c r="G1724" s="4" t="n">
        <x:v>23.5</x:v>
      </x:c>
      <x:c r="H1724" s="4" t="n">
        <x:v>90.47</x:v>
      </x:c>
      <x:c r="I1724" s="5" t="n">
        <x:f t="shared" si="26">F1724*1000*H1724</x:f>
        <x:v>332113.5606</x:v>
      </x:c>
      <x:c r="J1724" t="n">
        <x:v>3.599</x:v>
      </x:c>
    </x:row>
    <x:row r="1725">
      <x:c r="A1725" s="3" t="n">
        <x:v>2023</x:v>
      </x:c>
      <x:c r="B1725" s="2" t="str">
        <x:v>Agosto</x:v>
      </x:c>
      <x:c r="C1725" s="2" t="str">
        <x:v>RE-028367-1</x:v>
      </x:c>
      <x:c r="D1725" s="2" t="str">
        <x:v>P.E. POUSADOIRO-FONSECA FASE I</x:v>
      </x:c>
      <x:c r="E1725" s="4" t="n">
        <x:v>3.536</x:v>
      </x:c>
      <x:c r="F1725" s="4" t="n">
        <x:f>J1725*0.98</x:f>
        <x:v>3.35846</x:v>
      </x:c>
      <x:c r="G1725" s="4" t="n">
        <x:v>23.5</x:v>
      </x:c>
      <x:c r="H1725" s="4" t="n">
        <x:v>96.05</x:v>
      </x:c>
      <x:c r="I1725" s="5" t="n">
        <x:f t="shared" si="26">F1725*1000*H1725</x:f>
        <x:v>322580.083</x:v>
      </x:c>
      <x:c r="J1725" t="n">
        <x:v>3.427</x:v>
      </x:c>
    </x:row>
    <x:row r="1726">
      <x:c r="A1726" s="3" t="n">
        <x:v>2023</x:v>
      </x:c>
      <x:c r="B1726" s="2" t="str">
        <x:v>Septiembre</x:v>
      </x:c>
      <x:c r="C1726" s="2" t="str">
        <x:v>RE-028367-1</x:v>
      </x:c>
      <x:c r="D1726" s="2" t="str">
        <x:v>P.E. POUSADOIRO-FONSECA FASE I</x:v>
      </x:c>
      <x:c r="E1726" s="4" t="n">
        <x:v>3.839</x:v>
      </x:c>
      <x:c r="F1726" s="4" t="n">
        <x:f>J1726*0.94</x:f>
        <x:v>3.5343999999999998</x:v>
      </x:c>
      <x:c r="G1726" s="4" t="n">
        <x:v>23.5</x:v>
      </x:c>
      <x:c r="H1726" s="4" t="n">
        <x:v>103.34</x:v>
      </x:c>
      <x:c r="I1726" s="5" t="n">
        <x:f t="shared" si="26">F1726*1000*H1726</x:f>
        <x:v>365244.89599999995</x:v>
      </x:c>
      <x:c r="J1726" t="n">
        <x:v>3.76</x:v>
      </x:c>
    </x:row>
    <x:row r="1727">
      <x:c r="A1727" s="3" t="n">
        <x:v>2023</x:v>
      </x:c>
      <x:c r="B1727" s="2" t="str">
        <x:v>Octubre</x:v>
      </x:c>
      <x:c r="C1727" s="2" t="str">
        <x:v>RE-028367-1</x:v>
      </x:c>
      <x:c r="D1727" s="2" t="str">
        <x:v>P.E. POUSADOIRO-FONSECA FASE I</x:v>
      </x:c>
      <x:c r="E1727" s="4" t="n">
        <x:v>5.564</x:v>
      </x:c>
      <x:c r="F1727" s="4" t="n">
        <x:f>J1727*1.01</x:f>
        <x:v>5.46309</x:v>
      </x:c>
      <x:c r="G1727" s="4" t="n">
        <x:v>23.5</x:v>
      </x:c>
      <x:c r="H1727" s="4" t="n">
        <x:v>90.14</x:v>
      </x:c>
      <x:c r="I1727" s="5" t="n">
        <x:f t="shared" si="26">F1727*1000*H1727</x:f>
        <x:v>492442.9326</x:v>
      </x:c>
      <x:c r="J1727" t="n">
        <x:v>5.409</x:v>
      </x:c>
    </x:row>
    <x:row r="1728">
      <x:c r="A1728" s="3" t="n">
        <x:v>2023</x:v>
      </x:c>
      <x:c r="B1728" s="2" t="str">
        <x:v>Noviembre</x:v>
      </x:c>
      <x:c r="C1728" s="2" t="str">
        <x:v>RE-028367-1</x:v>
      </x:c>
      <x:c r="D1728" s="2" t="str">
        <x:v>P.E. POUSADOIRO-FONSECA FASE I</x:v>
      </x:c>
      <x:c r="E1728" s="4" t="n">
        <x:v>5.589</x:v>
      </x:c>
      <x:c r="F1728" s="4" t="n">
        <x:f>J1728*0.97</x:f>
        <x:v>5.29717</x:v>
      </x:c>
      <x:c r="G1728" s="4" t="n">
        <x:v>23.5</x:v>
      </x:c>
      <x:c r="H1728" s="4" t="n">
        <x:v>63.45</x:v>
      </x:c>
      <x:c r="I1728" s="5" t="n">
        <x:f t="shared" si="26">F1728*1000*H1728</x:f>
        <x:v>336105.4365</x:v>
      </x:c>
      <x:c r="J1728" t="n">
        <x:v>5.461</x:v>
      </x:c>
    </x:row>
    <x:row r="1729">
      <x:c r="A1729" s="3" t="n">
        <x:v>2023</x:v>
      </x:c>
      <x:c r="B1729" s="2" t="str">
        <x:v>Diciembre</x:v>
      </x:c>
      <x:c r="C1729" s="2" t="str">
        <x:v>RE-028367-1</x:v>
      </x:c>
      <x:c r="D1729" s="2" t="str">
        <x:v>P.E. POUSADOIRO-FONSECA FASE I</x:v>
      </x:c>
      <x:c r="E1729" s="4" t="n">
        <x:v>7.879</x:v>
      </x:c>
      <x:c r="F1729" s="4" t="n">
        <x:f>J1729*1.04</x:f>
        <x:v>8.00176</x:v>
      </x:c>
      <x:c r="G1729" s="4" t="n">
        <x:v>23.5</x:v>
      </x:c>
      <x:c r="H1729" s="4" t="n">
        <x:v>72.17</x:v>
      </x:c>
      <x:c r="I1729" s="5" t="n">
        <x:f t="shared" si="26">F1729*1000*H1729</x:f>
        <x:v>577487.0192000001</x:v>
      </x:c>
      <x:c r="J1729" t="n">
        <x:v>7.694</x:v>
      </x:c>
    </x:row>
    <x:row r="1730">
      <x:c r="A1730" s="3" t="n">
        <x:v>2023</x:v>
      </x:c>
      <x:c r="B1730" s="2" t="str">
        <x:v>Enero</x:v>
      </x:c>
      <x:c r="C1730" s="2" t="str">
        <x:v>RE-028368-1</x:v>
      </x:c>
      <x:c r="D1730" s="2" t="str">
        <x:v>P.E. O CHAO</x:v>
      </x:c>
      <x:c r="E1730" s="4" t="n">
        <x:v>1.984</x:v>
      </x:c>
      <x:c r="F1730" s="4" t="n">
        <x:f>J1730*1</x:f>
        <x:v>1.93</x:v>
      </x:c>
      <x:c r="G1730" s="4" t="n">
        <x:v>8</x:v>
      </x:c>
      <x:c r="H1730" s="4" t="n">
        <x:v>69.55</x:v>
      </x:c>
      <x:c r="I1730" s="5" t="n">
        <x:f t="shared" ref="I1730:I1793" si="27">F1730*1000*H1730</x:f>
        <x:v>134231.5</x:v>
      </x:c>
      <x:c r="J1730" t="n">
        <x:v>1.93</x:v>
      </x:c>
    </x:row>
    <x:row r="1731">
      <x:c r="A1731" s="3" t="n">
        <x:v>2023</x:v>
      </x:c>
      <x:c r="B1731" s="2" t="str">
        <x:v>Febrero</x:v>
      </x:c>
      <x:c r="C1731" s="2" t="str">
        <x:v>RE-028368-1</x:v>
      </x:c>
      <x:c r="D1731" s="2" t="str">
        <x:v>P.E. O CHAO</x:v>
      </x:c>
      <x:c r="E1731" s="4" t="n">
        <x:v>2.049</x:v>
      </x:c>
      <x:c r="F1731" s="4" t="n">
        <x:f>J1731*0.96</x:f>
        <x:v>1.9334399999999998</x:v>
      </x:c>
      <x:c r="G1731" s="4" t="n">
        <x:v>8</x:v>
      </x:c>
      <x:c r="H1731" s="4" t="n">
        <x:v>133.47</x:v>
      </x:c>
      <x:c r="I1731" s="5" t="n">
        <x:f t="shared" si="27">F1731*1000*H1731</x:f>
        <x:v>258056.23679999998</x:v>
      </x:c>
      <x:c r="J1731" t="n">
        <x:v>2.014</x:v>
      </x:c>
    </x:row>
    <x:row r="1732">
      <x:c r="A1732" s="3" t="n">
        <x:v>2023</x:v>
      </x:c>
      <x:c r="B1732" s="2" t="str">
        <x:v>Marzo</x:v>
      </x:c>
      <x:c r="C1732" s="2" t="str">
        <x:v>RE-028368-1</x:v>
      </x:c>
      <x:c r="D1732" s="2" t="str">
        <x:v>P.E. O CHAO</x:v>
      </x:c>
      <x:c r="E1732" s="4" t="n">
        <x:v>1.967</x:v>
      </x:c>
      <x:c r="F1732" s="4" t="n">
        <x:f>J1732*1.03</x:f>
        <x:v>1.9652399999999999</x:v>
      </x:c>
      <x:c r="G1732" s="4" t="n">
        <x:v>8</x:v>
      </x:c>
      <x:c r="H1732" s="4" t="n">
        <x:v>89.61</x:v>
      </x:c>
      <x:c r="I1732" s="5" t="n">
        <x:f t="shared" si="27">F1732*1000*H1732</x:f>
        <x:v>176105.15639999998</x:v>
      </x:c>
      <x:c r="J1732" t="n">
        <x:v>1.908</x:v>
      </x:c>
    </x:row>
    <x:row r="1733">
      <x:c r="A1733" s="3" t="n">
        <x:v>2023</x:v>
      </x:c>
      <x:c r="B1733" s="2" t="str">
        <x:v>Abril</x:v>
      </x:c>
      <x:c r="C1733" s="2" t="str">
        <x:v>RE-028368-1</x:v>
      </x:c>
      <x:c r="D1733" s="2" t="str">
        <x:v>P.E. O CHAO</x:v>
      </x:c>
      <x:c r="E1733" s="4" t="n">
        <x:v>1.795</x:v>
      </x:c>
      <x:c r="F1733" s="4" t="n">
        <x:f>J1733*0.99</x:f>
        <x:v>1.7394299999999998</x:v>
      </x:c>
      <x:c r="G1733" s="4" t="n">
        <x:v>8</x:v>
      </x:c>
      <x:c r="H1733" s="4" t="n">
        <x:v>73.73</x:v>
      </x:c>
      <x:c r="I1733" s="5" t="n">
        <x:f t="shared" si="27">F1733*1000*H1733</x:f>
        <x:v>128248.1739</x:v>
      </x:c>
      <x:c r="J1733" t="n">
        <x:v>1.757</x:v>
      </x:c>
    </x:row>
    <x:row r="1734">
      <x:c r="A1734" s="3" t="n">
        <x:v>2023</x:v>
      </x:c>
      <x:c r="B1734" s="2" t="str">
        <x:v>Mayo</x:v>
      </x:c>
      <x:c r="C1734" s="2" t="str">
        <x:v>RE-028368-1</x:v>
      </x:c>
      <x:c r="D1734" s="2" t="str">
        <x:v>P.E. O CHAO</x:v>
      </x:c>
      <x:c r="E1734" s="4" t="n">
        <x:v>1.264</x:v>
      </x:c>
      <x:c r="F1734" s="4" t="n">
        <x:f>J1734*0.95</x:f>
        <x:v>1.1742</x:v>
      </x:c>
      <x:c r="G1734" s="4" t="n">
        <x:v>8</x:v>
      </x:c>
      <x:c r="H1734" s="4" t="n">
        <x:v>74.21</x:v>
      </x:c>
      <x:c r="I1734" s="5" t="n">
        <x:f t="shared" si="27">F1734*1000*H1734</x:f>
        <x:v>87137.38199999998</x:v>
      </x:c>
      <x:c r="J1734" t="n">
        <x:v>1.236</x:v>
      </x:c>
    </x:row>
    <x:row r="1735">
      <x:c r="A1735" s="3" t="n">
        <x:v>2023</x:v>
      </x:c>
      <x:c r="B1735" s="2" t="str">
        <x:v>Junio</x:v>
      </x:c>
      <x:c r="C1735" s="2" t="str">
        <x:v>RE-028368-1</x:v>
      </x:c>
      <x:c r="D1735" s="2" t="str">
        <x:v>P.E. O CHAO</x:v>
      </x:c>
      <x:c r="E1735" s="4" t="n">
        <x:v>1.112</x:v>
      </x:c>
      <x:c r="F1735" s="4" t="n">
        <x:f>J1735*1.02</x:f>
        <x:v>1.10874</x:v>
      </x:c>
      <x:c r="G1735" s="4" t="n">
        <x:v>8</x:v>
      </x:c>
      <x:c r="H1735" s="4" t="n">
        <x:v>93.02</x:v>
      </x:c>
      <x:c r="I1735" s="5" t="n">
        <x:f t="shared" si="27">F1735*1000*H1735</x:f>
        <x:v>103134.9948</x:v>
      </x:c>
      <x:c r="J1735" t="n">
        <x:v>1.087</x:v>
      </x:c>
    </x:row>
    <x:row r="1736">
      <x:c r="A1736" s="3" t="n">
        <x:v>2023</x:v>
      </x:c>
      <x:c r="B1736" s="2" t="str">
        <x:v>Julio</x:v>
      </x:c>
      <x:c r="C1736" s="2" t="str">
        <x:v>RE-028368-1</x:v>
      </x:c>
      <x:c r="D1736" s="2" t="str">
        <x:v>P.E. O CHAO</x:v>
      </x:c>
      <x:c r="E1736" s="4" t="n">
        <x:v>1.047</x:v>
      </x:c>
      <x:c r="F1736" s="4" t="n">
        <x:f>J1736*0.98</x:f>
        <x:v>1.00352</x:v>
      </x:c>
      <x:c r="G1736" s="4" t="n">
        <x:v>8</x:v>
      </x:c>
      <x:c r="H1736" s="4" t="n">
        <x:v>90.47</x:v>
      </x:c>
      <x:c r="I1736" s="5" t="n">
        <x:f t="shared" si="27">F1736*1000*H1736</x:f>
        <x:v>90788.4544</x:v>
      </x:c>
      <x:c r="J1736" t="n">
        <x:v>1.024</x:v>
      </x:c>
    </x:row>
    <x:row r="1737">
      <x:c r="A1737" s="3" t="n">
        <x:v>2023</x:v>
      </x:c>
      <x:c r="B1737" s="2" t="str">
        <x:v>Agosto</x:v>
      </x:c>
      <x:c r="C1737" s="2" t="str">
        <x:v>RE-028368-1</x:v>
      </x:c>
      <x:c r="D1737" s="2" t="str">
        <x:v>P.E. O CHAO</x:v>
      </x:c>
      <x:c r="E1737" s="4" t="n">
        <x:v>1.239</x:v>
      </x:c>
      <x:c r="F1737" s="4" t="n">
        <x:f>J1737*0.94</x:f>
        <x:v>1.13834</x:v>
      </x:c>
      <x:c r="G1737" s="4" t="n">
        <x:v>8</x:v>
      </x:c>
      <x:c r="H1737" s="4" t="n">
        <x:v>96.05</x:v>
      </x:c>
      <x:c r="I1737" s="5" t="n">
        <x:f t="shared" si="27">F1737*1000*H1737</x:f>
        <x:v>109337.55699999999</x:v>
      </x:c>
      <x:c r="J1737" t="n">
        <x:v>1.211</x:v>
      </x:c>
    </x:row>
    <x:row r="1738">
      <x:c r="A1738" s="3" t="n">
        <x:v>2023</x:v>
      </x:c>
      <x:c r="B1738" s="2" t="str">
        <x:v>Septiembre</x:v>
      </x:c>
      <x:c r="C1738" s="2" t="str">
        <x:v>RE-028368-1</x:v>
      </x:c>
      <x:c r="D1738" s="2" t="str">
        <x:v>P.E. O CHAO</x:v>
      </x:c>
      <x:c r="E1738" s="4" t="n">
        <x:v>1.407</x:v>
      </x:c>
      <x:c r="F1738" s="4" t="n">
        <x:f>J1738*1.01</x:f>
        <x:v>1.3897599999999999</x:v>
      </x:c>
      <x:c r="G1738" s="4" t="n">
        <x:v>8</x:v>
      </x:c>
      <x:c r="H1738" s="4" t="n">
        <x:v>103.34</x:v>
      </x:c>
      <x:c r="I1738" s="5" t="n">
        <x:f t="shared" si="27">F1738*1000*H1738</x:f>
        <x:v>143617.7984</x:v>
      </x:c>
      <x:c r="J1738" t="n">
        <x:v>1.376</x:v>
      </x:c>
    </x:row>
    <x:row r="1739">
      <x:c r="A1739" s="3" t="n">
        <x:v>2023</x:v>
      </x:c>
      <x:c r="B1739" s="2" t="str">
        <x:v>Octubre</x:v>
      </x:c>
      <x:c r="C1739" s="2" t="str">
        <x:v>RE-028368-1</x:v>
      </x:c>
      <x:c r="D1739" s="2" t="str">
        <x:v>P.E. O CHAO</x:v>
      </x:c>
      <x:c r="E1739" s="4" t="n">
        <x:v>1.646</x:v>
      </x:c>
      <x:c r="F1739" s="4" t="n">
        <x:f>J1739*0.97</x:f>
        <x:v>1.55006</x:v>
      </x:c>
      <x:c r="G1739" s="4" t="n">
        <x:v>8</x:v>
      </x:c>
      <x:c r="H1739" s="4" t="n">
        <x:v>90.14</x:v>
      </x:c>
      <x:c r="I1739" s="5" t="n">
        <x:f t="shared" si="27">F1739*1000*H1739</x:f>
        <x:v>139722.4084</x:v>
      </x:c>
      <x:c r="J1739" t="n">
        <x:v>1.598</x:v>
      </x:c>
    </x:row>
    <x:row r="1740">
      <x:c r="A1740" s="3" t="n">
        <x:v>2023</x:v>
      </x:c>
      <x:c r="B1740" s="2" t="str">
        <x:v>Noviembre</x:v>
      </x:c>
      <x:c r="C1740" s="2" t="str">
        <x:v>RE-028368-1</x:v>
      </x:c>
      <x:c r="D1740" s="2" t="str">
        <x:v>P.E. O CHAO</x:v>
      </x:c>
      <x:c r="E1740" s="4" t="n">
        <x:v>2.126</x:v>
      </x:c>
      <x:c r="F1740" s="4" t="n">
        <x:f>J1740*1.04</x:f>
        <x:v>2.16424</x:v>
      </x:c>
      <x:c r="G1740" s="4" t="n">
        <x:v>8</x:v>
      </x:c>
      <x:c r="H1740" s="4" t="n">
        <x:v>63.45</x:v>
      </x:c>
      <x:c r="I1740" s="5" t="n">
        <x:f t="shared" si="27">F1740*1000*H1740</x:f>
        <x:v>137321.028</x:v>
      </x:c>
      <x:c r="J1740" t="n">
        <x:v>2.081</x:v>
      </x:c>
    </x:row>
    <x:row r="1741">
      <x:c r="A1741" s="3" t="n">
        <x:v>2023</x:v>
      </x:c>
      <x:c r="B1741" s="2" t="str">
        <x:v>Diciembre</x:v>
      </x:c>
      <x:c r="C1741" s="2" t="str">
        <x:v>RE-028368-1</x:v>
      </x:c>
      <x:c r="D1741" s="2" t="str">
        <x:v>P.E. O CHAO</x:v>
      </x:c>
      <x:c r="E1741" s="4" t="n">
        <x:v>2.574</x:v>
      </x:c>
      <x:c r="F1741" s="4" t="n">
        <x:f>J1741*1</x:f>
        <x:v>2.534</x:v>
      </x:c>
      <x:c r="G1741" s="4" t="n">
        <x:v>8</x:v>
      </x:c>
      <x:c r="H1741" s="4" t="n">
        <x:v>72.17</x:v>
      </x:c>
      <x:c r="I1741" s="5" t="n">
        <x:f t="shared" si="27">F1741*1000*H1741</x:f>
        <x:v>182878.78</x:v>
      </x:c>
      <x:c r="J1741" t="n">
        <x:v>2.534</x:v>
      </x:c>
    </x:row>
    <x:row r="1742">
      <x:c r="A1742" s="3" t="n">
        <x:v>2023</x:v>
      </x:c>
      <x:c r="B1742" s="2" t="str">
        <x:v>Enero</x:v>
      </x:c>
      <x:c r="C1742" s="2" t="str">
        <x:v>RE-100112-2</x:v>
      </x:c>
      <x:c r="D1742" s="2" t="str">
        <x:v>P.E. FARRAPA I</x:v>
      </x:c>
      <x:c r="E1742" s="4" t="n">
        <x:v>5.939</x:v>
      </x:c>
      <x:c r="F1742" s="4" t="n">
        <x:f>J1742*0.96</x:f>
        <x:v>5.5968</x:v>
      </x:c>
      <x:c r="G1742" s="4" t="n">
        <x:v>20</x:v>
      </x:c>
      <x:c r="H1742" s="4" t="n">
        <x:v>69.55</x:v>
      </x:c>
      <x:c r="I1742" s="5" t="n">
        <x:f t="shared" si="27">F1742*1000*H1742</x:f>
        <x:v>389257.44</x:v>
      </x:c>
      <x:c r="J1742" t="n">
        <x:v>5.83</x:v>
      </x:c>
    </x:row>
    <x:row r="1743">
      <x:c r="A1743" s="3" t="n">
        <x:v>2023</x:v>
      </x:c>
      <x:c r="B1743" s="2" t="str">
        <x:v>Febrero</x:v>
      </x:c>
      <x:c r="C1743" s="2" t="str">
        <x:v>RE-100112-2</x:v>
      </x:c>
      <x:c r="D1743" s="2" t="str">
        <x:v>P.E. FARRAPA I</x:v>
      </x:c>
      <x:c r="E1743" s="4" t="n">
        <x:v>5.258</x:v>
      </x:c>
      <x:c r="F1743" s="4" t="n">
        <x:f>J1743*1.03</x:f>
        <x:v>5.293170000000001</x:v>
      </x:c>
      <x:c r="G1743" s="4" t="n">
        <x:v>20</x:v>
      </x:c>
      <x:c r="H1743" s="4" t="n">
        <x:v>133.47</x:v>
      </x:c>
      <x:c r="I1743" s="5" t="n">
        <x:f t="shared" si="27">F1743*1000*H1743</x:f>
        <x:v>706479.3999000001</x:v>
      </x:c>
      <x:c r="J1743" t="n">
        <x:v>5.139</x:v>
      </x:c>
    </x:row>
    <x:row r="1744">
      <x:c r="A1744" s="3" t="n">
        <x:v>2023</x:v>
      </x:c>
      <x:c r="B1744" s="2" t="str">
        <x:v>Marzo</x:v>
      </x:c>
      <x:c r="C1744" s="2" t="str">
        <x:v>RE-100112-2</x:v>
      </x:c>
      <x:c r="D1744" s="2" t="str">
        <x:v>P.E. FARRAPA I</x:v>
      </x:c>
      <x:c r="E1744" s="4" t="n">
        <x:v>4.2</x:v>
      </x:c>
      <x:c r="F1744" s="4" t="n">
        <x:f>J1744*0.99</x:f>
        <x:v>4.0491</x:v>
      </x:c>
      <x:c r="G1744" s="4" t="n">
        <x:v>20</x:v>
      </x:c>
      <x:c r="H1744" s="4" t="n">
        <x:v>89.61</x:v>
      </x:c>
      <x:c r="I1744" s="5" t="n">
        <x:f t="shared" si="27">F1744*1000*H1744</x:f>
        <x:v>362839.851</x:v>
      </x:c>
      <x:c r="J1744" t="n">
        <x:v>4.09</x:v>
      </x:c>
    </x:row>
    <x:row r="1745">
      <x:c r="A1745" s="3" t="n">
        <x:v>2023</x:v>
      </x:c>
      <x:c r="B1745" s="2" t="str">
        <x:v>Abril</x:v>
      </x:c>
      <x:c r="C1745" s="2" t="str">
        <x:v>RE-100112-2</x:v>
      </x:c>
      <x:c r="D1745" s="2" t="str">
        <x:v>P.E. FARRAPA I</x:v>
      </x:c>
      <x:c r="E1745" s="4" t="n">
        <x:v>3.598</x:v>
      </x:c>
      <x:c r="F1745" s="4" t="n">
        <x:f>J1745*0.95</x:f>
        <x:v>3.3478</x:v>
      </x:c>
      <x:c r="G1745" s="4" t="n">
        <x:v>20</x:v>
      </x:c>
      <x:c r="H1745" s="4" t="n">
        <x:v>73.73</x:v>
      </x:c>
      <x:c r="I1745" s="5" t="n">
        <x:f t="shared" si="27">F1745*1000*H1745</x:f>
        <x:v>246833.294</x:v>
      </x:c>
      <x:c r="J1745" t="n">
        <x:v>3.524</x:v>
      </x:c>
    </x:row>
    <x:row r="1746">
      <x:c r="A1746" s="3" t="n">
        <x:v>2023</x:v>
      </x:c>
      <x:c r="B1746" s="2" t="str">
        <x:v>Mayo</x:v>
      </x:c>
      <x:c r="C1746" s="2" t="str">
        <x:v>RE-100112-2</x:v>
      </x:c>
      <x:c r="D1746" s="2" t="str">
        <x:v>P.E. FARRAPA I</x:v>
      </x:c>
      <x:c r="E1746" s="4" t="n">
        <x:v>3.394</x:v>
      </x:c>
      <x:c r="F1746" s="4" t="n">
        <x:f>J1746*1.02</x:f>
        <x:v>3.3966000000000003</x:v>
      </x:c>
      <x:c r="G1746" s="4" t="n">
        <x:v>20</x:v>
      </x:c>
      <x:c r="H1746" s="4" t="n">
        <x:v>74.21</x:v>
      </x:c>
      <x:c r="I1746" s="5" t="n">
        <x:f t="shared" si="27">F1746*1000*H1746</x:f>
        <x:v>252061.68600000002</x:v>
      </x:c>
      <x:c r="J1746" t="n">
        <x:v>3.33</x:v>
      </x:c>
    </x:row>
    <x:row r="1747">
      <x:c r="A1747" s="3" t="n">
        <x:v>2023</x:v>
      </x:c>
      <x:c r="B1747" s="2" t="str">
        <x:v>Junio</x:v>
      </x:c>
      <x:c r="C1747" s="2" t="str">
        <x:v>RE-100112-2</x:v>
      </x:c>
      <x:c r="D1747" s="2" t="str">
        <x:v>P.E. FARRAPA I</x:v>
      </x:c>
      <x:c r="E1747" s="4" t="n">
        <x:v>3.302</x:v>
      </x:c>
      <x:c r="F1747" s="4" t="n">
        <x:f>J1747*0.98</x:f>
        <x:v>3.13698</x:v>
      </x:c>
      <x:c r="G1747" s="4" t="n">
        <x:v>20</x:v>
      </x:c>
      <x:c r="H1747" s="4" t="n">
        <x:v>93.02</x:v>
      </x:c>
      <x:c r="I1747" s="5" t="n">
        <x:f t="shared" si="27">F1747*1000*H1747</x:f>
        <x:v>291801.8796</x:v>
      </x:c>
      <x:c r="J1747" t="n">
        <x:v>3.201</x:v>
      </x:c>
    </x:row>
    <x:row r="1748">
      <x:c r="A1748" s="3" t="n">
        <x:v>2023</x:v>
      </x:c>
      <x:c r="B1748" s="2" t="str">
        <x:v>Julio</x:v>
      </x:c>
      <x:c r="C1748" s="2" t="str">
        <x:v>RE-100112-2</x:v>
      </x:c>
      <x:c r="D1748" s="2" t="str">
        <x:v>P.E. FARRAPA I</x:v>
      </x:c>
      <x:c r="E1748" s="4" t="n">
        <x:v>3.085</x:v>
      </x:c>
      <x:c r="F1748" s="4" t="n">
        <x:f>J1748*0.94</x:f>
        <x:v>2.8293999999999997</x:v>
      </x:c>
      <x:c r="G1748" s="4" t="n">
        <x:v>20</x:v>
      </x:c>
      <x:c r="H1748" s="4" t="n">
        <x:v>90.47</x:v>
      </x:c>
      <x:c r="I1748" s="5" t="n">
        <x:f t="shared" si="27">F1748*1000*H1748</x:f>
        <x:v>255975.81799999997</x:v>
      </x:c>
      <x:c r="J1748" t="n">
        <x:v>3.01</x:v>
      </x:c>
    </x:row>
    <x:row r="1749">
      <x:c r="A1749" s="3" t="n">
        <x:v>2023</x:v>
      </x:c>
      <x:c r="B1749" s="2" t="str">
        <x:v>Agosto</x:v>
      </x:c>
      <x:c r="C1749" s="2" t="str">
        <x:v>RE-100112-2</x:v>
      </x:c>
      <x:c r="D1749" s="2" t="str">
        <x:v>P.E. FARRAPA I</x:v>
      </x:c>
      <x:c r="E1749" s="4" t="n">
        <x:v>3.286</x:v>
      </x:c>
      <x:c r="F1749" s="4" t="n">
        <x:f>J1749*1.01</x:f>
        <x:v>3.2218999999999998</x:v>
      </x:c>
      <x:c r="G1749" s="4" t="n">
        <x:v>20</x:v>
      </x:c>
      <x:c r="H1749" s="4" t="n">
        <x:v>96.05</x:v>
      </x:c>
      <x:c r="I1749" s="5" t="n">
        <x:f t="shared" si="27">F1749*1000*H1749</x:f>
        <x:v>309463.49499999994</x:v>
      </x:c>
      <x:c r="J1749" t="n">
        <x:v>3.19</x:v>
      </x:c>
    </x:row>
    <x:row r="1750">
      <x:c r="A1750" s="3" t="n">
        <x:v>2023</x:v>
      </x:c>
      <x:c r="B1750" s="2" t="str">
        <x:v>Septiembre</x:v>
      </x:c>
      <x:c r="C1750" s="2" t="str">
        <x:v>RE-100112-2</x:v>
      </x:c>
      <x:c r="D1750" s="2" t="str">
        <x:v>P.E. FARRAPA I</x:v>
      </x:c>
      <x:c r="E1750" s="4" t="n">
        <x:v>3.695</x:v>
      </x:c>
      <x:c r="F1750" s="4" t="n">
        <x:f>J1750*0.97</x:f>
        <x:v>3.49394</x:v>
      </x:c>
      <x:c r="G1750" s="4" t="n">
        <x:v>20</x:v>
      </x:c>
      <x:c r="H1750" s="4" t="n">
        <x:v>103.34</x:v>
      </x:c>
      <x:c r="I1750" s="5" t="n">
        <x:f t="shared" si="27">F1750*1000*H1750</x:f>
        <x:v>361063.7596</x:v>
      </x:c>
      <x:c r="J1750" t="n">
        <x:v>3.602</x:v>
      </x:c>
    </x:row>
    <x:row r="1751">
      <x:c r="A1751" s="3" t="n">
        <x:v>2023</x:v>
      </x:c>
      <x:c r="B1751" s="2" t="str">
        <x:v>Octubre</x:v>
      </x:c>
      <x:c r="C1751" s="2" t="str">
        <x:v>RE-100112-2</x:v>
      </x:c>
      <x:c r="D1751" s="2" t="str">
        <x:v>P.E. FARRAPA I</x:v>
      </x:c>
      <x:c r="E1751" s="4" t="n">
        <x:v>4.805</x:v>
      </x:c>
      <x:c r="F1751" s="4" t="n">
        <x:f>J1751*1.04</x:f>
        <x:v>4.92024</x:v>
      </x:c>
      <x:c r="G1751" s="4" t="n">
        <x:v>20</x:v>
      </x:c>
      <x:c r="H1751" s="4" t="n">
        <x:v>90.14</x:v>
      </x:c>
      <x:c r="I1751" s="5" t="n">
        <x:f t="shared" si="27">F1751*1000*H1751</x:f>
        <x:v>443510.4336</x:v>
      </x:c>
      <x:c r="J1751" t="n">
        <x:v>4.731</x:v>
      </x:c>
    </x:row>
    <x:row r="1752">
      <x:c r="A1752" s="3" t="n">
        <x:v>2023</x:v>
      </x:c>
      <x:c r="B1752" s="2" t="str">
        <x:v>Noviembre</x:v>
      </x:c>
      <x:c r="C1752" s="2" t="str">
        <x:v>RE-100112-2</x:v>
      </x:c>
      <x:c r="D1752" s="2" t="str">
        <x:v>P.E. FARRAPA I</x:v>
      </x:c>
      <x:c r="E1752" s="4" t="n">
        <x:v>4.61</x:v>
      </x:c>
      <x:c r="F1752" s="4" t="n">
        <x:f>J1752*1</x:f>
        <x:v>4.517</x:v>
      </x:c>
      <x:c r="G1752" s="4" t="n">
        <x:v>20</x:v>
      </x:c>
      <x:c r="H1752" s="4" t="n">
        <x:v>63.45</x:v>
      </x:c>
      <x:c r="I1752" s="5" t="n">
        <x:f t="shared" si="27">F1752*1000*H1752</x:f>
        <x:v>286603.65</x:v>
      </x:c>
      <x:c r="J1752" t="n">
        <x:v>4.517</x:v>
      </x:c>
    </x:row>
    <x:row r="1753">
      <x:c r="A1753" s="3" t="n">
        <x:v>2023</x:v>
      </x:c>
      <x:c r="B1753" s="2" t="str">
        <x:v>Diciembre</x:v>
      </x:c>
      <x:c r="C1753" s="2" t="str">
        <x:v>RE-100112-2</x:v>
      </x:c>
      <x:c r="D1753" s="2" t="str">
        <x:v>P.E. FARRAPA I</x:v>
      </x:c>
      <x:c r="E1753" s="4" t="n">
        <x:v>5.986</x:v>
      </x:c>
      <x:c r="F1753" s="4" t="n">
        <x:f>J1753*0.96</x:f>
        <x:v>5.6304</x:v>
      </x:c>
      <x:c r="G1753" s="4" t="n">
        <x:v>20</x:v>
      </x:c>
      <x:c r="H1753" s="4" t="n">
        <x:v>72.17</x:v>
      </x:c>
      <x:c r="I1753" s="5" t="n">
        <x:f t="shared" si="27">F1753*1000*H1753</x:f>
        <x:v>406345.968</x:v>
      </x:c>
      <x:c r="J1753" t="n">
        <x:v>5.865</x:v>
      </x:c>
    </x:row>
    <x:row r="1754">
      <x:c r="A1754" s="3" t="n">
        <x:v>2023</x:v>
      </x:c>
      <x:c r="B1754" s="2" t="str">
        <x:v>Enero</x:v>
      </x:c>
      <x:c r="C1754" s="2" t="str">
        <x:v>RE-100239-2</x:v>
      </x:c>
      <x:c r="D1754" s="2" t="str">
        <x:v>P.E. O VIEIRO</x:v>
      </x:c>
      <x:c r="E1754" s="4" t="n">
        <x:v>2.5349948979591836</x:v>
      </x:c>
      <x:c r="F1754" s="4" t="n">
        <x:f>J1754*1.03</x:f>
        <x:v>2.5363592346938773</x:v>
      </x:c>
      <x:c r="G1754" s="4" t="n">
        <x:v>9.35</x:v>
      </x:c>
      <x:c r="H1754" s="4" t="n">
        <x:v>69.55</x:v>
      </x:c>
      <x:c r="I1754" s="5" t="n">
        <x:f t="shared" si="27">F1754*1000*H1754</x:f>
        <x:v>176403.78477295916</x:v>
      </x:c>
      <x:c r="J1754" t="n">
        <x:v>2.462484693877551</x:v>
      </x:c>
    </x:row>
    <x:row r="1755">
      <x:c r="A1755" s="3" t="n">
        <x:v>2023</x:v>
      </x:c>
      <x:c r="B1755" s="2" t="str">
        <x:v>Enero</x:v>
      </x:c>
      <x:c r="C1755" s="2" t="str">
        <x:v>RE-100239-3</x:v>
      </x:c>
      <x:c r="D1755" s="2" t="str">
        <x:v>P.E. O VIEIRO</x:v>
      </x:c>
      <x:c r="E1755" s="4" t="n">
        <x:v>1.626734693877551</x:v>
      </x:c>
      <x:c r="F1755" s="4" t="n">
        <x:f>J1755*1.03</x:f>
        <x:v>1.6276102040816327</x:v>
      </x:c>
      <x:c r="G1755" s="4" t="n">
        <x:v>6</x:v>
      </x:c>
      <x:c r="H1755" s="4" t="n">
        <x:v>69.55</x:v>
      </x:c>
      <x:c r="I1755" s="5" t="n">
        <x:f t="shared" si="27">F1755*1000*H1755</x:f>
        <x:v>113200.28969387755</x:v>
      </x:c>
      <x:c r="J1755" t="n">
        <x:v>1.580204081632653</x:v>
      </x:c>
    </x:row>
    <x:row r="1756">
      <x:c r="A1756" s="3" t="n">
        <x:v>2023</x:v>
      </x:c>
      <x:c r="B1756" s="2" t="str">
        <x:v>Enero</x:v>
      </x:c>
      <x:c r="C1756" s="2" t="str">
        <x:v>RE-100239-4</x:v>
      </x:c>
      <x:c r="D1756" s="2" t="str">
        <x:v>P.E. O VIEIRO</x:v>
      </x:c>
      <x:c r="E1756" s="4" t="n">
        <x:v>1.1522704081632655</x:v>
      </x:c>
      <x:c r="F1756" s="4" t="n">
        <x:f>J1756*1.03</x:f>
        <x:v>1.1528905612244902</x:v>
      </x:c>
      <x:c r="G1756" s="4" t="n">
        <x:v>4.25</x:v>
      </x:c>
      <x:c r="H1756" s="4" t="n">
        <x:v>69.55</x:v>
      </x:c>
      <x:c r="I1756" s="5" t="n">
        <x:f t="shared" si="27">F1756*1000*H1756</x:f>
        <x:v>80183.5385331633</x:v>
      </x:c>
      <x:c r="J1756" t="n">
        <x:v>1.1193112244897963</x:v>
      </x:c>
    </x:row>
    <x:row r="1757">
      <x:c r="A1757" s="3" t="n">
        <x:v>2023</x:v>
      </x:c>
      <x:c r="B1757" s="2" t="str">
        <x:v>Febrero</x:v>
      </x:c>
      <x:c r="C1757" s="2" t="str">
        <x:v>RE-100239-2</x:v>
      </x:c>
      <x:c r="D1757" s="2" t="str">
        <x:v>P.E. O VIEIRO</x:v>
      </x:c>
      <x:c r="E1757" s="4" t="n">
        <x:v>2.154793367346939</x:v>
      </x:c>
      <x:c r="F1757" s="4" t="n">
        <x:f>J1757*0.99</x:f>
        <x:v>2.100186505102041</x:v>
      </x:c>
      <x:c r="G1757" s="4" t="n">
        <x:v>9.35</x:v>
      </x:c>
      <x:c r="H1757" s="4" t="n">
        <x:v>133.47</x:v>
      </x:c>
      <x:c r="I1757" s="5" t="n">
        <x:f t="shared" si="27">F1757*1000*H1757</x:f>
        <x:v>280311.8928359694</x:v>
      </x:c>
      <x:c r="J1757" t="n">
        <x:v>2.1214005102040816</x:v>
      </x:c>
    </x:row>
    <x:row r="1758">
      <x:c r="A1758" s="3" t="n">
        <x:v>2023</x:v>
      </x:c>
      <x:c r="B1758" s="2" t="str">
        <x:v>Febrero</x:v>
      </x:c>
      <x:c r="C1758" s="2" t="str">
        <x:v>RE-100239-3</x:v>
      </x:c>
      <x:c r="D1758" s="2" t="str">
        <x:v>P.E. O VIEIRO</x:v>
      </x:c>
      <x:c r="E1758" s="4" t="n">
        <x:v>1.3827551020408164</x:v>
      </x:c>
      <x:c r="F1758" s="4" t="n">
        <x:f>J1758*0.99</x:f>
        <x:v>1.3477132653061223</x:v>
      </x:c>
      <x:c r="G1758" s="4" t="n">
        <x:v>6</x:v>
      </x:c>
      <x:c r="H1758" s="4" t="n">
        <x:v>133.47</x:v>
      </x:c>
      <x:c r="I1758" s="5" t="n">
        <x:f t="shared" si="27">F1758*1000*H1758</x:f>
        <x:v>179879.28952040814</x:v>
      </x:c>
      <x:c r="J1758" t="n">
        <x:v>1.3613265306122448</x:v>
      </x:c>
    </x:row>
    <x:row r="1759">
      <x:c r="A1759" s="3" t="n">
        <x:v>2023</x:v>
      </x:c>
      <x:c r="B1759" s="2" t="str">
        <x:v>Febrero</x:v>
      </x:c>
      <x:c r="C1759" s="2" t="str">
        <x:v>RE-100239-4</x:v>
      </x:c>
      <x:c r="D1759" s="2" t="str">
        <x:v>P.E. O VIEIRO</x:v>
      </x:c>
      <x:c r="E1759" s="4" t="n">
        <x:v>0.9794515306122449</x:v>
      </x:c>
      <x:c r="F1759" s="4" t="n">
        <x:f>J1759*0.99</x:f>
        <x:v>0.9546302295918369</x:v>
      </x:c>
      <x:c r="G1759" s="4" t="n">
        <x:v>4.25</x:v>
      </x:c>
      <x:c r="H1759" s="4" t="n">
        <x:v>133.47</x:v>
      </x:c>
      <x:c r="I1759" s="5" t="n">
        <x:f t="shared" si="27">F1759*1000*H1759</x:f>
        <x:v>127414.49674362247</x:v>
      </x:c>
      <x:c r="J1759" t="n">
        <x:v>0.9642729591836736</x:v>
      </x:c>
    </x:row>
    <x:row r="1760">
      <x:c r="A1760" s="3" t="n">
        <x:v>2023</x:v>
      </x:c>
      <x:c r="B1760" s="2" t="str">
        <x:v>Marzo</x:v>
      </x:c>
      <x:c r="C1760" s="2" t="str">
        <x:v>RE-100239-2</x:v>
      </x:c>
      <x:c r="D1760" s="2" t="str">
        <x:v>P.E. O VIEIRO</x:v>
      </x:c>
      <x:c r="E1760" s="4" t="n">
        <x:v>2.205359693877551</x:v>
      </x:c>
      <x:c r="F1760" s="4" t="n">
        <x:f>J1760*0.95</x:f>
        <x:v>2.0402558673469384</x:v>
      </x:c>
      <x:c r="G1760" s="4" t="n">
        <x:v>9.35</x:v>
      </x:c>
      <x:c r="H1760" s="4" t="n">
        <x:v>89.61</x:v>
      </x:c>
      <x:c r="I1760" s="5" t="n">
        <x:f t="shared" si="27">F1760*1000*H1760</x:f>
        <x:v>182827.32827295916</x:v>
      </x:c>
      <x:c r="J1760" t="n">
        <x:v>2.1476377551020405</x:v>
      </x:c>
    </x:row>
    <x:row r="1761">
      <x:c r="A1761" s="3" t="n">
        <x:v>2023</x:v>
      </x:c>
      <x:c r="B1761" s="2" t="str">
        <x:v>Marzo</x:v>
      </x:c>
      <x:c r="C1761" s="2" t="str">
        <x:v>RE-100239-3</x:v>
      </x:c>
      <x:c r="D1761" s="2" t="str">
        <x:v>P.E. O VIEIRO</x:v>
      </x:c>
      <x:c r="E1761" s="4" t="n">
        <x:v>1.415204081632653</x:v>
      </x:c>
      <x:c r="F1761" s="4" t="n">
        <x:f>J1761*0.95</x:f>
        <x:v>1.3092551020408163</x:v>
      </x:c>
      <x:c r="G1761" s="4" t="n">
        <x:v>6</x:v>
      </x:c>
      <x:c r="H1761" s="4" t="n">
        <x:v>89.61</x:v>
      </x:c>
      <x:c r="I1761" s="5" t="n">
        <x:f t="shared" si="27">F1761*1000*H1761</x:f>
        <x:v>117322.34969387755</x:v>
      </x:c>
      <x:c r="J1761" t="n">
        <x:v>1.3781632653061224</x:v>
      </x:c>
    </x:row>
    <x:row r="1762">
      <x:c r="A1762" s="3" t="n">
        <x:v>2023</x:v>
      </x:c>
      <x:c r="B1762" s="2" t="str">
        <x:v>Marzo</x:v>
      </x:c>
      <x:c r="C1762" s="2" t="str">
        <x:v>RE-100239-4</x:v>
      </x:c>
      <x:c r="D1762" s="2" t="str">
        <x:v>P.E. O VIEIRO</x:v>
      </x:c>
      <x:c r="E1762" s="4" t="n">
        <x:v>1.002436224489796</x:v>
      </x:c>
      <x:c r="F1762" s="4" t="n">
        <x:f>J1762*0.95</x:f>
        <x:v>0.9273890306122452</x:v>
      </x:c>
      <x:c r="G1762" s="4" t="n">
        <x:v>4.25</x:v>
      </x:c>
      <x:c r="H1762" s="4" t="n">
        <x:v>89.61</x:v>
      </x:c>
      <x:c r="I1762" s="5" t="n">
        <x:f t="shared" si="27">F1762*1000*H1762</x:f>
        <x:v>83103.33103316328</x:v>
      </x:c>
      <x:c r="J1762" t="n">
        <x:v>0.9761989795918371</x:v>
      </x:c>
    </x:row>
    <x:row r="1763">
      <x:c r="A1763" s="3" t="n">
        <x:v>2023</x:v>
      </x:c>
      <x:c r="B1763" s="2" t="str">
        <x:v>Abril</x:v>
      </x:c>
      <x:c r="C1763" s="2" t="str">
        <x:v>RE-100239-2</x:v>
      </x:c>
      <x:c r="D1763" s="2" t="str">
        <x:v>P.E. O VIEIRO</x:v>
      </x:c>
      <x:c r="E1763" s="4" t="n">
        <x:v>1.6596250000000001</x:v>
      </x:c>
      <x:c r="F1763" s="4" t="n">
        <x:f>J1763*1.02</x:f>
        <x:v>1.6509714795918369</x:v>
      </x:c>
      <x:c r="G1763" s="4" t="n">
        <x:v>9.35</x:v>
      </x:c>
      <x:c r="H1763" s="4" t="n">
        <x:v>73.73</x:v>
      </x:c>
      <x:c r="I1763" s="5" t="n">
        <x:f t="shared" si="27">F1763*1000*H1763</x:f>
        <x:v>121726.12719030614</x:v>
      </x:c>
      <x:c r="J1763" t="n">
        <x:v>1.6185994897959184</x:v>
      </x:c>
    </x:row>
    <x:row r="1764">
      <x:c r="A1764" s="3" t="n">
        <x:v>2023</x:v>
      </x:c>
      <x:c r="B1764" s="2" t="str">
        <x:v>Abril</x:v>
      </x:c>
      <x:c r="C1764" s="2" t="str">
        <x:v>RE-100239-3</x:v>
      </x:c>
      <x:c r="D1764" s="2" t="str">
        <x:v>P.E. O VIEIRO</x:v>
      </x:c>
      <x:c r="E1764" s="4" t="n">
        <x:v>1.065</x:v>
      </x:c>
      <x:c r="F1764" s="4" t="n">
        <x:f>J1764*1.02</x:f>
        <x:v>1.05944693877551</x:v>
      </x:c>
      <x:c r="G1764" s="4" t="n">
        <x:v>6</x:v>
      </x:c>
      <x:c r="H1764" s="4" t="n">
        <x:v>73.73</x:v>
      </x:c>
      <x:c r="I1764" s="5" t="n">
        <x:f t="shared" si="27">F1764*1000*H1764</x:f>
        <x:v>78113.02279591835</x:v>
      </x:c>
      <x:c r="J1764" t="n">
        <x:v>1.038673469387755</x:v>
      </x:c>
    </x:row>
    <x:row r="1765">
      <x:c r="A1765" s="3" t="n">
        <x:v>2023</x:v>
      </x:c>
      <x:c r="B1765" s="2" t="str">
        <x:v>Abril</x:v>
      </x:c>
      <x:c r="C1765" s="2" t="str">
        <x:v>RE-100239-4</x:v>
      </x:c>
      <x:c r="D1765" s="2" t="str">
        <x:v>P.E. O VIEIRO</x:v>
      </x:c>
      <x:c r="E1765" s="4" t="n">
        <x:v>0.754375</x:v>
      </x:c>
      <x:c r="F1765" s="4" t="n">
        <x:f>J1765*1.02</x:f>
        <x:v>0.7504415816326526</x:v>
      </x:c>
      <x:c r="G1765" s="4" t="n">
        <x:v>4.25</x:v>
      </x:c>
      <x:c r="H1765" s="4" t="n">
        <x:v>73.73</x:v>
      </x:c>
      <x:c r="I1765" s="5" t="n">
        <x:f t="shared" si="27">F1765*1000*H1765</x:f>
        <x:v>55330.05781377548</x:v>
      </x:c>
      <x:c r="J1765" t="n">
        <x:v>0.7357270408163261</x:v>
      </x:c>
    </x:row>
    <x:row r="1766">
      <x:c r="A1766" s="3" t="n">
        <x:v>2023</x:v>
      </x:c>
      <x:c r="B1766" s="2" t="str">
        <x:v>Mayo</x:v>
      </x:c>
      <x:c r="C1766" s="2" t="str">
        <x:v>RE-100239-2</x:v>
      </x:c>
      <x:c r="D1766" s="2" t="str">
        <x:v>P.E. O VIEIRO</x:v>
      </x:c>
      <x:c r="E1766" s="4" t="n">
        <x:v>1.8957602040816328</x:v>
      </x:c>
      <x:c r="F1766" s="4" t="n">
        <x:f>J1766*0.98</x:f>
        <x:v>1.827925</x:v>
      </x:c>
      <x:c r="G1766" s="4" t="n">
        <x:v>9.35</x:v>
      </x:c>
      <x:c r="H1766" s="4" t="n">
        <x:v>74.21</x:v>
      </x:c>
      <x:c r="I1766" s="5" t="n">
        <x:f t="shared" si="27">F1766*1000*H1766</x:f>
        <x:v>135650.31425</x:v>
      </x:c>
      <x:c r="J1766" t="n">
        <x:v>1.8652295918367348</x:v>
      </x:c>
    </x:row>
    <x:row r="1767">
      <x:c r="A1767" s="3" t="n">
        <x:v>2023</x:v>
      </x:c>
      <x:c r="B1767" s="2" t="str">
        <x:v>Mayo</x:v>
      </x:c>
      <x:c r="C1767" s="2" t="str">
        <x:v>RE-100239-3</x:v>
      </x:c>
      <x:c r="D1767" s="2" t="str">
        <x:v>P.E. O VIEIRO</x:v>
      </x:c>
      <x:c r="E1767" s="4" t="n">
        <x:v>1.216530612244898</x:v>
      </x:c>
      <x:c r="F1767" s="4" t="n">
        <x:f>J1767*0.98</x:f>
        <x:v>1.173</x:v>
      </x:c>
      <x:c r="G1767" s="4" t="n">
        <x:v>6</x:v>
      </x:c>
      <x:c r="H1767" s="4" t="n">
        <x:v>74.21</x:v>
      </x:c>
      <x:c r="I1767" s="5" t="n">
        <x:f t="shared" si="27">F1767*1000*H1767</x:f>
        <x:v>87048.32999999999</x:v>
      </x:c>
      <x:c r="J1767" t="n">
        <x:v>1.1969387755102041</x:v>
      </x:c>
    </x:row>
    <x:row r="1768">
      <x:c r="A1768" s="3" t="n">
        <x:v>2023</x:v>
      </x:c>
      <x:c r="B1768" s="2" t="str">
        <x:v>Mayo</x:v>
      </x:c>
      <x:c r="C1768" s="2" t="str">
        <x:v>RE-100239-4</x:v>
      </x:c>
      <x:c r="D1768" s="2" t="str">
        <x:v>P.E. O VIEIRO</x:v>
      </x:c>
      <x:c r="E1768" s="4" t="n">
        <x:v>0.8617091836734696</x:v>
      </x:c>
      <x:c r="F1768" s="4" t="n">
        <x:f>J1768*0.98</x:f>
        <x:v>0.830875</x:v>
      </x:c>
      <x:c r="G1768" s="4" t="n">
        <x:v>4.25</x:v>
      </x:c>
      <x:c r="H1768" s="4" t="n">
        <x:v>74.21</x:v>
      </x:c>
      <x:c r="I1768" s="5" t="n">
        <x:f t="shared" si="27">F1768*1000*H1768</x:f>
        <x:v>61659.23374999999</x:v>
      </x:c>
      <x:c r="J1768" t="n">
        <x:v>0.8478316326530613</x:v>
      </x:c>
    </x:row>
    <x:row r="1769">
      <x:c r="A1769" s="3" t="n">
        <x:v>2023</x:v>
      </x:c>
      <x:c r="B1769" s="2" t="str">
        <x:v>Junio</x:v>
      </x:c>
      <x:c r="C1769" s="2" t="str">
        <x:v>RE-100239-2</x:v>
      </x:c>
      <x:c r="D1769" s="2" t="str">
        <x:v>P.E. O VIEIRO</x:v>
      </x:c>
      <x:c r="E1769" s="4" t="n">
        <x:v>1.5103112244897958</x:v>
      </x:c>
      <x:c r="F1769" s="4" t="n">
        <x:f>J1769*0.94</x:f>
        <x:v>1.3900969387755102</x:v>
      </x:c>
      <x:c r="G1769" s="4" t="n">
        <x:v>9.35</x:v>
      </x:c>
      <x:c r="H1769" s="4" t="n">
        <x:v>93.02</x:v>
      </x:c>
      <x:c r="I1769" s="5" t="n">
        <x:f t="shared" si="27">F1769*1000*H1769</x:f>
        <x:v>129306.81724489795</x:v>
      </x:c>
      <x:c r="J1769" t="n">
        <x:v>1.478826530612245</x:v>
      </x:c>
    </x:row>
    <x:row r="1770">
      <x:c r="A1770" s="3" t="n">
        <x:v>2023</x:v>
      </x:c>
      <x:c r="B1770" s="2" t="str">
        <x:v>Junio</x:v>
      </x:c>
      <x:c r="C1770" s="2" t="str">
        <x:v>RE-100239-3</x:v>
      </x:c>
      <x:c r="D1770" s="2" t="str">
        <x:v>P.E. O VIEIRO</x:v>
      </x:c>
      <x:c r="E1770" s="4" t="n">
        <x:v>0.9691836734693877</x:v>
      </x:c>
      <x:c r="F1770" s="4" t="n">
        <x:f>J1770*0.94</x:f>
        <x:v>0.8920408163265307</x:v>
      </x:c>
      <x:c r="G1770" s="4" t="n">
        <x:v>6</x:v>
      </x:c>
      <x:c r="H1770" s="4" t="n">
        <x:v>93.02</x:v>
      </x:c>
      <x:c r="I1770" s="5" t="n">
        <x:f t="shared" si="27">F1770*1000*H1770</x:f>
        <x:v>82977.63673469388</x:v>
      </x:c>
      <x:c r="J1770" t="n">
        <x:v>0.9489795918367347</x:v>
      </x:c>
    </x:row>
    <x:row r="1771">
      <x:c r="A1771" s="3" t="n">
        <x:v>2023</x:v>
      </x:c>
      <x:c r="B1771" s="2" t="str">
        <x:v>Junio</x:v>
      </x:c>
      <x:c r="C1771" s="2" t="str">
        <x:v>RE-100239-4</x:v>
      </x:c>
      <x:c r="D1771" s="2" t="str">
        <x:v>P.E. O VIEIRO</x:v>
      </x:c>
      <x:c r="E1771" s="4" t="n">
        <x:v>0.6865051020408166</x:v>
      </x:c>
      <x:c r="F1771" s="4" t="n">
        <x:f>J1771*0.94</x:f>
        <x:v>0.6318622448979591</x:v>
      </x:c>
      <x:c r="G1771" s="4" t="n">
        <x:v>4.25</x:v>
      </x:c>
      <x:c r="H1771" s="4" t="n">
        <x:v>93.02</x:v>
      </x:c>
      <x:c r="I1771" s="5" t="n">
        <x:f t="shared" si="27">F1771*1000*H1771</x:f>
        <x:v>58775.826020408145</x:v>
      </x:c>
      <x:c r="J1771" t="n">
        <x:v>0.6721938775510203</x:v>
      </x:c>
    </x:row>
    <x:row r="1772">
      <x:c r="A1772" s="3" t="n">
        <x:v>2023</x:v>
      </x:c>
      <x:c r="B1772" s="2" t="str">
        <x:v>Julio</x:v>
      </x:c>
      <x:c r="C1772" s="2" t="str">
        <x:v>RE-100239-2</x:v>
      </x:c>
      <x:c r="D1772" s="2" t="str">
        <x:v>P.E. O VIEIRO</x:v>
      </x:c>
      <x:c r="E1772" s="4" t="n">
        <x:v>1.4587908163265306</x:v>
      </x:c>
      <x:c r="F1772" s="4" t="n">
        <x:f>J1772*1.01</x:f>
        <x:v>1.4290520918367349</x:v>
      </x:c>
      <x:c r="G1772" s="4" t="n">
        <x:v>9.35</x:v>
      </x:c>
      <x:c r="H1772" s="4" t="n">
        <x:v>90.47</x:v>
      </x:c>
      <x:c r="I1772" s="5" t="n">
        <x:f t="shared" si="27">F1772*1000*H1772</x:f>
        <x:v>129286.34274846941</x:v>
      </x:c>
      <x:c r="J1772" t="n">
        <x:v>1.41490306122449</x:v>
      </x:c>
    </x:row>
    <x:row r="1773">
      <x:c r="A1773" s="3" t="n">
        <x:v>2023</x:v>
      </x:c>
      <x:c r="B1773" s="2" t="str">
        <x:v>Julio</x:v>
      </x:c>
      <x:c r="C1773" s="2" t="str">
        <x:v>RE-100239-3</x:v>
      </x:c>
      <x:c r="D1773" s="2" t="str">
        <x:v>P.E. O VIEIRO</x:v>
      </x:c>
      <x:c r="E1773" s="4" t="n">
        <x:v>0.9361224489795918</x:v>
      </x:c>
      <x:c r="F1773" s="4" t="n">
        <x:f>J1773*1.01</x:f>
        <x:v>0.9170387755102041</x:v>
      </x:c>
      <x:c r="G1773" s="4" t="n">
        <x:v>6</x:v>
      </x:c>
      <x:c r="H1773" s="4" t="n">
        <x:v>90.47</x:v>
      </x:c>
      <x:c r="I1773" s="5" t="n">
        <x:f t="shared" si="27">F1773*1000*H1773</x:f>
        <x:v>82964.49802040817</x:v>
      </x:c>
      <x:c r="J1773" t="n">
        <x:v>0.9079591836734694</x:v>
      </x:c>
    </x:row>
    <x:row r="1774">
      <x:c r="A1774" s="3" t="n">
        <x:v>2023</x:v>
      </x:c>
      <x:c r="B1774" s="2" t="str">
        <x:v>Julio</x:v>
      </x:c>
      <x:c r="C1774" s="2" t="str">
        <x:v>RE-100239-4</x:v>
      </x:c>
      <x:c r="D1774" s="2" t="str">
        <x:v>P.E. O VIEIRO</x:v>
      </x:c>
      <x:c r="E1774" s="4" t="n">
        <x:v>0.6630867346938771</x:v>
      </x:c>
      <x:c r="F1774" s="4" t="n">
        <x:f>J1774*1.01</x:f>
        <x:v>0.6495691326530612</x:v>
      </x:c>
      <x:c r="G1774" s="4" t="n">
        <x:v>4.25</x:v>
      </x:c>
      <x:c r="H1774" s="4" t="n">
        <x:v>90.47</x:v>
      </x:c>
      <x:c r="I1774" s="5" t="n">
        <x:f t="shared" si="27">F1774*1000*H1774</x:f>
        <x:v>58766.51943112244</x:v>
      </x:c>
      <x:c r="J1774" t="n">
        <x:v>0.6431377551020407</x:v>
      </x:c>
    </x:row>
    <x:row r="1775">
      <x:c r="A1775" s="3" t="n">
        <x:v>2023</x:v>
      </x:c>
      <x:c r="B1775" s="2" t="str">
        <x:v>Agosto</x:v>
      </x:c>
      <x:c r="C1775" s="2" t="str">
        <x:v>RE-100239-2</x:v>
      </x:c>
      <x:c r="D1775" s="2" t="str">
        <x:v>P.E. O VIEIRO</x:v>
      </x:c>
      <x:c r="E1775" s="4" t="n">
        <x:v>1.302798469387755</x:v>
      </x:c>
      <x:c r="F1775" s="4" t="n">
        <x:f>J1775*0.97</x:f>
        <x:v>1.2396525765306121</x:v>
      </x:c>
      <x:c r="G1775" s="4" t="n">
        <x:v>9.35</x:v>
      </x:c>
      <x:c r="H1775" s="4" t="n">
        <x:v>96.05</x:v>
      </x:c>
      <x:c r="I1775" s="5" t="n">
        <x:f t="shared" si="27">F1775*1000*H1775</x:f>
        <x:v>119068.62997576529</x:v>
      </x:c>
      <x:c r="J1775" t="n">
        <x:v>1.2779923469387755</x:v>
      </x:c>
    </x:row>
    <x:row r="1776">
      <x:c r="A1776" s="3" t="n">
        <x:v>2023</x:v>
      </x:c>
      <x:c r="B1776" s="2" t="str">
        <x:v>Agosto</x:v>
      </x:c>
      <x:c r="C1776" s="2" t="str">
        <x:v>RE-100239-3</x:v>
      </x:c>
      <x:c r="D1776" s="2" t="str">
        <x:v>P.E. O VIEIRO</x:v>
      </x:c>
      <x:c r="E1776" s="4" t="n">
        <x:v>0.8360204081632653</x:v>
      </x:c>
      <x:c r="F1776" s="4" t="n">
        <x:f>J1776*0.97</x:f>
        <x:v>0.7954989795918366</x:v>
      </x:c>
      <x:c r="G1776" s="4" t="n">
        <x:v>6</x:v>
      </x:c>
      <x:c r="H1776" s="4" t="n">
        <x:v>96.05</x:v>
      </x:c>
      <x:c r="I1776" s="5" t="n">
        <x:f t="shared" si="27">F1776*1000*H1776</x:f>
        <x:v>76407.6769897959</x:v>
      </x:c>
      <x:c r="J1776" t="n">
        <x:v>0.8201020408163264</x:v>
      </x:c>
    </x:row>
    <x:row r="1777">
      <x:c r="A1777" s="3" t="n">
        <x:v>2023</x:v>
      </x:c>
      <x:c r="B1777" s="2" t="str">
        <x:v>Agosto</x:v>
      </x:c>
      <x:c r="C1777" s="2" t="str">
        <x:v>RE-100239-4</x:v>
      </x:c>
      <x:c r="D1777" s="2" t="str">
        <x:v>P.E. O VIEIRO</x:v>
      </x:c>
      <x:c r="E1777" s="4" t="n">
        <x:v>0.5921811224489795</x:v>
      </x:c>
      <x:c r="F1777" s="4" t="n">
        <x:f>J1777*0.97</x:f>
        <x:v>0.563478443877551</x:v>
      </x:c>
      <x:c r="G1777" s="4" t="n">
        <x:v>4.25</x:v>
      </x:c>
      <x:c r="H1777" s="4" t="n">
        <x:v>96.05</x:v>
      </x:c>
      <x:c r="I1777" s="5" t="n">
        <x:f t="shared" si="27">F1777*1000*H1777</x:f>
        <x:v>54122.10453443877</x:v>
      </x:c>
      <x:c r="J1777" t="n">
        <x:v>0.5809056122448979</x:v>
      </x:c>
    </x:row>
    <x:row r="1778">
      <x:c r="A1778" s="3" t="n">
        <x:v>2023</x:v>
      </x:c>
      <x:c r="B1778" s="2" t="str">
        <x:v>Septiembre</x:v>
      </x:c>
      <x:c r="C1778" s="2" t="str">
        <x:v>RE-100239-2</x:v>
      </x:c>
      <x:c r="D1778" s="2" t="str">
        <x:v>P.E. O VIEIRO</x:v>
      </x:c>
      <x:c r="E1778" s="4" t="n">
        <x:v>1.6701198979591836</x:v>
      </x:c>
      <x:c r="F1778" s="4" t="n">
        <x:f>J1778*1.04</x:f>
        <x:v>1.6992193877551023</x:v>
      </x:c>
      <x:c r="G1778" s="4" t="n">
        <x:v>9.35</x:v>
      </x:c>
      <x:c r="H1778" s="4" t="n">
        <x:v>103.34</x:v>
      </x:c>
      <x:c r="I1778" s="5" t="n">
        <x:f t="shared" si="27">F1778*1000*H1778</x:f>
        <x:v>175597.33153061228</x:v>
      </x:c>
      <x:c r="J1778" t="n">
        <x:v>1.6338647959183674</x:v>
      </x:c>
    </x:row>
    <x:row r="1779">
      <x:c r="A1779" s="3" t="n">
        <x:v>2023</x:v>
      </x:c>
      <x:c r="B1779" s="2" t="str">
        <x:v>Septiembre</x:v>
      </x:c>
      <x:c r="C1779" s="2" t="str">
        <x:v>RE-100239-3</x:v>
      </x:c>
      <x:c r="D1779" s="2" t="str">
        <x:v>P.E. O VIEIRO</x:v>
      </x:c>
      <x:c r="E1779" s="4" t="n">
        <x:v>1.071734693877551</x:v>
      </x:c>
      <x:c r="F1779" s="4" t="n">
        <x:f>J1779*1.04</x:f>
        <x:v>1.0904081632653062</x:v>
      </x:c>
      <x:c r="G1779" s="4" t="n">
        <x:v>6</x:v>
      </x:c>
      <x:c r="H1779" s="4" t="n">
        <x:v>103.34</x:v>
      </x:c>
      <x:c r="I1779" s="5" t="n">
        <x:f t="shared" si="27">F1779*1000*H1779</x:f>
        <x:v>112682.77959183675</x:v>
      </x:c>
      <x:c r="J1779" t="n">
        <x:v>1.0484693877551021</x:v>
      </x:c>
    </x:row>
    <x:row r="1780">
      <x:c r="A1780" s="3" t="n">
        <x:v>2023</x:v>
      </x:c>
      <x:c r="B1780" s="2" t="str">
        <x:v>Septiembre</x:v>
      </x:c>
      <x:c r="C1780" s="2" t="str">
        <x:v>RE-100239-4</x:v>
      </x:c>
      <x:c r="D1780" s="2" t="str">
        <x:v>P.E. O VIEIRO</x:v>
      </x:c>
      <x:c r="E1780" s="4" t="n">
        <x:v>0.7591454081632656</x:v>
      </x:c>
      <x:c r="F1780" s="4" t="n">
        <x:f>J1780*1.04</x:f>
        <x:v>0.7723724489795918</x:v>
      </x:c>
      <x:c r="G1780" s="4" t="n">
        <x:v>4.25</x:v>
      </x:c>
      <x:c r="H1780" s="4" t="n">
        <x:v>103.34</x:v>
      </x:c>
      <x:c r="I1780" s="5" t="n">
        <x:f t="shared" si="27">F1780*1000*H1780</x:f>
        <x:v>79816.96887755101</x:v>
      </x:c>
      <x:c r="J1780" t="n">
        <x:v>0.7426658163265305</x:v>
      </x:c>
    </x:row>
    <x:row r="1781">
      <x:c r="A1781" s="3" t="n">
        <x:v>2023</x:v>
      </x:c>
      <x:c r="B1781" s="2" t="str">
        <x:v>Octubre</x:v>
      </x:c>
      <x:c r="C1781" s="2" t="str">
        <x:v>RE-100239-2</x:v>
      </x:c>
      <x:c r="D1781" s="2" t="str">
        <x:v>P.E. O VIEIRO</x:v>
      </x:c>
      <x:c r="E1781" s="4" t="n">
        <x:v>1.9167499999999997</x:v>
      </x:c>
      <x:c r="F1781" s="4" t="n">
        <x:f>J1781*1</x:f>
        <x:v>1.867137755102041</x:v>
      </x:c>
      <x:c r="G1781" s="4" t="n">
        <x:v>9.35</x:v>
      </x:c>
      <x:c r="H1781" s="4" t="n">
        <x:v>90.14</x:v>
      </x:c>
      <x:c r="I1781" s="5" t="n">
        <x:f t="shared" si="27">F1781*1000*H1781</x:f>
        <x:v>168303.79724489799</x:v>
      </x:c>
      <x:c r="J1781" t="n">
        <x:v>1.867137755102041</x:v>
      </x:c>
    </x:row>
    <x:row r="1782">
      <x:c r="A1782" s="3" t="n">
        <x:v>2023</x:v>
      </x:c>
      <x:c r="B1782" s="2" t="str">
        <x:v>Octubre</x:v>
      </x:c>
      <x:c r="C1782" s="2" t="str">
        <x:v>RE-100239-3</x:v>
      </x:c>
      <x:c r="D1782" s="2" t="str">
        <x:v>P.E. O VIEIRO</x:v>
      </x:c>
      <x:c r="E1782" s="4" t="n">
        <x:v>1.23</x:v>
      </x:c>
      <x:c r="F1782" s="4" t="n">
        <x:f>J1782*1</x:f>
        <x:v>1.1981632653061225</x:v>
      </x:c>
      <x:c r="G1782" s="4" t="n">
        <x:v>6</x:v>
      </x:c>
      <x:c r="H1782" s="4" t="n">
        <x:v>90.14</x:v>
      </x:c>
      <x:c r="I1782" s="5" t="n">
        <x:f t="shared" si="27">F1782*1000*H1782</x:f>
        <x:v>108002.43673469388</x:v>
      </x:c>
      <x:c r="J1782" t="n">
        <x:v>1.1981632653061225</x:v>
      </x:c>
    </x:row>
    <x:row r="1783">
      <x:c r="A1783" s="3" t="n">
        <x:v>2023</x:v>
      </x:c>
      <x:c r="B1783" s="2" t="str">
        <x:v>Octubre</x:v>
      </x:c>
      <x:c r="C1783" s="2" t="str">
        <x:v>RE-100239-4</x:v>
      </x:c>
      <x:c r="D1783" s="2" t="str">
        <x:v>P.E. O VIEIRO</x:v>
      </x:c>
      <x:c r="E1783" s="4" t="n">
        <x:v>0.8712499999999999</x:v>
      </x:c>
      <x:c r="F1783" s="4" t="n">
        <x:f>J1783*1</x:f>
        <x:v>0.8486989795918367</x:v>
      </x:c>
      <x:c r="G1783" s="4" t="n">
        <x:v>4.25</x:v>
      </x:c>
      <x:c r="H1783" s="4" t="n">
        <x:v>90.14</x:v>
      </x:c>
      <x:c r="I1783" s="5" t="n">
        <x:f t="shared" si="27">F1783*1000*H1783</x:f>
        <x:v>76501.72602040817</x:v>
      </x:c>
      <x:c r="J1783" t="n">
        <x:v>0.8486989795918367</x:v>
      </x:c>
    </x:row>
    <x:row r="1784">
      <x:c r="A1784" s="3" t="n">
        <x:v>2023</x:v>
      </x:c>
      <x:c r="B1784" s="2" t="str">
        <x:v>Noviembre</x:v>
      </x:c>
      <x:c r="C1784" s="2" t="str">
        <x:v>RE-100239-2</x:v>
      </x:c>
      <x:c r="D1784" s="2" t="str">
        <x:v>P.E. O VIEIRO</x:v>
      </x:c>
      <x:c r="E1784" s="4" t="n">
        <x:v>2.196772959183674</x:v>
      </x:c>
      <x:c r="F1784" s="4" t="n">
        <x:f>J1784*0.96</x:f>
        <x:v>2.0507412244897956</x:v>
      </x:c>
      <x:c r="G1784" s="4" t="n">
        <x:v>9.35</x:v>
      </x:c>
      <x:c r="H1784" s="4" t="n">
        <x:v>63.45</x:v>
      </x:c>
      <x:c r="I1784" s="5" t="n">
        <x:f t="shared" si="27">F1784*1000*H1784</x:f>
        <x:v>130119.53069387753</x:v>
      </x:c>
      <x:c r="J1784" t="n">
        <x:v>2.136188775510204</x:v>
      </x:c>
    </x:row>
    <x:row r="1785">
      <x:c r="A1785" s="3" t="n">
        <x:v>2023</x:v>
      </x:c>
      <x:c r="B1785" s="2" t="str">
        <x:v>Noviembre</x:v>
      </x:c>
      <x:c r="C1785" s="2" t="str">
        <x:v>RE-100239-3</x:v>
      </x:c>
      <x:c r="D1785" s="2" t="str">
        <x:v>P.E. O VIEIRO</x:v>
      </x:c>
      <x:c r="E1785" s="4" t="n">
        <x:v>1.4096938775510206</x:v>
      </x:c>
      <x:c r="F1785" s="4" t="n">
        <x:f>J1785*0.96</x:f>
        <x:v>1.3159836734693877</x:v>
      </x:c>
      <x:c r="G1785" s="4" t="n">
        <x:v>6</x:v>
      </x:c>
      <x:c r="H1785" s="4" t="n">
        <x:v>63.45</x:v>
      </x:c>
      <x:c r="I1785" s="5" t="n">
        <x:f t="shared" si="27">F1785*1000*H1785</x:f>
        <x:v>83499.16408163265</x:v>
      </x:c>
      <x:c r="J1785" t="n">
        <x:v>1.3708163265306121</x:v>
      </x:c>
    </x:row>
    <x:row r="1786">
      <x:c r="A1786" s="3" t="n">
        <x:v>2023</x:v>
      </x:c>
      <x:c r="B1786" s="2" t="str">
        <x:v>Noviembre</x:v>
      </x:c>
      <x:c r="C1786" s="2" t="str">
        <x:v>RE-100239-4</x:v>
      </x:c>
      <x:c r="D1786" s="2" t="str">
        <x:v>P.E. O VIEIRO</x:v>
      </x:c>
      <x:c r="E1786" s="4" t="n">
        <x:v>0.9985331632653058</x:v>
      </x:c>
      <x:c r="F1786" s="4" t="n">
        <x:f>J1786*0.96</x:f>
        <x:v>0.9321551020408162</x:v>
      </x:c>
      <x:c r="G1786" s="4" t="n">
        <x:v>4.25</x:v>
      </x:c>
      <x:c r="H1786" s="4" t="n">
        <x:v>63.45</x:v>
      </x:c>
      <x:c r="I1786" s="5" t="n">
        <x:f t="shared" si="27">F1786*1000*H1786</x:f>
        <x:v>59145.24122448979</x:v>
      </x:c>
      <x:c r="J1786" t="n">
        <x:v>0.9709948979591836</x:v>
      </x:c>
    </x:row>
    <x:row r="1787">
      <x:c r="A1787" s="3" t="n">
        <x:v>2023</x:v>
      </x:c>
      <x:c r="B1787" s="2" t="str">
        <x:v>Diciembre</x:v>
      </x:c>
      <x:c r="C1787" s="2" t="str">
        <x:v>RE-100239-2</x:v>
      </x:c>
      <x:c r="D1787" s="2" t="str">
        <x:v>P.E. O VIEIRO</x:v>
      </x:c>
      <x:c r="E1787" s="4" t="n">
        <x:v>2.6194311224489795</x:v>
      </x:c>
      <x:c r="F1787" s="4" t="n">
        <x:f>J1787*1.03</x:f>
        <x:v>2.639543163265306</x:v>
      </x:c>
      <x:c r="G1787" s="4" t="n">
        <x:v>9.35</x:v>
      </x:c>
      <x:c r="H1787" s="4" t="n">
        <x:v>72.17</x:v>
      </x:c>
      <x:c r="I1787" s="5" t="n">
        <x:f t="shared" si="27">F1787*1000*H1787</x:f>
        <x:v>190495.83009285713</x:v>
      </x:c>
      <x:c r="J1787" t="n">
        <x:v>2.562663265306122</x:v>
      </x:c>
    </x:row>
    <x:row r="1788">
      <x:c r="A1788" s="3" t="n">
        <x:v>2023</x:v>
      </x:c>
      <x:c r="B1788" s="2" t="str">
        <x:v>Diciembre</x:v>
      </x:c>
      <x:c r="C1788" s="2" t="str">
        <x:v>RE-100239-3</x:v>
      </x:c>
      <x:c r="D1788" s="2" t="str">
        <x:v>P.E. O VIEIRO</x:v>
      </x:c>
      <x:c r="E1788" s="4" t="n">
        <x:v>1.6809183673469388</x:v>
      </x:c>
      <x:c r="F1788" s="4" t="n">
        <x:f>J1788*1.03</x:f>
        <x:v>1.6938244897959183</x:v>
      </x:c>
      <x:c r="G1788" s="4" t="n">
        <x:v>6</x:v>
      </x:c>
      <x:c r="H1788" s="4" t="n">
        <x:v>72.17</x:v>
      </x:c>
      <x:c r="I1788" s="5" t="n">
        <x:f t="shared" si="27">F1788*1000*H1788</x:f>
        <x:v>122243.31342857142</x:v>
      </x:c>
      <x:c r="J1788" t="n">
        <x:v>1.6444897959183673</x:v>
      </x:c>
    </x:row>
    <x:row r="1789">
      <x:c r="A1789" s="3" t="n">
        <x:v>2023</x:v>
      </x:c>
      <x:c r="B1789" s="2" t="str">
        <x:v>Diciembre</x:v>
      </x:c>
      <x:c r="C1789" s="2" t="str">
        <x:v>RE-100239-4</x:v>
      </x:c>
      <x:c r="D1789" s="2" t="str">
        <x:v>P.E. O VIEIRO</x:v>
      </x:c>
      <x:c r="E1789" s="4" t="n">
        <x:v>1.1906505102040814</x:v>
      </x:c>
      <x:c r="F1789" s="4" t="n">
        <x:f>J1789*1.03</x:f>
        <x:v>1.199792346938776</x:v>
      </x:c>
      <x:c r="G1789" s="4" t="n">
        <x:v>4.25</x:v>
      </x:c>
      <x:c r="H1789" s="4" t="n">
        <x:v>72.17</x:v>
      </x:c>
      <x:c r="I1789" s="5" t="n">
        <x:f t="shared" si="27">F1789*1000*H1789</x:f>
        <x:v>86589.01367857146</x:v>
      </x:c>
      <x:c r="J1789" t="n">
        <x:v>1.1648469387755105</x:v>
      </x:c>
    </x:row>
    <x:row r="1790">
      <x:c r="A1790" s="3" t="n">
        <x:v>2023</x:v>
      </x:c>
      <x:c r="B1790" s="2" t="str">
        <x:v>Enero</x:v>
      </x:c>
      <x:c r="C1790" s="2" t="str">
        <x:v>RE-100354-2</x:v>
      </x:c>
      <x:c r="D1790" s="2" t="str">
        <x:v>PARQUE EOLICO COVA DA SERPE</x:v>
      </x:c>
      <x:c r="E1790" s="4" t="n">
        <x:v>6.462</x:v>
      </x:c>
      <x:c r="F1790" s="4" t="n">
        <x:f>J1790*0.99</x:f>
        <x:v>6.24096</x:v>
      </x:c>
      <x:c r="G1790" s="4" t="n">
        <x:v>24</x:v>
      </x:c>
      <x:c r="H1790" s="4" t="n">
        <x:v>69.55</x:v>
      </x:c>
      <x:c r="I1790" s="5" t="n">
        <x:f t="shared" si="27">F1790*1000*H1790</x:f>
        <x:v>434058.768</x:v>
      </x:c>
      <x:c r="J1790" t="n">
        <x:v>6.304</x:v>
      </x:c>
    </x:row>
    <x:row r="1791">
      <x:c r="A1791" s="3" t="n">
        <x:v>2023</x:v>
      </x:c>
      <x:c r="B1791" s="2" t="str">
        <x:v>Febrero</x:v>
      </x:c>
      <x:c r="C1791" s="2" t="str">
        <x:v>RE-100354-2</x:v>
      </x:c>
      <x:c r="D1791" s="2" t="str">
        <x:v>PARQUE EOLICO COVA DA SERPE</x:v>
      </x:c>
      <x:c r="E1791" s="4" t="n">
        <x:v>5.392</x:v>
      </x:c>
      <x:c r="F1791" s="4" t="n">
        <x:f>J1791*0.95</x:f>
        <x:v>4.963749999999999</x:v>
      </x:c>
      <x:c r="G1791" s="4" t="n">
        <x:v>24</x:v>
      </x:c>
      <x:c r="H1791" s="4" t="n">
        <x:v>133.47</x:v>
      </x:c>
      <x:c r="I1791" s="5" t="n">
        <x:f t="shared" si="27">F1791*1000*H1791</x:f>
        <x:v>662511.7124999999</x:v>
      </x:c>
      <x:c r="J1791" t="n">
        <x:v>5.225</x:v>
      </x:c>
    </x:row>
    <x:row r="1792">
      <x:c r="A1792" s="3" t="n">
        <x:v>2023</x:v>
      </x:c>
      <x:c r="B1792" s="2" t="str">
        <x:v>Marzo</x:v>
      </x:c>
      <x:c r="C1792" s="2" t="str">
        <x:v>RE-100354-2</x:v>
      </x:c>
      <x:c r="D1792" s="2" t="str">
        <x:v>PARQUE EOLICO COVA DA SERPE</x:v>
      </x:c>
      <x:c r="E1792" s="4" t="n">
        <x:v>6.089</x:v>
      </x:c>
      <x:c r="F1792" s="4" t="n">
        <x:f>J1792*1.02</x:f>
        <x:v>6.05676</x:v>
      </x:c>
      <x:c r="G1792" s="4" t="n">
        <x:v>24</x:v>
      </x:c>
      <x:c r="H1792" s="4" t="n">
        <x:v>89.61</x:v>
      </x:c>
      <x:c r="I1792" s="5" t="n">
        <x:f t="shared" si="27">F1792*1000*H1792</x:f>
        <x:v>542746.2636</x:v>
      </x:c>
      <x:c r="J1792" t="n">
        <x:v>5.938</x:v>
      </x:c>
    </x:row>
    <x:row r="1793">
      <x:c r="A1793" s="3" t="n">
        <x:v>2023</x:v>
      </x:c>
      <x:c r="B1793" s="2" t="str">
        <x:v>Abril</x:v>
      </x:c>
      <x:c r="C1793" s="2" t="str">
        <x:v>RE-100354-2</x:v>
      </x:c>
      <x:c r="D1793" s="2" t="str">
        <x:v>PARQUE EOLICO COVA DA SERPE</x:v>
      </x:c>
      <x:c r="E1793" s="4" t="n">
        <x:v>4.411</x:v>
      </x:c>
      <x:c r="F1793" s="4" t="n">
        <x:f>J1793*0.98</x:f>
        <x:v>4.208119999999999</x:v>
      </x:c>
      <x:c r="G1793" s="4" t="n">
        <x:v>24</x:v>
      </x:c>
      <x:c r="H1793" s="4" t="n">
        <x:v>73.73</x:v>
      </x:c>
      <x:c r="I1793" s="5" t="n">
        <x:f t="shared" si="27">F1793*1000*H1793</x:f>
        <x:v>310264.68759999995</x:v>
      </x:c>
      <x:c r="J1793" t="n">
        <x:v>4.294</x:v>
      </x:c>
    </x:row>
    <x:row r="1794">
      <x:c r="A1794" s="3" t="n">
        <x:v>2023</x:v>
      </x:c>
      <x:c r="B1794" s="2" t="str">
        <x:v>Mayo</x:v>
      </x:c>
      <x:c r="C1794" s="2" t="str">
        <x:v>RE-100354-2</x:v>
      </x:c>
      <x:c r="D1794" s="2" t="str">
        <x:v>PARQUE EOLICO COVA DA SERPE</x:v>
      </x:c>
      <x:c r="E1794" s="4" t="n">
        <x:v>3.982</x:v>
      </x:c>
      <x:c r="F1794" s="4" t="n">
        <x:f>J1794*0.94</x:f>
        <x:v>3.6274599999999997</x:v>
      </x:c>
      <x:c r="G1794" s="4" t="n">
        <x:v>24</x:v>
      </x:c>
      <x:c r="H1794" s="4" t="n">
        <x:v>74.21</x:v>
      </x:c>
      <x:c r="I1794" s="5" t="n">
        <x:f t="shared" ref="I1794:I1857" si="28">F1794*1000*H1794</x:f>
        <x:v>269193.80659999995</x:v>
      </x:c>
      <x:c r="J1794" t="n">
        <x:v>3.859</x:v>
      </x:c>
    </x:row>
    <x:row r="1795">
      <x:c r="A1795" s="3" t="n">
        <x:v>2023</x:v>
      </x:c>
      <x:c r="B1795" s="2" t="str">
        <x:v>Junio</x:v>
      </x:c>
      <x:c r="C1795" s="2" t="str">
        <x:v>RE-100354-2</x:v>
      </x:c>
      <x:c r="D1795" s="2" t="str">
        <x:v>PARQUE EOLICO COVA DA SERPE</x:v>
      </x:c>
      <x:c r="E1795" s="4" t="n">
        <x:v>3.732</x:v>
      </x:c>
      <x:c r="F1795" s="4" t="n">
        <x:f>J1795*1.01</x:f>
        <x:v>3.69862</x:v>
      </x:c>
      <x:c r="G1795" s="4" t="n">
        <x:v>24</x:v>
      </x:c>
      <x:c r="H1795" s="4" t="n">
        <x:v>93.02</x:v>
      </x:c>
      <x:c r="I1795" s="5" t="n">
        <x:f t="shared" si="28">F1795*1000*H1795</x:f>
        <x:v>344045.6324</x:v>
      </x:c>
      <x:c r="J1795" t="n">
        <x:v>3.662</x:v>
      </x:c>
    </x:row>
    <x:row r="1796">
      <x:c r="A1796" s="3" t="n">
        <x:v>2023</x:v>
      </x:c>
      <x:c r="B1796" s="2" t="str">
        <x:v>Julio</x:v>
      </x:c>
      <x:c r="C1796" s="2" t="str">
        <x:v>RE-100354-2</x:v>
      </x:c>
      <x:c r="D1796" s="2" t="str">
        <x:v>PARQUE EOLICO COVA DA SERPE</x:v>
      </x:c>
      <x:c r="E1796" s="4" t="n">
        <x:v>3.786</x:v>
      </x:c>
      <x:c r="F1796" s="4" t="n">
        <x:f>J1796*0.97</x:f>
        <x:v>3.57251</x:v>
      </x:c>
      <x:c r="G1796" s="4" t="n">
        <x:v>24</x:v>
      </x:c>
      <x:c r="H1796" s="4" t="n">
        <x:v>90.47</x:v>
      </x:c>
      <x:c r="I1796" s="5" t="n">
        <x:f t="shared" si="28">F1796*1000*H1796</x:f>
        <x:v>323204.97969999997</x:v>
      </x:c>
      <x:c r="J1796" t="n">
        <x:v>3.683</x:v>
      </x:c>
    </x:row>
    <x:row r="1797">
      <x:c r="A1797" s="3" t="n">
        <x:v>2023</x:v>
      </x:c>
      <x:c r="B1797" s="2" t="str">
        <x:v>Agosto</x:v>
      </x:c>
      <x:c r="C1797" s="2" t="str">
        <x:v>RE-100354-2</x:v>
      </x:c>
      <x:c r="D1797" s="2" t="str">
        <x:v>PARQUE EOLICO COVA DA SERPE</x:v>
      </x:c>
      <x:c r="E1797" s="4" t="n">
        <x:v>3.563</x:v>
      </x:c>
      <x:c r="F1797" s="4" t="n">
        <x:f>J1797*1.04</x:f>
        <x:v>3.5890400000000002</x:v>
      </x:c>
      <x:c r="G1797" s="4" t="n">
        <x:v>24</x:v>
      </x:c>
      <x:c r="H1797" s="4" t="n">
        <x:v>96.05</x:v>
      </x:c>
      <x:c r="I1797" s="5" t="n">
        <x:f t="shared" si="28">F1797*1000*H1797</x:f>
        <x:v>344727.292</x:v>
      </x:c>
      <x:c r="J1797" t="n">
        <x:v>3.451</x:v>
      </x:c>
    </x:row>
    <x:row r="1798">
      <x:c r="A1798" s="3" t="n">
        <x:v>2023</x:v>
      </x:c>
      <x:c r="B1798" s="2" t="str">
        <x:v>Septiembre</x:v>
      </x:c>
      <x:c r="C1798" s="2" t="str">
        <x:v>RE-100354-2</x:v>
      </x:c>
      <x:c r="D1798" s="2" t="str">
        <x:v>PARQUE EOLICO COVA DA SERPE</x:v>
      </x:c>
      <x:c r="E1798" s="4" t="n">
        <x:v>4.397</x:v>
      </x:c>
      <x:c r="F1798" s="4" t="n">
        <x:f>J1798*1</x:f>
        <x:v>4.258</x:v>
      </x:c>
      <x:c r="G1798" s="4" t="n">
        <x:v>24</x:v>
      </x:c>
      <x:c r="H1798" s="4" t="n">
        <x:v>103.34</x:v>
      </x:c>
      <x:c r="I1798" s="5" t="n">
        <x:f t="shared" si="28">F1798*1000*H1798</x:f>
        <x:v>440021.72000000003</x:v>
      </x:c>
      <x:c r="J1798" t="n">
        <x:v>4.258</x:v>
      </x:c>
    </x:row>
    <x:row r="1799">
      <x:c r="A1799" s="3" t="n">
        <x:v>2023</x:v>
      </x:c>
      <x:c r="B1799" s="2" t="str">
        <x:v>Octubre</x:v>
      </x:c>
      <x:c r="C1799" s="2" t="str">
        <x:v>RE-100354-2</x:v>
      </x:c>
      <x:c r="D1799" s="2" t="str">
        <x:v>PARQUE EOLICO COVA DA SERPE</x:v>
      </x:c>
      <x:c r="E1799" s="4" t="n">
        <x:v>5.409</x:v>
      </x:c>
      <x:c r="F1799" s="4" t="n">
        <x:f>J1799*0.96</x:f>
        <x:v>5.02848</x:v>
      </x:c>
      <x:c r="G1799" s="4" t="n">
        <x:v>24</x:v>
      </x:c>
      <x:c r="H1799" s="4" t="n">
        <x:v>90.14</x:v>
      </x:c>
      <x:c r="I1799" s="5" t="n">
        <x:f t="shared" si="28">F1799*1000*H1799</x:f>
        <x:v>453267.18720000004</x:v>
      </x:c>
      <x:c r="J1799" t="n">
        <x:v>5.238</x:v>
      </x:c>
    </x:row>
    <x:row r="1800">
      <x:c r="A1800" s="3" t="n">
        <x:v>2023</x:v>
      </x:c>
      <x:c r="B1800" s="2" t="str">
        <x:v>Noviembre</x:v>
      </x:c>
      <x:c r="C1800" s="2" t="str">
        <x:v>RE-100354-2</x:v>
      </x:c>
      <x:c r="D1800" s="2" t="str">
        <x:v>PARQUE EOLICO COVA DA SERPE</x:v>
      </x:c>
      <x:c r="E1800" s="4" t="n">
        <x:v>6.766</x:v>
      </x:c>
      <x:c r="F1800" s="4" t="n">
        <x:f>J1800*1.03</x:f>
        <x:v>6.80624</x:v>
      </x:c>
      <x:c r="G1800" s="4" t="n">
        <x:v>24</x:v>
      </x:c>
      <x:c r="H1800" s="4" t="n">
        <x:v>63.45</x:v>
      </x:c>
      <x:c r="I1800" s="5" t="n">
        <x:f t="shared" si="28">F1800*1000*H1800</x:f>
        <x:v>431855.928</x:v>
      </x:c>
      <x:c r="J1800" t="n">
        <x:v>6.608</x:v>
      </x:c>
    </x:row>
    <x:row r="1801">
      <x:c r="A1801" s="3" t="n">
        <x:v>2023</x:v>
      </x:c>
      <x:c r="B1801" s="2" t="str">
        <x:v>Diciembre</x:v>
      </x:c>
      <x:c r="C1801" s="2" t="str">
        <x:v>RE-100354-2</x:v>
      </x:c>
      <x:c r="D1801" s="2" t="str">
        <x:v>PARQUE EOLICO COVA DA SERPE</x:v>
      </x:c>
      <x:c r="E1801" s="4" t="n">
        <x:v>6.052</x:v>
      </x:c>
      <x:c r="F1801" s="4" t="n">
        <x:f>J1801*0.99</x:f>
        <x:v>5.86278</x:v>
      </x:c>
      <x:c r="G1801" s="4" t="n">
        <x:v>24</x:v>
      </x:c>
      <x:c r="H1801" s="4" t="n">
        <x:v>72.17</x:v>
      </x:c>
      <x:c r="I1801" s="5" t="n">
        <x:f t="shared" si="28">F1801*1000*H1801</x:f>
        <x:v>423116.83259999997</x:v>
      </x:c>
      <x:c r="J1801" t="n">
        <x:v>5.922</x:v>
      </x:c>
    </x:row>
    <x:row r="1802">
      <x:c r="A1802" s="3" t="n">
        <x:v>2023</x:v>
      </x:c>
      <x:c r="B1802" s="2" t="str">
        <x:v>Enero</x:v>
      </x:c>
      <x:c r="C1802" s="2" t="str">
        <x:v>RE-100551-2</x:v>
      </x:c>
      <x:c r="D1802" s="2" t="str">
        <x:v>P.E. MONTE ARCA FASE I-MODIFICADO</x:v>
      </x:c>
      <x:c r="E1802" s="4" t="n">
        <x:v>1.804</x:v>
      </x:c>
      <x:c r="F1802" s="4" t="n">
        <x:f>J1802*0.95</x:f>
        <x:v>1.6663</x:v>
      </x:c>
      <x:c r="G1802" s="4" t="n">
        <x:v>6</x:v>
      </x:c>
      <x:c r="H1802" s="4" t="n">
        <x:v>69.55</x:v>
      </x:c>
      <x:c r="I1802" s="5" t="n">
        <x:f t="shared" si="28">F1802*1000*H1802</x:f>
        <x:v>115891.165</x:v>
      </x:c>
      <x:c r="J1802" t="n">
        <x:v>1.754</x:v>
      </x:c>
    </x:row>
    <x:row r="1803">
      <x:c r="A1803" s="3" t="n">
        <x:v>2023</x:v>
      </x:c>
      <x:c r="B1803" s="2" t="str">
        <x:v>Febrero</x:v>
      </x:c>
      <x:c r="C1803" s="2" t="str">
        <x:v>RE-100551-2</x:v>
      </x:c>
      <x:c r="D1803" s="2" t="str">
        <x:v>P.E. MONTE ARCA FASE I-MODIFICADO</x:v>
      </x:c>
      <x:c r="E1803" s="4" t="n">
        <x:v>1.21</x:v>
      </x:c>
      <x:c r="F1803" s="4" t="n">
        <x:f>J1803*1.02</x:f>
        <x:v>1.19442</x:v>
      </x:c>
      <x:c r="G1803" s="4" t="n">
        <x:v>6</x:v>
      </x:c>
      <x:c r="H1803" s="4" t="n">
        <x:v>133.47</x:v>
      </x:c>
      <x:c r="I1803" s="5" t="n">
        <x:f t="shared" si="28">F1803*1000*H1803</x:f>
        <x:v>159419.2374</x:v>
      </x:c>
      <x:c r="J1803" t="n">
        <x:v>1.171</x:v>
      </x:c>
    </x:row>
    <x:row r="1804">
      <x:c r="A1804" s="3" t="n">
        <x:v>2023</x:v>
      </x:c>
      <x:c r="B1804" s="2" t="str">
        <x:v>Marzo</x:v>
      </x:c>
      <x:c r="C1804" s="2" t="str">
        <x:v>RE-100551-2</x:v>
      </x:c>
      <x:c r="D1804" s="2" t="str">
        <x:v>P.E. MONTE ARCA FASE I-MODIFICADO</x:v>
      </x:c>
      <x:c r="E1804" s="4" t="n">
        <x:v>1.379</x:v>
      </x:c>
      <x:c r="F1804" s="4" t="n">
        <x:f>J1804*0.98</x:f>
        <x:v>1.30928</x:v>
      </x:c>
      <x:c r="G1804" s="4" t="n">
        <x:v>6</x:v>
      </x:c>
      <x:c r="H1804" s="4" t="n">
        <x:v>89.61</x:v>
      </x:c>
      <x:c r="I1804" s="5" t="n">
        <x:f t="shared" si="28">F1804*1000*H1804</x:f>
        <x:v>117324.5808</x:v>
      </x:c>
      <x:c r="J1804" t="n">
        <x:v>1.336</x:v>
      </x:c>
    </x:row>
    <x:row r="1805">
      <x:c r="A1805" s="3" t="n">
        <x:v>2023</x:v>
      </x:c>
      <x:c r="B1805" s="2" t="str">
        <x:v>Abril</x:v>
      </x:c>
      <x:c r="C1805" s="2" t="str">
        <x:v>RE-100551-2</x:v>
      </x:c>
      <x:c r="D1805" s="2" t="str">
        <x:v>P.E. MONTE ARCA FASE I-MODIFICADO</x:v>
      </x:c>
      <x:c r="E1805" s="4" t="n">
        <x:v>1.169</x:v>
      </x:c>
      <x:c r="F1805" s="4" t="n">
        <x:f>J1805*0.94</x:f>
        <x:v>1.0669</x:v>
      </x:c>
      <x:c r="G1805" s="4" t="n">
        <x:v>6</x:v>
      </x:c>
      <x:c r="H1805" s="4" t="n">
        <x:v>73.73</x:v>
      </x:c>
      <x:c r="I1805" s="5" t="n">
        <x:f t="shared" si="28">F1805*1000*H1805</x:f>
        <x:v>78662.537</x:v>
      </x:c>
      <x:c r="J1805" t="n">
        <x:v>1.135</x:v>
      </x:c>
    </x:row>
    <x:row r="1806">
      <x:c r="A1806" s="3" t="n">
        <x:v>2023</x:v>
      </x:c>
      <x:c r="B1806" s="2" t="str">
        <x:v>Mayo</x:v>
      </x:c>
      <x:c r="C1806" s="2" t="str">
        <x:v>RE-100551-2</x:v>
      </x:c>
      <x:c r="D1806" s="2" t="str">
        <x:v>P.E. MONTE ARCA FASE I-MODIFICADO</x:v>
      </x:c>
      <x:c r="E1806" s="4" t="n">
        <x:v>1.076</x:v>
      </x:c>
      <x:c r="F1806" s="4" t="n">
        <x:f>J1806*1.01</x:f>
        <x:v>1.05646</x:v>
      </x:c>
      <x:c r="G1806" s="4" t="n">
        <x:v>6</x:v>
      </x:c>
      <x:c r="H1806" s="4" t="n">
        <x:v>74.21</x:v>
      </x:c>
      <x:c r="I1806" s="5" t="n">
        <x:f t="shared" si="28">F1806*1000*H1806</x:f>
        <x:v>78399.8966</x:v>
      </x:c>
      <x:c r="J1806" t="n">
        <x:v>1.046</x:v>
      </x:c>
    </x:row>
    <x:row r="1807">
      <x:c r="A1807" s="3" t="n">
        <x:v>2023</x:v>
      </x:c>
      <x:c r="B1807" s="2" t="str">
        <x:v>Junio</x:v>
      </x:c>
      <x:c r="C1807" s="2" t="str">
        <x:v>RE-100551-2</x:v>
      </x:c>
      <x:c r="D1807" s="2" t="str">
        <x:v>P.E. MONTE ARCA FASE I-MODIFICADO</x:v>
      </x:c>
      <x:c r="E1807" s="4" t="n">
        <x:v>0.853</x:v>
      </x:c>
      <x:c r="F1807" s="4" t="n">
        <x:f>J1807*0.97</x:f>
        <x:v>0.80316</x:v>
      </x:c>
      <x:c r="G1807" s="4" t="n">
        <x:v>6</x:v>
      </x:c>
      <x:c r="H1807" s="4" t="n">
        <x:v>93.02</x:v>
      </x:c>
      <x:c r="I1807" s="5" t="n">
        <x:f t="shared" si="28">F1807*1000*H1807</x:f>
        <x:v>74709.9432</x:v>
      </x:c>
      <x:c r="J1807" t="n">
        <x:v>0.828</x:v>
      </x:c>
    </x:row>
    <x:row r="1808">
      <x:c r="A1808" s="3" t="n">
        <x:v>2023</x:v>
      </x:c>
      <x:c r="B1808" s="2" t="str">
        <x:v>Julio</x:v>
      </x:c>
      <x:c r="C1808" s="2" t="str">
        <x:v>RE-100551-2</x:v>
      </x:c>
      <x:c r="D1808" s="2" t="str">
        <x:v>P.E. MONTE ARCA FASE I-MODIFICADO</x:v>
      </x:c>
      <x:c r="E1808" s="4" t="n">
        <x:v>0.753</x:v>
      </x:c>
      <x:c r="F1808" s="4" t="n">
        <x:f>J1808*1.04</x:f>
        <x:v>0.7696000000000001</x:v>
      </x:c>
      <x:c r="G1808" s="4" t="n">
        <x:v>6</x:v>
      </x:c>
      <x:c r="H1808" s="4" t="n">
        <x:v>90.47</x:v>
      </x:c>
      <x:c r="I1808" s="5" t="n">
        <x:f t="shared" si="28">F1808*1000*H1808</x:f>
        <x:v>69625.712</x:v>
      </x:c>
      <x:c r="J1808" t="n">
        <x:v>0.74</x:v>
      </x:c>
    </x:row>
    <x:row r="1809">
      <x:c r="A1809" s="3" t="n">
        <x:v>2023</x:v>
      </x:c>
      <x:c r="B1809" s="2" t="str">
        <x:v>Agosto</x:v>
      </x:c>
      <x:c r="C1809" s="2" t="str">
        <x:v>RE-100551-2</x:v>
      </x:c>
      <x:c r="D1809" s="2" t="str">
        <x:v>P.E. MONTE ARCA FASE I-MODIFICADO</x:v>
      </x:c>
      <x:c r="E1809" s="4" t="n">
        <x:v>0.784</x:v>
      </x:c>
      <x:c r="F1809" s="4" t="n">
        <x:f>J1809*1</x:f>
        <x:v>0.765</x:v>
      </x:c>
      <x:c r="G1809" s="4" t="n">
        <x:v>6</x:v>
      </x:c>
      <x:c r="H1809" s="4" t="n">
        <x:v>96.05</x:v>
      </x:c>
      <x:c r="I1809" s="5" t="n">
        <x:f t="shared" si="28">F1809*1000*H1809</x:f>
        <x:v>73478.25</x:v>
      </x:c>
      <x:c r="J1809" t="n">
        <x:v>0.765</x:v>
      </x:c>
    </x:row>
    <x:row r="1810">
      <x:c r="A1810" s="3" t="n">
        <x:v>2023</x:v>
      </x:c>
      <x:c r="B1810" s="2" t="str">
        <x:v>Septiembre</x:v>
      </x:c>
      <x:c r="C1810" s="2" t="str">
        <x:v>RE-100551-2</x:v>
      </x:c>
      <x:c r="D1810" s="2" t="str">
        <x:v>P.E. MONTE ARCA FASE I-MODIFICADO</x:v>
      </x:c>
      <x:c r="E1810" s="4" t="n">
        <x:v>1.013</x:v>
      </x:c>
      <x:c r="F1810" s="4" t="n">
        <x:f>J1810*0.96</x:f>
        <x:v>0.9523199999999999</x:v>
      </x:c>
      <x:c r="G1810" s="4" t="n">
        <x:v>6</x:v>
      </x:c>
      <x:c r="H1810" s="4" t="n">
        <x:v>103.34</x:v>
      </x:c>
      <x:c r="I1810" s="5" t="n">
        <x:f t="shared" si="28">F1810*1000*H1810</x:f>
        <x:v>98412.7488</x:v>
      </x:c>
      <x:c r="J1810" t="n">
        <x:v>0.992</x:v>
      </x:c>
    </x:row>
    <x:row r="1811">
      <x:c r="A1811" s="3" t="n">
        <x:v>2023</x:v>
      </x:c>
      <x:c r="B1811" s="2" t="str">
        <x:v>Octubre</x:v>
      </x:c>
      <x:c r="C1811" s="2" t="str">
        <x:v>RE-100551-2</x:v>
      </x:c>
      <x:c r="D1811" s="2" t="str">
        <x:v>P.E. MONTE ARCA FASE I-MODIFICADO</x:v>
      </x:c>
      <x:c r="E1811" s="4" t="n">
        <x:v>1.305</x:v>
      </x:c>
      <x:c r="F1811" s="4" t="n">
        <x:f>J1811*1.03</x:f>
        <x:v>1.3111899999999999</x:v>
      </x:c>
      <x:c r="G1811" s="4" t="n">
        <x:v>6</x:v>
      </x:c>
      <x:c r="H1811" s="4" t="n">
        <x:v>90.14</x:v>
      </x:c>
      <x:c r="I1811" s="5" t="n">
        <x:f t="shared" si="28">F1811*1000*H1811</x:f>
        <x:v>118190.66659999998</x:v>
      </x:c>
      <x:c r="J1811" t="n">
        <x:v>1.273</x:v>
      </x:c>
    </x:row>
    <x:row r="1812">
      <x:c r="A1812" s="3" t="n">
        <x:v>2023</x:v>
      </x:c>
      <x:c r="B1812" s="2" t="str">
        <x:v>Noviembre</x:v>
      </x:c>
      <x:c r="C1812" s="2" t="str">
        <x:v>RE-100551-2</x:v>
      </x:c>
      <x:c r="D1812" s="2" t="str">
        <x:v>P.E. MONTE ARCA FASE I-MODIFICADO</x:v>
      </x:c>
      <x:c r="E1812" s="4" t="n">
        <x:v>1.51</x:v>
      </x:c>
      <x:c r="F1812" s="4" t="n">
        <x:f>J1812*0.99</x:f>
        <x:v>1.46718</x:v>
      </x:c>
      <x:c r="G1812" s="4" t="n">
        <x:v>6</x:v>
      </x:c>
      <x:c r="H1812" s="4" t="n">
        <x:v>63.45</x:v>
      </x:c>
      <x:c r="I1812" s="5" t="n">
        <x:f t="shared" si="28">F1812*1000*H1812</x:f>
        <x:v>93092.571</x:v>
      </x:c>
      <x:c r="J1812" t="n">
        <x:v>1.482</x:v>
      </x:c>
    </x:row>
    <x:row r="1813">
      <x:c r="A1813" s="3" t="n">
        <x:v>2023</x:v>
      </x:c>
      <x:c r="B1813" s="2" t="str">
        <x:v>Diciembre</x:v>
      </x:c>
      <x:c r="C1813" s="2" t="str">
        <x:v>RE-100551-2</x:v>
      </x:c>
      <x:c r="D1813" s="2" t="str">
        <x:v>P.E. MONTE ARCA FASE I-MODIFICADO</x:v>
      </x:c>
      <x:c r="E1813" s="4" t="n">
        <x:v>1.831</x:v>
      </x:c>
      <x:c r="F1813" s="4" t="n">
        <x:f>J1813*0.95</x:f>
        <x:v>1.7043</x:v>
      </x:c>
      <x:c r="G1813" s="4" t="n">
        <x:v>6</x:v>
      </x:c>
      <x:c r="H1813" s="4" t="n">
        <x:v>72.17</x:v>
      </x:c>
      <x:c r="I1813" s="5" t="n">
        <x:f t="shared" si="28">F1813*1000*H1813</x:f>
        <x:v>122999.331</x:v>
      </x:c>
      <x:c r="J1813" t="n">
        <x:v>1.794</x:v>
      </x:c>
    </x:row>
    <x:row r="1814">
      <x:c r="A1814" s="3" t="n">
        <x:v>2023</x:v>
      </x:c>
      <x:c r="B1814" s="2" t="str">
        <x:v>Enero</x:v>
      </x:c>
      <x:c r="C1814" s="2" t="str">
        <x:v>RE-101420-2</x:v>
      </x:c>
      <x:c r="D1814" s="2" t="str">
        <x:v>P. E. SINGULAR DE AS NEVES</x:v>
      </x:c>
      <x:c r="E1814" s="4" t="n">
        <x:v>0.572</x:v>
      </x:c>
      <x:c r="F1814" s="4" t="n">
        <x:f>J1814*1.02</x:f>
        <x:v>0.5691600000000001</x:v>
      </x:c>
      <x:c r="G1814" s="4" t="n">
        <x:v>2.4</x:v>
      </x:c>
      <x:c r="H1814" s="4" t="n">
        <x:v>69.55</x:v>
      </x:c>
      <x:c r="I1814" s="5" t="n">
        <x:f t="shared" si="28">F1814*1000*H1814</x:f>
        <x:v>39585.078</x:v>
      </x:c>
      <x:c r="J1814" t="n">
        <x:v>0.558</x:v>
      </x:c>
    </x:row>
    <x:row r="1815">
      <x:c r="A1815" s="3" t="n">
        <x:v>2023</x:v>
      </x:c>
      <x:c r="B1815" s="2" t="str">
        <x:v>Febrero</x:v>
      </x:c>
      <x:c r="C1815" s="2" t="str">
        <x:v>RE-101420-2</x:v>
      </x:c>
      <x:c r="D1815" s="2" t="str">
        <x:v>P. E. SINGULAR DE AS NEVES</x:v>
      </x:c>
      <x:c r="E1815" s="4" t="n">
        <x:v>0.487</x:v>
      </x:c>
      <x:c r="F1815" s="4" t="n">
        <x:f>J1815*0.98</x:f>
        <x:v>0.46452</x:v>
      </x:c>
      <x:c r="G1815" s="4" t="n">
        <x:v>2.4</x:v>
      </x:c>
      <x:c r="H1815" s="4" t="n">
        <x:v>133.47</x:v>
      </x:c>
      <x:c r="I1815" s="5" t="n">
        <x:f t="shared" si="28">F1815*1000*H1815</x:f>
        <x:v>61999.484399999994</x:v>
      </x:c>
      <x:c r="J1815" t="n">
        <x:v>0.474</x:v>
      </x:c>
    </x:row>
    <x:row r="1816">
      <x:c r="A1816" s="3" t="n">
        <x:v>2023</x:v>
      </x:c>
      <x:c r="B1816" s="2" t="str">
        <x:v>Marzo</x:v>
      </x:c>
      <x:c r="C1816" s="2" t="str">
        <x:v>RE-101420-2</x:v>
      </x:c>
      <x:c r="D1816" s="2" t="str">
        <x:v>P. E. SINGULAR DE AS NEVES</x:v>
      </x:c>
      <x:c r="E1816" s="4" t="n">
        <x:v>0.575</x:v>
      </x:c>
      <x:c r="F1816" s="4" t="n">
        <x:f>J1816*0.94</x:f>
        <x:v>0.5264</x:v>
      </x:c>
      <x:c r="G1816" s="4" t="n">
        <x:v>2.4</x:v>
      </x:c>
      <x:c r="H1816" s="4" t="n">
        <x:v>89.61</x:v>
      </x:c>
      <x:c r="I1816" s="5" t="n">
        <x:f t="shared" si="28">F1816*1000*H1816</x:f>
        <x:v>47170.704</x:v>
      </x:c>
      <x:c r="J1816" t="n">
        <x:v>0.56</x:v>
      </x:c>
    </x:row>
    <x:row r="1817">
      <x:c r="A1817" s="3" t="n">
        <x:v>2023</x:v>
      </x:c>
      <x:c r="B1817" s="2" t="str">
        <x:v>Abril</x:v>
      </x:c>
      <x:c r="C1817" s="2" t="str">
        <x:v>RE-101420-2</x:v>
      </x:c>
      <x:c r="D1817" s="2" t="str">
        <x:v>P. E. SINGULAR DE AS NEVES</x:v>
      </x:c>
      <x:c r="E1817" s="4" t="n">
        <x:v>0.395</x:v>
      </x:c>
      <x:c r="F1817" s="4" t="n">
        <x:f>J1817*1.01</x:f>
        <x:v>0.38885000000000003</x:v>
      </x:c>
      <x:c r="G1817" s="4" t="n">
        <x:v>2.4</x:v>
      </x:c>
      <x:c r="H1817" s="4" t="n">
        <x:v>73.73</x:v>
      </x:c>
      <x:c r="I1817" s="5" t="n">
        <x:f t="shared" si="28">F1817*1000*H1817</x:f>
        <x:v>28669.9105</x:v>
      </x:c>
      <x:c r="J1817" t="n">
        <x:v>0.385</x:v>
      </x:c>
    </x:row>
    <x:row r="1818">
      <x:c r="A1818" s="3" t="n">
        <x:v>2023</x:v>
      </x:c>
      <x:c r="B1818" s="2" t="str">
        <x:v>Mayo</x:v>
      </x:c>
      <x:c r="C1818" s="2" t="str">
        <x:v>RE-101420-2</x:v>
      </x:c>
      <x:c r="D1818" s="2" t="str">
        <x:v>P. E. SINGULAR DE AS NEVES</x:v>
      </x:c>
      <x:c r="E1818" s="4" t="n">
        <x:v>0.373</x:v>
      </x:c>
      <x:c r="F1818" s="4" t="n">
        <x:f>J1818*0.97</x:f>
        <x:v>0.35405</x:v>
      </x:c>
      <x:c r="G1818" s="4" t="n">
        <x:v>2.4</x:v>
      </x:c>
      <x:c r="H1818" s="4" t="n">
        <x:v>74.21</x:v>
      </x:c>
      <x:c r="I1818" s="5" t="n">
        <x:f t="shared" si="28">F1818*1000*H1818</x:f>
        <x:v>26274.050499999994</x:v>
      </x:c>
      <x:c r="J1818" t="n">
        <x:v>0.365</x:v>
      </x:c>
    </x:row>
    <x:row r="1819">
      <x:c r="A1819" s="3" t="n">
        <x:v>2023</x:v>
      </x:c>
      <x:c r="B1819" s="2" t="str">
        <x:v>Junio</x:v>
      </x:c>
      <x:c r="C1819" s="2" t="str">
        <x:v>RE-101420-2</x:v>
      </x:c>
      <x:c r="D1819" s="2" t="str">
        <x:v>P. E. SINGULAR DE AS NEVES</x:v>
      </x:c>
      <x:c r="E1819" s="4" t="n">
        <x:v>0.316</x:v>
      </x:c>
      <x:c r="F1819" s="4" t="n">
        <x:f>J1819*1.04</x:f>
        <x:v>0.32136000000000003</x:v>
      </x:c>
      <x:c r="G1819" s="4" t="n">
        <x:v>2.4</x:v>
      </x:c>
      <x:c r="H1819" s="4" t="n">
        <x:v>93.02</x:v>
      </x:c>
      <x:c r="I1819" s="5" t="n">
        <x:f t="shared" si="28">F1819*1000*H1819</x:f>
        <x:v>29892.9072</x:v>
      </x:c>
      <x:c r="J1819" t="n">
        <x:v>0.309</x:v>
      </x:c>
    </x:row>
    <x:row r="1820">
      <x:c r="A1820" s="3" t="n">
        <x:v>2023</x:v>
      </x:c>
      <x:c r="B1820" s="2" t="str">
        <x:v>Julio</x:v>
      </x:c>
      <x:c r="C1820" s="2" t="str">
        <x:v>RE-101420-2</x:v>
      </x:c>
      <x:c r="D1820" s="2" t="str">
        <x:v>P. E. SINGULAR DE AS NEVES</x:v>
      </x:c>
      <x:c r="E1820" s="4" t="n">
        <x:v>0.315</x:v>
      </x:c>
      <x:c r="F1820" s="4" t="n">
        <x:f>J1820*1</x:f>
        <x:v>0.308</x:v>
      </x:c>
      <x:c r="G1820" s="4" t="n">
        <x:v>2.4</x:v>
      </x:c>
      <x:c r="H1820" s="4" t="n">
        <x:v>90.47</x:v>
      </x:c>
      <x:c r="I1820" s="5" t="n">
        <x:f t="shared" si="28">F1820*1000*H1820</x:f>
        <x:v>27864.76</x:v>
      </x:c>
      <x:c r="J1820" t="n">
        <x:v>0.308</x:v>
      </x:c>
    </x:row>
    <x:row r="1821">
      <x:c r="A1821" s="3" t="n">
        <x:v>2023</x:v>
      </x:c>
      <x:c r="B1821" s="2" t="str">
        <x:v>Agosto</x:v>
      </x:c>
      <x:c r="C1821" s="2" t="str">
        <x:v>RE-101420-2</x:v>
      </x:c>
      <x:c r="D1821" s="2" t="str">
        <x:v>P. E. SINGULAR DE AS NEVES</x:v>
      </x:c>
      <x:c r="E1821" s="4" t="n">
        <x:v>0.306</x:v>
      </x:c>
      <x:c r="F1821" s="4" t="n">
        <x:f>J1821*0.96</x:f>
        <x:v>0.28703999999999996</x:v>
      </x:c>
      <x:c r="G1821" s="4" t="n">
        <x:v>2.4</x:v>
      </x:c>
      <x:c r="H1821" s="4" t="n">
        <x:v>96.05</x:v>
      </x:c>
      <x:c r="I1821" s="5" t="n">
        <x:f t="shared" si="28">F1821*1000*H1821</x:f>
        <x:v>27570.191999999995</x:v>
      </x:c>
      <x:c r="J1821" t="n">
        <x:v>0.299</x:v>
      </x:c>
    </x:row>
    <x:row r="1822">
      <x:c r="A1822" s="3" t="n">
        <x:v>2023</x:v>
      </x:c>
      <x:c r="B1822" s="2" t="str">
        <x:v>Septiembre</x:v>
      </x:c>
      <x:c r="C1822" s="2" t="str">
        <x:v>RE-101420-2</x:v>
      </x:c>
      <x:c r="D1822" s="2" t="str">
        <x:v>P. E. SINGULAR DE AS NEVES</x:v>
      </x:c>
      <x:c r="E1822" s="4" t="n">
        <x:v>0.412</x:v>
      </x:c>
      <x:c r="F1822" s="4" t="n">
        <x:f>J1822*1.03</x:f>
        <x:v>0.41715</x:v>
      </x:c>
      <x:c r="G1822" s="4" t="n">
        <x:v>2.4</x:v>
      </x:c>
      <x:c r="H1822" s="4" t="n">
        <x:v>103.34</x:v>
      </x:c>
      <x:c r="I1822" s="5" t="n">
        <x:f t="shared" si="28">F1822*1000*H1822</x:f>
        <x:v>43108.281</x:v>
      </x:c>
      <x:c r="J1822" t="n">
        <x:v>0.405</x:v>
      </x:c>
    </x:row>
    <x:row r="1823">
      <x:c r="A1823" s="3" t="n">
        <x:v>2023</x:v>
      </x:c>
      <x:c r="B1823" s="2" t="str">
        <x:v>Octubre</x:v>
      </x:c>
      <x:c r="C1823" s="2" t="str">
        <x:v>RE-101420-2</x:v>
      </x:c>
      <x:c r="D1823" s="2" t="str">
        <x:v>P. E. SINGULAR DE AS NEVES</x:v>
      </x:c>
      <x:c r="E1823" s="4" t="n">
        <x:v>0.539</x:v>
      </x:c>
      <x:c r="F1823" s="4" t="n">
        <x:f>J1823*0.99</x:f>
        <x:v>0.51975</x:v>
      </x:c>
      <x:c r="G1823" s="4" t="n">
        <x:v>2.4</x:v>
      </x:c>
      <x:c r="H1823" s="4" t="n">
        <x:v>90.14</x:v>
      </x:c>
      <x:c r="I1823" s="5" t="n">
        <x:f t="shared" si="28">F1823*1000*H1823</x:f>
        <x:v>46850.265</x:v>
      </x:c>
      <x:c r="J1823" t="n">
        <x:v>0.525</x:v>
      </x:c>
    </x:row>
    <x:row r="1824">
      <x:c r="A1824" s="3" t="n">
        <x:v>2023</x:v>
      </x:c>
      <x:c r="B1824" s="2" t="str">
        <x:v>Noviembre</x:v>
      </x:c>
      <x:c r="C1824" s="2" t="str">
        <x:v>RE-101420-2</x:v>
      </x:c>
      <x:c r="D1824" s="2" t="str">
        <x:v>P. E. SINGULAR DE AS NEVES</x:v>
      </x:c>
      <x:c r="E1824" s="4" t="n">
        <x:v>0.515</x:v>
      </x:c>
      <x:c r="F1824" s="4" t="n">
        <x:f>J1824*0.95</x:f>
        <x:v>0.4788</x:v>
      </x:c>
      <x:c r="G1824" s="4" t="n">
        <x:v>2.4</x:v>
      </x:c>
      <x:c r="H1824" s="4" t="n">
        <x:v>63.45</x:v>
      </x:c>
      <x:c r="I1824" s="5" t="n">
        <x:f t="shared" si="28">F1824*1000*H1824</x:f>
        <x:v>30379.86</x:v>
      </x:c>
      <x:c r="J1824" t="n">
        <x:v>0.504</x:v>
      </x:c>
    </x:row>
    <x:row r="1825">
      <x:c r="A1825" s="3" t="n">
        <x:v>2023</x:v>
      </x:c>
      <x:c r="B1825" s="2" t="str">
        <x:v>Diciembre</x:v>
      </x:c>
      <x:c r="C1825" s="2" t="str">
        <x:v>RE-101420-2</x:v>
      </x:c>
      <x:c r="D1825" s="2" t="str">
        <x:v>P. E. SINGULAR DE AS NEVES</x:v>
      </x:c>
      <x:c r="E1825" s="4" t="n">
        <x:v>0.671</x:v>
      </x:c>
      <x:c r="F1825" s="4" t="n">
        <x:f>J1825*1.02</x:f>
        <x:v>0.66402</x:v>
      </x:c>
      <x:c r="G1825" s="4" t="n">
        <x:v>2.4</x:v>
      </x:c>
      <x:c r="H1825" s="4" t="n">
        <x:v>72.17</x:v>
      </x:c>
      <x:c r="I1825" s="5" t="n">
        <x:f t="shared" si="28">F1825*1000*H1825</x:f>
        <x:v>47922.32340000001</x:v>
      </x:c>
      <x:c r="J1825" t="n">
        <x:v>0.651</x:v>
      </x:c>
    </x:row>
    <x:row r="1826">
      <x:c r="A1826" s="3" t="n">
        <x:v>2023</x:v>
      </x:c>
      <x:c r="B1826" s="2" t="str">
        <x:v>Enero</x:v>
      </x:c>
      <x:c r="C1826" s="2" t="str">
        <x:v>RE-101652-2</x:v>
      </x:c>
      <x:c r="D1826" s="2" t="str">
        <x:v>P.E. FONTESILVA</x:v>
      </x:c>
      <x:c r="E1826" s="4" t="n">
        <x:v>2.555625</x:v>
      </x:c>
      <x:c r="F1826" s="4" t="n">
        <x:f>J1826*0.98</x:f>
        <x:v>2.426235</x:v>
      </x:c>
      <x:c r="G1826" s="4" t="n">
        <x:v>10.8</x:v>
      </x:c>
      <x:c r="H1826" s="4" t="n">
        <x:v>69.55</x:v>
      </x:c>
      <x:c r="I1826" s="5" t="n">
        <x:f t="shared" si="28">F1826*1000*H1826</x:f>
        <x:v>168744.64425</x:v>
      </x:c>
      <x:c r="J1826" t="n">
        <x:v>2.47575</x:v>
      </x:c>
    </x:row>
    <x:row r="1827">
      <x:c r="A1827" s="3" t="n">
        <x:v>2023</x:v>
      </x:c>
      <x:c r="B1827" s="2" t="str">
        <x:v>Enero</x:v>
      </x:c>
      <x:c r="C1827" s="2" t="str">
        <x:v>RE-101652-3</x:v>
      </x:c>
      <x:c r="D1827" s="2" t="str">
        <x:v>P.E. FONTESILVA</x:v>
      </x:c>
      <x:c r="E1827" s="4" t="n">
        <x:v>2.555625</x:v>
      </x:c>
      <x:c r="F1827" s="4" t="n">
        <x:f>J1827*0.98</x:f>
        <x:v>2.426235</x:v>
      </x:c>
      <x:c r="G1827" s="4" t="n">
        <x:v>10.8</x:v>
      </x:c>
      <x:c r="H1827" s="4" t="n">
        <x:v>69.55</x:v>
      </x:c>
      <x:c r="I1827" s="5" t="n">
        <x:f t="shared" si="28">F1827*1000*H1827</x:f>
        <x:v>168744.64425</x:v>
      </x:c>
      <x:c r="J1827" t="n">
        <x:v>2.47575</x:v>
      </x:c>
    </x:row>
    <x:row r="1828">
      <x:c r="A1828" s="3" t="n">
        <x:v>2023</x:v>
      </x:c>
      <x:c r="B1828" s="2" t="str">
        <x:v>Enero</x:v>
      </x:c>
      <x:c r="C1828" s="2" t="str">
        <x:v>RE-101652-4</x:v>
      </x:c>
      <x:c r="D1828" s="2" t="str">
        <x:v>P.E. FONTESILVA</x:v>
      </x:c>
      <x:c r="E1828" s="4" t="n">
        <x:v>1.7037500000000003</x:v>
      </x:c>
      <x:c r="F1828" s="4" t="n">
        <x:f>J1828*0.98</x:f>
        <x:v>1.61749</x:v>
      </x:c>
      <x:c r="G1828" s="4" t="n">
        <x:v>7.2</x:v>
      </x:c>
      <x:c r="H1828" s="4" t="n">
        <x:v>69.55</x:v>
      </x:c>
      <x:c r="I1828" s="5" t="n">
        <x:f t="shared" si="28">F1828*1000*H1828</x:f>
        <x:v>112496.4295</x:v>
      </x:c>
      <x:c r="J1828" t="n">
        <x:v>1.6505</x:v>
      </x:c>
    </x:row>
    <x:row r="1829">
      <x:c r="A1829" s="3" t="n">
        <x:v>2023</x:v>
      </x:c>
      <x:c r="B1829" s="2" t="str">
        <x:v>Febrero</x:v>
      </x:c>
      <x:c r="C1829" s="2" t="str">
        <x:v>RE-101652-2</x:v>
      </x:c>
      <x:c r="D1829" s="2" t="str">
        <x:v>P.E. FONTESILVA</x:v>
      </x:c>
      <x:c r="E1829" s="4" t="n">
        <x:v>2.2233750000000003</x:v>
      </x:c>
      <x:c r="F1829" s="4" t="n">
        <x:f>J1829*0.94</x:f>
        <x:v>2.0547224999999996</x:v>
      </x:c>
      <x:c r="G1829" s="4" t="n">
        <x:v>10.8</x:v>
      </x:c>
      <x:c r="H1829" s="4" t="n">
        <x:v>133.47</x:v>
      </x:c>
      <x:c r="I1829" s="5" t="n">
        <x:f t="shared" si="28">F1829*1000*H1829</x:f>
        <x:v>274243.8120749999</x:v>
      </x:c>
      <x:c r="J1829" t="n">
        <x:v>2.185875</x:v>
      </x:c>
    </x:row>
    <x:row r="1830">
      <x:c r="A1830" s="3" t="n">
        <x:v>2023</x:v>
      </x:c>
      <x:c r="B1830" s="2" t="str">
        <x:v>Febrero</x:v>
      </x:c>
      <x:c r="C1830" s="2" t="str">
        <x:v>RE-101652-3</x:v>
      </x:c>
      <x:c r="D1830" s="2" t="str">
        <x:v>P.E. FONTESILVA</x:v>
      </x:c>
      <x:c r="E1830" s="4" t="n">
        <x:v>2.2233750000000003</x:v>
      </x:c>
      <x:c r="F1830" s="4" t="n">
        <x:f>J1830*0.94</x:f>
        <x:v>2.0547224999999996</x:v>
      </x:c>
      <x:c r="G1830" s="4" t="n">
        <x:v>10.8</x:v>
      </x:c>
      <x:c r="H1830" s="4" t="n">
        <x:v>133.47</x:v>
      </x:c>
      <x:c r="I1830" s="5" t="n">
        <x:f t="shared" si="28">F1830*1000*H1830</x:f>
        <x:v>274243.8120749999</x:v>
      </x:c>
      <x:c r="J1830" t="n">
        <x:v>2.185875</x:v>
      </x:c>
    </x:row>
    <x:row r="1831">
      <x:c r="A1831" s="3" t="n">
        <x:v>2023</x:v>
      </x:c>
      <x:c r="B1831" s="2" t="str">
        <x:v>Febrero</x:v>
      </x:c>
      <x:c r="C1831" s="2" t="str">
        <x:v>RE-101652-4</x:v>
      </x:c>
      <x:c r="D1831" s="2" t="str">
        <x:v>P.E. FONTESILVA</x:v>
      </x:c>
      <x:c r="E1831" s="4" t="n">
        <x:v>1.4822499999999996</x:v>
      </x:c>
      <x:c r="F1831" s="4" t="n">
        <x:f>J1831*0.94</x:f>
        <x:v>1.369815</x:v>
      </x:c>
      <x:c r="G1831" s="4" t="n">
        <x:v>7.2</x:v>
      </x:c>
      <x:c r="H1831" s="4" t="n">
        <x:v>133.47</x:v>
      </x:c>
      <x:c r="I1831" s="5" t="n">
        <x:f t="shared" si="28">F1831*1000*H1831</x:f>
        <x:v>182829.20805000002</x:v>
      </x:c>
      <x:c r="J1831" t="n">
        <x:v>1.4572500000000002</x:v>
      </x:c>
    </x:row>
    <x:row r="1832">
      <x:c r="A1832" s="3" t="n">
        <x:v>2023</x:v>
      </x:c>
      <x:c r="B1832" s="2" t="str">
        <x:v>Marzo</x:v>
      </x:c>
      <x:c r="C1832" s="2" t="str">
        <x:v>RE-101652-2</x:v>
      </x:c>
      <x:c r="D1832" s="2" t="str">
        <x:v>P.E. FONTESILVA</x:v>
      </x:c>
      <x:c r="E1832" s="4" t="n">
        <x:v>2.234625</x:v>
      </x:c>
      <x:c r="F1832" s="4" t="n">
        <x:f>J1832*1.01</x:f>
        <x:v>2.2202325</x:v>
      </x:c>
      <x:c r="G1832" s="4" t="n">
        <x:v>10.8</x:v>
      </x:c>
      <x:c r="H1832" s="4" t="n">
        <x:v>89.61</x:v>
      </x:c>
      <x:c r="I1832" s="5" t="n">
        <x:f t="shared" si="28">F1832*1000*H1832</x:f>
        <x:v>198955.03432499996</x:v>
      </x:c>
      <x:c r="J1832" t="n">
        <x:v>2.19825</x:v>
      </x:c>
    </x:row>
    <x:row r="1833">
      <x:c r="A1833" s="3" t="n">
        <x:v>2023</x:v>
      </x:c>
      <x:c r="B1833" s="2" t="str">
        <x:v>Marzo</x:v>
      </x:c>
      <x:c r="C1833" s="2" t="str">
        <x:v>RE-101652-3</x:v>
      </x:c>
      <x:c r="D1833" s="2" t="str">
        <x:v>P.E. FONTESILVA</x:v>
      </x:c>
      <x:c r="E1833" s="4" t="n">
        <x:v>2.234625</x:v>
      </x:c>
      <x:c r="F1833" s="4" t="n">
        <x:f>J1833*1.01</x:f>
        <x:v>2.2202325</x:v>
      </x:c>
      <x:c r="G1833" s="4" t="n">
        <x:v>10.8</x:v>
      </x:c>
      <x:c r="H1833" s="4" t="n">
        <x:v>89.61</x:v>
      </x:c>
      <x:c r="I1833" s="5" t="n">
        <x:f t="shared" si="28">F1833*1000*H1833</x:f>
        <x:v>198955.03432499996</x:v>
      </x:c>
      <x:c r="J1833" t="n">
        <x:v>2.19825</x:v>
      </x:c>
    </x:row>
    <x:row r="1834">
      <x:c r="A1834" s="3" t="n">
        <x:v>2023</x:v>
      </x:c>
      <x:c r="B1834" s="2" t="str">
        <x:v>Marzo</x:v>
      </x:c>
      <x:c r="C1834" s="2" t="str">
        <x:v>RE-101652-4</x:v>
      </x:c>
      <x:c r="D1834" s="2" t="str">
        <x:v>P.E. FONTESILVA</x:v>
      </x:c>
      <x:c r="E1834" s="4" t="n">
        <x:v>1.48975</x:v>
      </x:c>
      <x:c r="F1834" s="4" t="n">
        <x:f>J1834*1.01</x:f>
        <x:v>1.4801550000000006</x:v>
      </x:c>
      <x:c r="G1834" s="4" t="n">
        <x:v>7.2</x:v>
      </x:c>
      <x:c r="H1834" s="4" t="n">
        <x:v>89.61</x:v>
      </x:c>
      <x:c r="I1834" s="5" t="n">
        <x:f t="shared" si="28">F1834*1000*H1834</x:f>
        <x:v>132636.68955000007</x:v>
      </x:c>
      <x:c r="J1834" t="n">
        <x:v>1.4655000000000005</x:v>
      </x:c>
    </x:row>
    <x:row r="1835">
      <x:c r="A1835" s="3" t="n">
        <x:v>2023</x:v>
      </x:c>
      <x:c r="B1835" s="2" t="str">
        <x:v>Abril</x:v>
      </x:c>
      <x:c r="C1835" s="2" t="str">
        <x:v>RE-101652-2</x:v>
      </x:c>
      <x:c r="D1835" s="2" t="str">
        <x:v>P.E. FONTESILVA</x:v>
      </x:c>
      <x:c r="E1835" s="4" t="n">
        <x:v>2.22675</x:v>
      </x:c>
      <x:c r="F1835" s="4" t="n">
        <x:f>J1835*0.97</x:f>
        <x:v>2.12466375</x:v>
      </x:c>
      <x:c r="G1835" s="4" t="n">
        <x:v>10.8</x:v>
      </x:c>
      <x:c r="H1835" s="4" t="n">
        <x:v>73.73</x:v>
      </x:c>
      <x:c r="I1835" s="5" t="n">
        <x:f t="shared" si="28">F1835*1000*H1835</x:f>
        <x:v>156651.4582875</x:v>
      </x:c>
      <x:c r="J1835" t="n">
        <x:v>2.190375</x:v>
      </x:c>
    </x:row>
    <x:row r="1836">
      <x:c r="A1836" s="3" t="n">
        <x:v>2023</x:v>
      </x:c>
      <x:c r="B1836" s="2" t="str">
        <x:v>Abril</x:v>
      </x:c>
      <x:c r="C1836" s="2" t="str">
        <x:v>RE-101652-3</x:v>
      </x:c>
      <x:c r="D1836" s="2" t="str">
        <x:v>P.E. FONTESILVA</x:v>
      </x:c>
      <x:c r="E1836" s="4" t="n">
        <x:v>2.22675</x:v>
      </x:c>
      <x:c r="F1836" s="4" t="n">
        <x:f>J1836*0.97</x:f>
        <x:v>2.12466375</x:v>
      </x:c>
      <x:c r="G1836" s="4" t="n">
        <x:v>10.8</x:v>
      </x:c>
      <x:c r="H1836" s="4" t="n">
        <x:v>73.73</x:v>
      </x:c>
      <x:c r="I1836" s="5" t="n">
        <x:f t="shared" si="28">F1836*1000*H1836</x:f>
        <x:v>156651.4582875</x:v>
      </x:c>
      <x:c r="J1836" t="n">
        <x:v>2.190375</x:v>
      </x:c>
    </x:row>
    <x:row r="1837">
      <x:c r="A1837" s="3" t="n">
        <x:v>2023</x:v>
      </x:c>
      <x:c r="B1837" s="2" t="str">
        <x:v>Abril</x:v>
      </x:c>
      <x:c r="C1837" s="2" t="str">
        <x:v>RE-101652-4</x:v>
      </x:c>
      <x:c r="D1837" s="2" t="str">
        <x:v>P.E. FONTESILVA</x:v>
      </x:c>
      <x:c r="E1837" s="4" t="n">
        <x:v>1.4844999999999997</x:v>
      </x:c>
      <x:c r="F1837" s="4" t="n">
        <x:f>J1837*0.97</x:f>
        <x:v>1.4164425000000003</x:v>
      </x:c>
      <x:c r="G1837" s="4" t="n">
        <x:v>7.2</x:v>
      </x:c>
      <x:c r="H1837" s="4" t="n">
        <x:v>73.73</x:v>
      </x:c>
      <x:c r="I1837" s="5" t="n">
        <x:f t="shared" si="28">F1837*1000*H1837</x:f>
        <x:v>104434.30552500003</x:v>
      </x:c>
      <x:c r="J1837" t="n">
        <x:v>1.4602500000000003</x:v>
      </x:c>
    </x:row>
    <x:row r="1838">
      <x:c r="A1838" s="3" t="n">
        <x:v>2023</x:v>
      </x:c>
      <x:c r="B1838" s="2" t="str">
        <x:v>Mayo</x:v>
      </x:c>
      <x:c r="C1838" s="2" t="str">
        <x:v>RE-101652-2</x:v>
      </x:c>
      <x:c r="D1838" s="2" t="str">
        <x:v>P.E. FONTESILVA</x:v>
      </x:c>
      <x:c r="E1838" s="4" t="n">
        <x:v>1.86075</x:v>
      </x:c>
      <x:c r="F1838" s="4" t="n">
        <x:f>J1838*1.04</x:f>
        <x:v>1.87941</x:v>
      </x:c>
      <x:c r="G1838" s="4" t="n">
        <x:v>10.8</x:v>
      </x:c>
      <x:c r="H1838" s="4" t="n">
        <x:v>74.21</x:v>
      </x:c>
      <x:c r="I1838" s="5" t="n">
        <x:f t="shared" si="28">F1838*1000*H1838</x:f>
        <x:v>139471.0161</x:v>
      </x:c>
      <x:c r="J1838" t="n">
        <x:v>1.8071249999999999</x:v>
      </x:c>
    </x:row>
    <x:row r="1839">
      <x:c r="A1839" s="3" t="n">
        <x:v>2023</x:v>
      </x:c>
      <x:c r="B1839" s="2" t="str">
        <x:v>Mayo</x:v>
      </x:c>
      <x:c r="C1839" s="2" t="str">
        <x:v>RE-101652-3</x:v>
      </x:c>
      <x:c r="D1839" s="2" t="str">
        <x:v>P.E. FONTESILVA</x:v>
      </x:c>
      <x:c r="E1839" s="4" t="n">
        <x:v>1.86075</x:v>
      </x:c>
      <x:c r="F1839" s="4" t="n">
        <x:f>J1839*1.04</x:f>
        <x:v>1.87941</x:v>
      </x:c>
      <x:c r="G1839" s="4" t="n">
        <x:v>10.8</x:v>
      </x:c>
      <x:c r="H1839" s="4" t="n">
        <x:v>74.21</x:v>
      </x:c>
      <x:c r="I1839" s="5" t="n">
        <x:f t="shared" si="28">F1839*1000*H1839</x:f>
        <x:v>139471.0161</x:v>
      </x:c>
      <x:c r="J1839" t="n">
        <x:v>1.8071249999999999</x:v>
      </x:c>
    </x:row>
    <x:row r="1840">
      <x:c r="A1840" s="3" t="n">
        <x:v>2023</x:v>
      </x:c>
      <x:c r="B1840" s="2" t="str">
        <x:v>Mayo</x:v>
      </x:c>
      <x:c r="C1840" s="2" t="str">
        <x:v>RE-101652-4</x:v>
      </x:c>
      <x:c r="D1840" s="2" t="str">
        <x:v>P.E. FONTESILVA</x:v>
      </x:c>
      <x:c r="E1840" s="4" t="n">
        <x:v>1.2405</x:v>
      </x:c>
      <x:c r="F1840" s="4" t="n">
        <x:f>J1840*1.04</x:f>
        <x:v>1.2529400000000002</x:v>
      </x:c>
      <x:c r="G1840" s="4" t="n">
        <x:v>7.2</x:v>
      </x:c>
      <x:c r="H1840" s="4" t="n">
        <x:v>74.21</x:v>
      </x:c>
      <x:c r="I1840" s="5" t="n">
        <x:f t="shared" si="28">F1840*1000*H1840</x:f>
        <x:v>92980.6774</x:v>
      </x:c>
      <x:c r="J1840" t="n">
        <x:v>1.2047500000000002</x:v>
      </x:c>
    </x:row>
    <x:row r="1841">
      <x:c r="A1841" s="3" t="n">
        <x:v>2023</x:v>
      </x:c>
      <x:c r="B1841" s="2" t="str">
        <x:v>Junio</x:v>
      </x:c>
      <x:c r="C1841" s="2" t="str">
        <x:v>RE-101652-2</x:v>
      </x:c>
      <x:c r="D1841" s="2" t="str">
        <x:v>P.E. FONTESILVA</x:v>
      </x:c>
      <x:c r="E1841" s="4" t="n">
        <x:v>1.3364999999999998</x:v>
      </x:c>
      <x:c r="F1841" s="4" t="n">
        <x:f>J1841*1</x:f>
        <x:v>1.2941250000000002</x:v>
      </x:c>
      <x:c r="G1841" s="4" t="n">
        <x:v>10.8</x:v>
      </x:c>
      <x:c r="H1841" s="4" t="n">
        <x:v>93.02</x:v>
      </x:c>
      <x:c r="I1841" s="5" t="n">
        <x:f t="shared" si="28">F1841*1000*H1841</x:f>
        <x:v>120379.50750000002</x:v>
      </x:c>
      <x:c r="J1841" t="n">
        <x:v>1.2941250000000002</x:v>
      </x:c>
    </x:row>
    <x:row r="1842">
      <x:c r="A1842" s="3" t="n">
        <x:v>2023</x:v>
      </x:c>
      <x:c r="B1842" s="2" t="str">
        <x:v>Junio</x:v>
      </x:c>
      <x:c r="C1842" s="2" t="str">
        <x:v>RE-101652-3</x:v>
      </x:c>
      <x:c r="D1842" s="2" t="str">
        <x:v>P.E. FONTESILVA</x:v>
      </x:c>
      <x:c r="E1842" s="4" t="n">
        <x:v>1.3364999999999998</x:v>
      </x:c>
      <x:c r="F1842" s="4" t="n">
        <x:f>J1842*1</x:f>
        <x:v>1.2941250000000002</x:v>
      </x:c>
      <x:c r="G1842" s="4" t="n">
        <x:v>10.8</x:v>
      </x:c>
      <x:c r="H1842" s="4" t="n">
        <x:v>93.02</x:v>
      </x:c>
      <x:c r="I1842" s="5" t="n">
        <x:f t="shared" si="28">F1842*1000*H1842</x:f>
        <x:v>120379.50750000002</x:v>
      </x:c>
      <x:c r="J1842" t="n">
        <x:v>1.2941250000000002</x:v>
      </x:c>
    </x:row>
    <x:row r="1843">
      <x:c r="A1843" s="3" t="n">
        <x:v>2023</x:v>
      </x:c>
      <x:c r="B1843" s="2" t="str">
        <x:v>Junio</x:v>
      </x:c>
      <x:c r="C1843" s="2" t="str">
        <x:v>RE-101652-4</x:v>
      </x:c>
      <x:c r="D1843" s="2" t="str">
        <x:v>P.E. FONTESILVA</x:v>
      </x:c>
      <x:c r="E1843" s="4" t="n">
        <x:v>0.8910000000000005</x:v>
      </x:c>
      <x:c r="F1843" s="4" t="n">
        <x:f>J1843*1</x:f>
        <x:v>0.8627499999999997</x:v>
      </x:c>
      <x:c r="G1843" s="4" t="n">
        <x:v>7.2</x:v>
      </x:c>
      <x:c r="H1843" s="4" t="n">
        <x:v>93.02</x:v>
      </x:c>
      <x:c r="I1843" s="5" t="n">
        <x:f t="shared" si="28">F1843*1000*H1843</x:f>
        <x:v>80253.00499999996</x:v>
      </x:c>
      <x:c r="J1843" t="n">
        <x:v>0.8627499999999997</x:v>
      </x:c>
    </x:row>
    <x:row r="1844">
      <x:c r="A1844" s="3" t="n">
        <x:v>2023</x:v>
      </x:c>
      <x:c r="B1844" s="2" t="str">
        <x:v>Julio</x:v>
      </x:c>
      <x:c r="C1844" s="2" t="str">
        <x:v>RE-101652-2</x:v>
      </x:c>
      <x:c r="D1844" s="2" t="str">
        <x:v>P.E. FONTESILVA</x:v>
      </x:c>
      <x:c r="E1844" s="4" t="n">
        <x:v>1.4508750000000001</x:v>
      </x:c>
      <x:c r="F1844" s="4" t="n">
        <x:f>J1844*0.96</x:f>
        <x:v>1.3485600000000002</x:v>
      </x:c>
      <x:c r="G1844" s="4" t="n">
        <x:v>10.8</x:v>
      </x:c>
      <x:c r="H1844" s="4" t="n">
        <x:v>90.47</x:v>
      </x:c>
      <x:c r="I1844" s="5" t="n">
        <x:f t="shared" si="28">F1844*1000*H1844</x:f>
        <x:v>122004.22320000001</x:v>
      </x:c>
      <x:c r="J1844" t="n">
        <x:v>1.4047500000000002</x:v>
      </x:c>
    </x:row>
    <x:row r="1845">
      <x:c r="A1845" s="3" t="n">
        <x:v>2023</x:v>
      </x:c>
      <x:c r="B1845" s="2" t="str">
        <x:v>Julio</x:v>
      </x:c>
      <x:c r="C1845" s="2" t="str">
        <x:v>RE-101652-3</x:v>
      </x:c>
      <x:c r="D1845" s="2" t="str">
        <x:v>P.E. FONTESILVA</x:v>
      </x:c>
      <x:c r="E1845" s="4" t="n">
        <x:v>1.4508750000000001</x:v>
      </x:c>
      <x:c r="F1845" s="4" t="n">
        <x:f>J1845*0.96</x:f>
        <x:v>1.3485600000000002</x:v>
      </x:c>
      <x:c r="G1845" s="4" t="n">
        <x:v>10.8</x:v>
      </x:c>
      <x:c r="H1845" s="4" t="n">
        <x:v>90.47</x:v>
      </x:c>
      <x:c r="I1845" s="5" t="n">
        <x:f t="shared" si="28">F1845*1000*H1845</x:f>
        <x:v>122004.22320000001</x:v>
      </x:c>
      <x:c r="J1845" t="n">
        <x:v>1.4047500000000002</x:v>
      </x:c>
    </x:row>
    <x:row r="1846">
      <x:c r="A1846" s="3" t="n">
        <x:v>2023</x:v>
      </x:c>
      <x:c r="B1846" s="2" t="str">
        <x:v>Julio</x:v>
      </x:c>
      <x:c r="C1846" s="2" t="str">
        <x:v>RE-101652-4</x:v>
      </x:c>
      <x:c r="D1846" s="2" t="str">
        <x:v>P.E. FONTESILVA</x:v>
      </x:c>
      <x:c r="E1846" s="4" t="n">
        <x:v>0.9672499999999999</x:v>
      </x:c>
      <x:c r="F1846" s="4" t="n">
        <x:f>J1846*0.96</x:f>
        <x:v>0.8990399999999996</x:v>
      </x:c>
      <x:c r="G1846" s="4" t="n">
        <x:v>7.2</x:v>
      </x:c>
      <x:c r="H1846" s="4" t="n">
        <x:v>90.47</x:v>
      </x:c>
      <x:c r="I1846" s="5" t="n">
        <x:f t="shared" si="28">F1846*1000*H1846</x:f>
        <x:v>81336.14879999997</x:v>
      </x:c>
      <x:c r="J1846" t="n">
        <x:v>0.9364999999999997</x:v>
      </x:c>
    </x:row>
    <x:row r="1847">
      <x:c r="A1847" s="3" t="n">
        <x:v>2023</x:v>
      </x:c>
      <x:c r="B1847" s="2" t="str">
        <x:v>Agosto</x:v>
      </x:c>
      <x:c r="C1847" s="2" t="str">
        <x:v>RE-101652-2</x:v>
      </x:c>
      <x:c r="D1847" s="2" t="str">
        <x:v>P.E. FONTESILVA</x:v>
      </x:c>
      <x:c r="E1847" s="4" t="n">
        <x:v>1.7114999999999998</x:v>
      </x:c>
      <x:c r="F1847" s="4" t="n">
        <x:f>J1847*1.03</x:f>
        <x:v>1.719585</x:v>
      </x:c>
      <x:c r="G1847" s="4" t="n">
        <x:v>10.8</x:v>
      </x:c>
      <x:c r="H1847" s="4" t="n">
        <x:v>96.05</x:v>
      </x:c>
      <x:c r="I1847" s="5" t="n">
        <x:f t="shared" si="28">F1847*1000*H1847</x:f>
        <x:v>165166.13924999998</x:v>
      </x:c>
      <x:c r="J1847" t="n">
        <x:v>1.6695</x:v>
      </x:c>
    </x:row>
    <x:row r="1848">
      <x:c r="A1848" s="3" t="n">
        <x:v>2023</x:v>
      </x:c>
      <x:c r="B1848" s="2" t="str">
        <x:v>Agosto</x:v>
      </x:c>
      <x:c r="C1848" s="2" t="str">
        <x:v>RE-101652-3</x:v>
      </x:c>
      <x:c r="D1848" s="2" t="str">
        <x:v>P.E. FONTESILVA</x:v>
      </x:c>
      <x:c r="E1848" s="4" t="n">
        <x:v>1.7114999999999998</x:v>
      </x:c>
      <x:c r="F1848" s="4" t="n">
        <x:f>J1848*1.03</x:f>
        <x:v>1.719585</x:v>
      </x:c>
      <x:c r="G1848" s="4" t="n">
        <x:v>10.8</x:v>
      </x:c>
      <x:c r="H1848" s="4" t="n">
        <x:v>96.05</x:v>
      </x:c>
      <x:c r="I1848" s="5" t="n">
        <x:f t="shared" si="28">F1848*1000*H1848</x:f>
        <x:v>165166.13924999998</x:v>
      </x:c>
      <x:c r="J1848" t="n">
        <x:v>1.6695</x:v>
      </x:c>
    </x:row>
    <x:row r="1849">
      <x:c r="A1849" s="3" t="n">
        <x:v>2023</x:v>
      </x:c>
      <x:c r="B1849" s="2" t="str">
        <x:v>Agosto</x:v>
      </x:c>
      <x:c r="C1849" s="2" t="str">
        <x:v>RE-101652-4</x:v>
      </x:c>
      <x:c r="D1849" s="2" t="str">
        <x:v>P.E. FONTESILVA</x:v>
      </x:c>
      <x:c r="E1849" s="4" t="n">
        <x:v>1.1410000000000005</x:v>
      </x:c>
      <x:c r="F1849" s="4" t="n">
        <x:f>J1849*1.03</x:f>
        <x:v>1.14639</x:v>
      </x:c>
      <x:c r="G1849" s="4" t="n">
        <x:v>7.2</x:v>
      </x:c>
      <x:c r="H1849" s="4" t="n">
        <x:v>96.05</x:v>
      </x:c>
      <x:c r="I1849" s="5" t="n">
        <x:f t="shared" si="28">F1849*1000*H1849</x:f>
        <x:v>110110.7595</x:v>
      </x:c>
      <x:c r="J1849" t="n">
        <x:v>1.113</x:v>
      </x:c>
    </x:row>
    <x:row r="1850">
      <x:c r="A1850" s="3" t="n">
        <x:v>2023</x:v>
      </x:c>
      <x:c r="B1850" s="2" t="str">
        <x:v>Septiembre</x:v>
      </x:c>
      <x:c r="C1850" s="2" t="str">
        <x:v>RE-101652-2</x:v>
      </x:c>
      <x:c r="D1850" s="2" t="str">
        <x:v>P.E. FONTESILVA</x:v>
      </x:c>
      <x:c r="E1850" s="4" t="n">
        <x:v>1.6484999999999999</x:v>
      </x:c>
      <x:c r="F1850" s="4" t="n">
        <x:f>J1850*0.99</x:f>
        <x:v>1.5986025000000001</x:v>
      </x:c>
      <x:c r="G1850" s="4" t="n">
        <x:v>10.8</x:v>
      </x:c>
      <x:c r="H1850" s="4" t="n">
        <x:v>103.34</x:v>
      </x:c>
      <x:c r="I1850" s="5" t="n">
        <x:f t="shared" si="28">F1850*1000*H1850</x:f>
        <x:v>165199.58235</x:v>
      </x:c>
      <x:c r="J1850" t="n">
        <x:v>1.6147500000000001</x:v>
      </x:c>
    </x:row>
    <x:row r="1851">
      <x:c r="A1851" s="3" t="n">
        <x:v>2023</x:v>
      </x:c>
      <x:c r="B1851" s="2" t="str">
        <x:v>Septiembre</x:v>
      </x:c>
      <x:c r="C1851" s="2" t="str">
        <x:v>RE-101652-3</x:v>
      </x:c>
      <x:c r="D1851" s="2" t="str">
        <x:v>P.E. FONTESILVA</x:v>
      </x:c>
      <x:c r="E1851" s="4" t="n">
        <x:v>1.6484999999999999</x:v>
      </x:c>
      <x:c r="F1851" s="4" t="n">
        <x:f>J1851*0.99</x:f>
        <x:v>1.5986025000000001</x:v>
      </x:c>
      <x:c r="G1851" s="4" t="n">
        <x:v>10.8</x:v>
      </x:c>
      <x:c r="H1851" s="4" t="n">
        <x:v>103.34</x:v>
      </x:c>
      <x:c r="I1851" s="5" t="n">
        <x:f t="shared" si="28">F1851*1000*H1851</x:f>
        <x:v>165199.58235</x:v>
      </x:c>
      <x:c r="J1851" t="n">
        <x:v>1.6147500000000001</x:v>
      </x:c>
    </x:row>
    <x:row r="1852">
      <x:c r="A1852" s="3" t="n">
        <x:v>2023</x:v>
      </x:c>
      <x:c r="B1852" s="2" t="str">
        <x:v>Septiembre</x:v>
      </x:c>
      <x:c r="C1852" s="2" t="str">
        <x:v>RE-101652-4</x:v>
      </x:c>
      <x:c r="D1852" s="2" t="str">
        <x:v>P.E. FONTESILVA</x:v>
      </x:c>
      <x:c r="E1852" s="4" t="n">
        <x:v>1.0990000000000002</x:v>
      </x:c>
      <x:c r="F1852" s="4" t="n">
        <x:f>J1852*0.99</x:f>
        <x:v>1.0657349999999999</x:v>
      </x:c>
      <x:c r="G1852" s="4" t="n">
        <x:v>7.2</x:v>
      </x:c>
      <x:c r="H1852" s="4" t="n">
        <x:v>103.34</x:v>
      </x:c>
      <x:c r="I1852" s="5" t="n">
        <x:f t="shared" si="28">F1852*1000*H1852</x:f>
        <x:v>110133.05489999999</x:v>
      </x:c>
      <x:c r="J1852" t="n">
        <x:v>1.0764999999999998</x:v>
      </x:c>
    </x:row>
    <x:row r="1853">
      <x:c r="A1853" s="3" t="n">
        <x:v>2023</x:v>
      </x:c>
      <x:c r="B1853" s="2" t="str">
        <x:v>Octubre</x:v>
      </x:c>
      <x:c r="C1853" s="2" t="str">
        <x:v>RE-101652-2</x:v>
      </x:c>
      <x:c r="D1853" s="2" t="str">
        <x:v>P.E. FONTESILVA</x:v>
      </x:c>
      <x:c r="E1853" s="4" t="n">
        <x:v>2.449125</x:v>
      </x:c>
      <x:c r="F1853" s="4" t="n">
        <x:f>J1853*0.95</x:f>
        <x:v>2.2775062499999996</x:v>
      </x:c>
      <x:c r="G1853" s="4" t="n">
        <x:v>10.8</x:v>
      </x:c>
      <x:c r="H1853" s="4" t="n">
        <x:v>90.14</x:v>
      </x:c>
      <x:c r="I1853" s="5" t="n">
        <x:f t="shared" si="28">F1853*1000*H1853</x:f>
        <x:v>205294.41337499995</x:v>
      </x:c>
      <x:c r="J1853" t="n">
        <x:v>2.397375</x:v>
      </x:c>
    </x:row>
    <x:row r="1854">
      <x:c r="A1854" s="3" t="n">
        <x:v>2023</x:v>
      </x:c>
      <x:c r="B1854" s="2" t="str">
        <x:v>Octubre</x:v>
      </x:c>
      <x:c r="C1854" s="2" t="str">
        <x:v>RE-101652-3</x:v>
      </x:c>
      <x:c r="D1854" s="2" t="str">
        <x:v>P.E. FONTESILVA</x:v>
      </x:c>
      <x:c r="E1854" s="4" t="n">
        <x:v>2.449125</x:v>
      </x:c>
      <x:c r="F1854" s="4" t="n">
        <x:f>J1854*0.95</x:f>
        <x:v>2.2775062499999996</x:v>
      </x:c>
      <x:c r="G1854" s="4" t="n">
        <x:v>10.8</x:v>
      </x:c>
      <x:c r="H1854" s="4" t="n">
        <x:v>90.14</x:v>
      </x:c>
      <x:c r="I1854" s="5" t="n">
        <x:f t="shared" si="28">F1854*1000*H1854</x:f>
        <x:v>205294.41337499995</x:v>
      </x:c>
      <x:c r="J1854" t="n">
        <x:v>2.397375</x:v>
      </x:c>
    </x:row>
    <x:row r="1855">
      <x:c r="A1855" s="3" t="n">
        <x:v>2023</x:v>
      </x:c>
      <x:c r="B1855" s="2" t="str">
        <x:v>Octubre</x:v>
      </x:c>
      <x:c r="C1855" s="2" t="str">
        <x:v>RE-101652-4</x:v>
      </x:c>
      <x:c r="D1855" s="2" t="str">
        <x:v>P.E. FONTESILVA</x:v>
      </x:c>
      <x:c r="E1855" s="4" t="n">
        <x:v>1.6327499999999997</x:v>
      </x:c>
      <x:c r="F1855" s="4" t="n">
        <x:f>J1855*0.95</x:f>
        <x:v>1.5183375000000001</x:v>
      </x:c>
      <x:c r="G1855" s="4" t="n">
        <x:v>7.2</x:v>
      </x:c>
      <x:c r="H1855" s="4" t="n">
        <x:v>90.14</x:v>
      </x:c>
      <x:c r="I1855" s="5" t="n">
        <x:f t="shared" si="28">F1855*1000*H1855</x:f>
        <x:v>136862.94225000002</x:v>
      </x:c>
      <x:c r="J1855" t="n">
        <x:v>1.5982500000000002</x:v>
      </x:c>
    </x:row>
    <x:row r="1856">
      <x:c r="A1856" s="3" t="n">
        <x:v>2023</x:v>
      </x:c>
      <x:c r="B1856" s="2" t="str">
        <x:v>Noviembre</x:v>
      </x:c>
      <x:c r="C1856" s="2" t="str">
        <x:v>RE-101652-2</x:v>
      </x:c>
      <x:c r="D1856" s="2" t="str">
        <x:v>P.E. FONTESILVA</x:v>
      </x:c>
      <x:c r="E1856" s="4" t="n">
        <x:v>2.2196249999999997</x:v>
      </x:c>
      <x:c r="F1856" s="4" t="n">
        <x:f>J1856*1.02</x:f>
        <x:v>2.19555</x:v>
      </x:c>
      <x:c r="G1856" s="4" t="n">
        <x:v>10.8</x:v>
      </x:c>
      <x:c r="H1856" s="4" t="n">
        <x:v>63.45</x:v>
      </x:c>
      <x:c r="I1856" s="5" t="n">
        <x:f t="shared" si="28">F1856*1000*H1856</x:f>
        <x:v>139307.6475</x:v>
      </x:c>
      <x:c r="J1856" t="n">
        <x:v>2.1525</x:v>
      </x:c>
    </x:row>
    <x:row r="1857">
      <x:c r="A1857" s="3" t="n">
        <x:v>2023</x:v>
      </x:c>
      <x:c r="B1857" s="2" t="str">
        <x:v>Noviembre</x:v>
      </x:c>
      <x:c r="C1857" s="2" t="str">
        <x:v>RE-101652-3</x:v>
      </x:c>
      <x:c r="D1857" s="2" t="str">
        <x:v>P.E. FONTESILVA</x:v>
      </x:c>
      <x:c r="E1857" s="4" t="n">
        <x:v>2.2196249999999997</x:v>
      </x:c>
      <x:c r="F1857" s="4" t="n">
        <x:f>J1857*1.02</x:f>
        <x:v>2.19555</x:v>
      </x:c>
      <x:c r="G1857" s="4" t="n">
        <x:v>10.8</x:v>
      </x:c>
      <x:c r="H1857" s="4" t="n">
        <x:v>63.45</x:v>
      </x:c>
      <x:c r="I1857" s="5" t="n">
        <x:f t="shared" si="28">F1857*1000*H1857</x:f>
        <x:v>139307.6475</x:v>
      </x:c>
      <x:c r="J1857" t="n">
        <x:v>2.1525</x:v>
      </x:c>
    </x:row>
    <x:row r="1858">
      <x:c r="A1858" s="3" t="n">
        <x:v>2023</x:v>
      </x:c>
      <x:c r="B1858" s="2" t="str">
        <x:v>Noviembre</x:v>
      </x:c>
      <x:c r="C1858" s="2" t="str">
        <x:v>RE-101652-4</x:v>
      </x:c>
      <x:c r="D1858" s="2" t="str">
        <x:v>P.E. FONTESILVA</x:v>
      </x:c>
      <x:c r="E1858" s="4" t="n">
        <x:v>1.4797500000000001</x:v>
      </x:c>
      <x:c r="F1858" s="4" t="n">
        <x:f>J1858*1.02</x:f>
        <x:v>1.4637000000000004</x:v>
      </x:c>
      <x:c r="G1858" s="4" t="n">
        <x:v>7.2</x:v>
      </x:c>
      <x:c r="H1858" s="4" t="n">
        <x:v>63.45</x:v>
      </x:c>
      <x:c r="I1858" s="5" t="n">
        <x:f t="shared" ref="I1858:I1921" si="29">F1858*1000*H1858</x:f>
        <x:v>92871.76500000004</x:v>
      </x:c>
      <x:c r="J1858" t="n">
        <x:v>1.4350000000000005</x:v>
      </x:c>
    </x:row>
    <x:row r="1859">
      <x:c r="A1859" s="3" t="n">
        <x:v>2023</x:v>
      </x:c>
      <x:c r="B1859" s="2" t="str">
        <x:v>Diciembre</x:v>
      </x:c>
      <x:c r="C1859" s="2" t="str">
        <x:v>RE-101652-2</x:v>
      </x:c>
      <x:c r="D1859" s="2" t="str">
        <x:v>P.E. FONTESILVA</x:v>
      </x:c>
      <x:c r="E1859" s="4" t="n">
        <x:v>3.0525</x:v>
      </x:c>
      <x:c r="F1859" s="4" t="n">
        <x:f>J1859*0.98</x:f>
        <x:v>2.9447775</x:v>
      </x:c>
      <x:c r="G1859" s="4" t="n">
        <x:v>10.8</x:v>
      </x:c>
      <x:c r="H1859" s="4" t="n">
        <x:v>72.17</x:v>
      </x:c>
      <x:c r="I1859" s="5" t="n">
        <x:f t="shared" si="29">F1859*1000*H1859</x:f>
        <x:v>212524.59217499997</x:v>
      </x:c>
      <x:c r="J1859" t="n">
        <x:v>3.0048749999999997</x:v>
      </x:c>
    </x:row>
    <x:row r="1860">
      <x:c r="A1860" s="3" t="n">
        <x:v>2023</x:v>
      </x:c>
      <x:c r="B1860" s="2" t="str">
        <x:v>Diciembre</x:v>
      </x:c>
      <x:c r="C1860" s="2" t="str">
        <x:v>RE-101652-3</x:v>
      </x:c>
      <x:c r="D1860" s="2" t="str">
        <x:v>P.E. FONTESILVA</x:v>
      </x:c>
      <x:c r="E1860" s="4" t="n">
        <x:v>3.0525</x:v>
      </x:c>
      <x:c r="F1860" s="4" t="n">
        <x:f>J1860*0.98</x:f>
        <x:v>2.9447775</x:v>
      </x:c>
      <x:c r="G1860" s="4" t="n">
        <x:v>10.8</x:v>
      </x:c>
      <x:c r="H1860" s="4" t="n">
        <x:v>72.17</x:v>
      </x:c>
      <x:c r="I1860" s="5" t="n">
        <x:f t="shared" si="29">F1860*1000*H1860</x:f>
        <x:v>212524.59217499997</x:v>
      </x:c>
      <x:c r="J1860" t="n">
        <x:v>3.0048749999999997</x:v>
      </x:c>
    </x:row>
    <x:row r="1861">
      <x:c r="A1861" s="3" t="n">
        <x:v>2023</x:v>
      </x:c>
      <x:c r="B1861" s="2" t="str">
        <x:v>Diciembre</x:v>
      </x:c>
      <x:c r="C1861" s="2" t="str">
        <x:v>RE-101652-4</x:v>
      </x:c>
      <x:c r="D1861" s="2" t="str">
        <x:v>P.E. FONTESILVA</x:v>
      </x:c>
      <x:c r="E1861" s="4" t="n">
        <x:v>2.035</x:v>
      </x:c>
      <x:c r="F1861" s="4" t="n">
        <x:f>J1861*0.98</x:f>
        <x:v>1.9631850000000004</x:v>
      </x:c>
      <x:c r="G1861" s="4" t="n">
        <x:v>7.2</x:v>
      </x:c>
      <x:c r="H1861" s="4" t="n">
        <x:v>72.17</x:v>
      </x:c>
      <x:c r="I1861" s="5" t="n">
        <x:f t="shared" si="29">F1861*1000*H1861</x:f>
        <x:v>141683.06145000004</x:v>
      </x:c>
      <x:c r="J1861" t="n">
        <x:v>2.0032500000000004</x:v>
      </x:c>
    </x:row>
    <x:row r="1862">
      <x:c r="A1862" s="3" t="n">
        <x:v>2023</x:v>
      </x:c>
      <x:c r="B1862" s="2" t="str">
        <x:v>Enero</x:v>
      </x:c>
      <x:c r="C1862" s="2" t="str">
        <x:v>RE-101905-2</x:v>
      </x:c>
      <x:c r="D1862" s="2" t="str">
        <x:v>P.E. COUTEIRO</x:v>
      </x:c>
      <x:c r="E1862" s="4" t="n">
        <x:v>2.287</x:v>
      </x:c>
      <x:c r="F1862" s="4" t="n">
        <x:f>J1862*0.94</x:f>
        <x:v>2.0915</x:v>
      </x:c>
      <x:c r="G1862" s="4" t="n">
        <x:v>7.8</x:v>
      </x:c>
      <x:c r="H1862" s="4" t="n">
        <x:v>69.55</x:v>
      </x:c>
      <x:c r="I1862" s="5" t="n">
        <x:f t="shared" si="29">F1862*1000*H1862</x:f>
        <x:v>145463.82499999998</x:v>
      </x:c>
      <x:c r="J1862" t="n">
        <x:v>2.225</x:v>
      </x:c>
    </x:row>
    <x:row r="1863">
      <x:c r="A1863" s="3" t="n">
        <x:v>2023</x:v>
      </x:c>
      <x:c r="B1863" s="2" t="str">
        <x:v>Febrero</x:v>
      </x:c>
      <x:c r="C1863" s="2" t="str">
        <x:v>RE-101905-2</x:v>
      </x:c>
      <x:c r="D1863" s="2" t="str">
        <x:v>P.E. COUTEIRO</x:v>
      </x:c>
      <x:c r="E1863" s="4" t="n">
        <x:v>1.806</x:v>
      </x:c>
      <x:c r="F1863" s="4" t="n">
        <x:f>J1863*1.01</x:f>
        <x:v>1.78063</x:v>
      </x:c>
      <x:c r="G1863" s="4" t="n">
        <x:v>7.8</x:v>
      </x:c>
      <x:c r="H1863" s="4" t="n">
        <x:v>133.47</x:v>
      </x:c>
      <x:c r="I1863" s="5" t="n">
        <x:f t="shared" si="29">F1863*1000*H1863</x:f>
        <x:v>237660.6861</x:v>
      </x:c>
      <x:c r="J1863" t="n">
        <x:v>1.763</x:v>
      </x:c>
    </x:row>
    <x:row r="1864">
      <x:c r="A1864" s="3" t="n">
        <x:v>2023</x:v>
      </x:c>
      <x:c r="B1864" s="2" t="str">
        <x:v>Marzo</x:v>
      </x:c>
      <x:c r="C1864" s="2" t="str">
        <x:v>RE-101905-2</x:v>
      </x:c>
      <x:c r="D1864" s="2" t="str">
        <x:v>P.E. COUTEIRO</x:v>
      </x:c>
      <x:c r="E1864" s="4" t="n">
        <x:v>2.071</x:v>
      </x:c>
      <x:c r="F1864" s="4" t="n">
        <x:f>J1864*0.97</x:f>
        <x:v>1.9729799999999997</x:v>
      </x:c>
      <x:c r="G1864" s="4" t="n">
        <x:v>7.8</x:v>
      </x:c>
      <x:c r="H1864" s="4" t="n">
        <x:v>89.61</x:v>
      </x:c>
      <x:c r="I1864" s="5" t="n">
        <x:f t="shared" si="29">F1864*1000*H1864</x:f>
        <x:v>176798.73779999997</x:v>
      </x:c>
      <x:c r="J1864" t="n">
        <x:v>2.034</x:v>
      </x:c>
    </x:row>
    <x:row r="1865">
      <x:c r="A1865" s="3" t="n">
        <x:v>2023</x:v>
      </x:c>
      <x:c r="B1865" s="2" t="str">
        <x:v>Abril</x:v>
      </x:c>
      <x:c r="C1865" s="2" t="str">
        <x:v>RE-101905-2</x:v>
      </x:c>
      <x:c r="D1865" s="2" t="str">
        <x:v>P.E. COUTEIRO</x:v>
      </x:c>
      <x:c r="E1865" s="4" t="n">
        <x:v>1.536</x:v>
      </x:c>
      <x:c r="F1865" s="4" t="n">
        <x:f>J1865*1.04</x:f>
        <x:v>1.55272</x:v>
      </x:c>
      <x:c r="G1865" s="4" t="n">
        <x:v>7.8</x:v>
      </x:c>
      <x:c r="H1865" s="4" t="n">
        <x:v>73.73</x:v>
      </x:c>
      <x:c r="I1865" s="5" t="n">
        <x:f t="shared" si="29">F1865*1000*H1865</x:f>
        <x:v>114482.04560000001</x:v>
      </x:c>
      <x:c r="J1865" t="n">
        <x:v>1.493</x:v>
      </x:c>
    </x:row>
    <x:row r="1866">
      <x:c r="A1866" s="3" t="n">
        <x:v>2023</x:v>
      </x:c>
      <x:c r="B1866" s="2" t="str">
        <x:v>Mayo</x:v>
      </x:c>
      <x:c r="C1866" s="2" t="str">
        <x:v>RE-101905-2</x:v>
      </x:c>
      <x:c r="D1866" s="2" t="str">
        <x:v>P.E. COUTEIRO</x:v>
      </x:c>
      <x:c r="E1866" s="4" t="n">
        <x:v>1.276</x:v>
      </x:c>
      <x:c r="F1866" s="4" t="n">
        <x:f>J1866*1</x:f>
        <x:v>1.254</x:v>
      </x:c>
      <x:c r="G1866" s="4" t="n">
        <x:v>7.8</x:v>
      </x:c>
      <x:c r="H1866" s="4" t="n">
        <x:v>74.21</x:v>
      </x:c>
      <x:c r="I1866" s="5" t="n">
        <x:f t="shared" si="29">F1866*1000*H1866</x:f>
        <x:v>93059.34</x:v>
      </x:c>
      <x:c r="J1866" t="n">
        <x:v>1.254</x:v>
      </x:c>
    </x:row>
    <x:row r="1867">
      <x:c r="A1867" s="3" t="n">
        <x:v>2023</x:v>
      </x:c>
      <x:c r="B1867" s="2" t="str">
        <x:v>Junio</x:v>
      </x:c>
      <x:c r="C1867" s="2" t="str">
        <x:v>RE-101905-2</x:v>
      </x:c>
      <x:c r="D1867" s="2" t="str">
        <x:v>P.E. COUTEIRO</x:v>
      </x:c>
      <x:c r="E1867" s="4" t="n">
        <x:v>1.172</x:v>
      </x:c>
      <x:c r="F1867" s="4" t="n">
        <x:f>J1867*0.96</x:f>
        <x:v>1.1011199999999999</x:v>
      </x:c>
      <x:c r="G1867" s="4" t="n">
        <x:v>7.8</x:v>
      </x:c>
      <x:c r="H1867" s="4" t="n">
        <x:v>93.02</x:v>
      </x:c>
      <x:c r="I1867" s="5" t="n">
        <x:f t="shared" si="29">F1867*1000*H1867</x:f>
        <x:v>102426.18239999999</x:v>
      </x:c>
      <x:c r="J1867" t="n">
        <x:v>1.147</x:v>
      </x:c>
    </x:row>
    <x:row r="1868">
      <x:c r="A1868" s="3" t="n">
        <x:v>2023</x:v>
      </x:c>
      <x:c r="B1868" s="2" t="str">
        <x:v>Julio</x:v>
      </x:c>
      <x:c r="C1868" s="2" t="str">
        <x:v>RE-101905-2</x:v>
      </x:c>
      <x:c r="D1868" s="2" t="str">
        <x:v>P.E. COUTEIRO</x:v>
      </x:c>
      <x:c r="E1868" s="4" t="n">
        <x:v>1.132</x:v>
      </x:c>
      <x:c r="F1868" s="4" t="n">
        <x:f>J1868*1.03</x:f>
        <x:v>1.13094</x:v>
      </x:c>
      <x:c r="G1868" s="4" t="n">
        <x:v>7.8</x:v>
      </x:c>
      <x:c r="H1868" s="4" t="n">
        <x:v>90.47</x:v>
      </x:c>
      <x:c r="I1868" s="5" t="n">
        <x:f t="shared" si="29">F1868*1000*H1868</x:f>
        <x:v>102316.1418</x:v>
      </x:c>
      <x:c r="J1868" t="n">
        <x:v>1.098</x:v>
      </x:c>
    </x:row>
    <x:row r="1869">
      <x:c r="A1869" s="3" t="n">
        <x:v>2023</x:v>
      </x:c>
      <x:c r="B1869" s="2" t="str">
        <x:v>Agosto</x:v>
      </x:c>
      <x:c r="C1869" s="2" t="str">
        <x:v>RE-101905-2</x:v>
      </x:c>
      <x:c r="D1869" s="2" t="str">
        <x:v>P.E. COUTEIRO</x:v>
      </x:c>
      <x:c r="E1869" s="4" t="n">
        <x:v>1.258</x:v>
      </x:c>
      <x:c r="F1869" s="4" t="n">
        <x:f>J1869*0.99</x:f>
        <x:v>1.2068100000000002</x:v>
      </x:c>
      <x:c r="G1869" s="4" t="n">
        <x:v>7.8</x:v>
      </x:c>
      <x:c r="H1869" s="4" t="n">
        <x:v>96.05</x:v>
      </x:c>
      <x:c r="I1869" s="5" t="n">
        <x:f t="shared" si="29">F1869*1000*H1869</x:f>
        <x:v>115914.10050000002</x:v>
      </x:c>
      <x:c r="J1869" t="n">
        <x:v>1.219</x:v>
      </x:c>
    </x:row>
    <x:row r="1870">
      <x:c r="A1870" s="3" t="n">
        <x:v>2023</x:v>
      </x:c>
      <x:c r="B1870" s="2" t="str">
        <x:v>Septiembre</x:v>
      </x:c>
      <x:c r="C1870" s="2" t="str">
        <x:v>RE-101905-2</x:v>
      </x:c>
      <x:c r="D1870" s="2" t="str">
        <x:v>P.E. COUTEIRO</x:v>
      </x:c>
      <x:c r="E1870" s="4" t="n">
        <x:v>1.264</x:v>
      </x:c>
      <x:c r="F1870" s="4" t="n">
        <x:f>J1870*0.95</x:f>
        <x:v>1.16755</x:v>
      </x:c>
      <x:c r="G1870" s="4" t="n">
        <x:v>7.8</x:v>
      </x:c>
      <x:c r="H1870" s="4" t="n">
        <x:v>103.34</x:v>
      </x:c>
      <x:c r="I1870" s="5" t="n">
        <x:f t="shared" si="29">F1870*1000*H1870</x:f>
        <x:v>120654.61700000003</x:v>
      </x:c>
      <x:c r="J1870" t="n">
        <x:v>1.229</x:v>
      </x:c>
    </x:row>
    <x:row r="1871">
      <x:c r="A1871" s="3" t="n">
        <x:v>2023</x:v>
      </x:c>
      <x:c r="B1871" s="2" t="str">
        <x:v>Octubre</x:v>
      </x:c>
      <x:c r="C1871" s="2" t="str">
        <x:v>RE-101905-2</x:v>
      </x:c>
      <x:c r="D1871" s="2" t="str">
        <x:v>P.E. COUTEIRO</x:v>
      </x:c>
      <x:c r="E1871" s="4" t="n">
        <x:v>1.606</x:v>
      </x:c>
      <x:c r="F1871" s="4" t="n">
        <x:f>J1871*1.02</x:f>
        <x:v>1.59528</x:v>
      </x:c>
      <x:c r="G1871" s="4" t="n">
        <x:v>7.8</x:v>
      </x:c>
      <x:c r="H1871" s="4" t="n">
        <x:v>90.14</x:v>
      </x:c>
      <x:c r="I1871" s="5" t="n">
        <x:f t="shared" si="29">F1871*1000*H1871</x:f>
        <x:v>143798.5392</x:v>
      </x:c>
      <x:c r="J1871" t="n">
        <x:v>1.564</x:v>
      </x:c>
    </x:row>
    <x:row r="1872">
      <x:c r="A1872" s="3" t="n">
        <x:v>2023</x:v>
      </x:c>
      <x:c r="B1872" s="2" t="str">
        <x:v>Noviembre</x:v>
      </x:c>
      <x:c r="C1872" s="2" t="str">
        <x:v>RE-101905-2</x:v>
      </x:c>
      <x:c r="D1872" s="2" t="str">
        <x:v>P.E. COUTEIRO</x:v>
      </x:c>
      <x:c r="E1872" s="4" t="n">
        <x:v>2.007</x:v>
      </x:c>
      <x:c r="F1872" s="4" t="n">
        <x:f>J1872*0.98</x:f>
        <x:v>1.9090399999999998</x:v>
      </x:c>
      <x:c r="G1872" s="4" t="n">
        <x:v>7.8</x:v>
      </x:c>
      <x:c r="H1872" s="4" t="n">
        <x:v>63.45</x:v>
      </x:c>
      <x:c r="I1872" s="5" t="n">
        <x:f t="shared" si="29">F1872*1000*H1872</x:f>
        <x:v>121128.58799999999</x:v>
      </x:c>
      <x:c r="J1872" t="n">
        <x:v>1.948</x:v>
      </x:c>
    </x:row>
    <x:row r="1873">
      <x:c r="A1873" s="3" t="n">
        <x:v>2023</x:v>
      </x:c>
      <x:c r="B1873" s="2" t="str">
        <x:v>Diciembre</x:v>
      </x:c>
      <x:c r="C1873" s="2" t="str">
        <x:v>RE-101905-2</x:v>
      </x:c>
      <x:c r="D1873" s="2" t="str">
        <x:v>P.E. COUTEIRO</x:v>
      </x:c>
      <x:c r="E1873" s="4" t="n">
        <x:v>1.893</x:v>
      </x:c>
      <x:c r="F1873" s="4" t="n">
        <x:f>J1873*0.94</x:f>
        <x:v>1.73336</x:v>
      </x:c>
      <x:c r="G1873" s="4" t="n">
        <x:v>7.8</x:v>
      </x:c>
      <x:c r="H1873" s="4" t="n">
        <x:v>72.17</x:v>
      </x:c>
      <x:c r="I1873" s="5" t="n">
        <x:f t="shared" si="29">F1873*1000*H1873</x:f>
        <x:v>125096.5912</x:v>
      </x:c>
      <x:c r="J1873" t="n">
        <x:v>1.844</x:v>
      </x:c>
    </x:row>
    <x:row r="1874">
      <x:c r="A1874" s="3" t="n">
        <x:v>2023</x:v>
      </x:c>
      <x:c r="B1874" s="2" t="str">
        <x:v>Enero</x:v>
      </x:c>
      <x:c r="C1874" s="2" t="str">
        <x:v>RE-101906-2</x:v>
      </x:c>
      <x:c r="D1874" s="2" t="str">
        <x:v>P.E. VILACHA</x:v>
      </x:c>
      <x:c r="E1874" s="4" t="n">
        <x:v>1.928</x:v>
      </x:c>
      <x:c r="F1874" s="4" t="n">
        <x:f>J1874*1.01</x:f>
        <x:v>1.88769</x:v>
      </x:c>
      <x:c r="G1874" s="4" t="n">
        <x:v>7.8</x:v>
      </x:c>
      <x:c r="H1874" s="4" t="n">
        <x:v>69.55</x:v>
      </x:c>
      <x:c r="I1874" s="5" t="n">
        <x:f t="shared" si="29">F1874*1000*H1874</x:f>
        <x:v>131288.8395</x:v>
      </x:c>
      <x:c r="J1874" t="n">
        <x:v>1.869</x:v>
      </x:c>
    </x:row>
    <x:row r="1875">
      <x:c r="A1875" s="3" t="n">
        <x:v>2023</x:v>
      </x:c>
      <x:c r="B1875" s="2" t="str">
        <x:v>Febrero</x:v>
      </x:c>
      <x:c r="C1875" s="2" t="str">
        <x:v>RE-101906-2</x:v>
      </x:c>
      <x:c r="D1875" s="2" t="str">
        <x:v>P.E. VILACHA</x:v>
      </x:c>
      <x:c r="E1875" s="4" t="n">
        <x:v>1.74</x:v>
      </x:c>
      <x:c r="F1875" s="4" t="n">
        <x:f>J1875*0.97</x:f>
        <x:v>1.64803</x:v>
      </x:c>
      <x:c r="G1875" s="4" t="n">
        <x:v>7.8</x:v>
      </x:c>
      <x:c r="H1875" s="4" t="n">
        <x:v>133.47</x:v>
      </x:c>
      <x:c r="I1875" s="5" t="n">
        <x:f t="shared" si="29">F1875*1000*H1875</x:f>
        <x:v>219962.56410000002</x:v>
      </x:c>
      <x:c r="J1875" t="n">
        <x:v>1.699</x:v>
      </x:c>
    </x:row>
    <x:row r="1876">
      <x:c r="A1876" s="3" t="n">
        <x:v>2023</x:v>
      </x:c>
      <x:c r="B1876" s="2" t="str">
        <x:v>Marzo</x:v>
      </x:c>
      <x:c r="C1876" s="2" t="str">
        <x:v>RE-101906-2</x:v>
      </x:c>
      <x:c r="D1876" s="2" t="str">
        <x:v>P.E. VILACHA</x:v>
      </x:c>
      <x:c r="E1876" s="4" t="n">
        <x:v>1.944</x:v>
      </x:c>
      <x:c r="F1876" s="4" t="n">
        <x:f>J1876*1.04</x:f>
        <x:v>1.9864</x:v>
      </x:c>
      <x:c r="G1876" s="4" t="n">
        <x:v>7.8</x:v>
      </x:c>
      <x:c r="H1876" s="4" t="n">
        <x:v>89.61</x:v>
      </x:c>
      <x:c r="I1876" s="5" t="n">
        <x:f t="shared" si="29">F1876*1000*H1876</x:f>
        <x:v>178001.30399999997</x:v>
      </x:c>
      <x:c r="J1876" t="n">
        <x:v>1.91</x:v>
      </x:c>
    </x:row>
    <x:row r="1877">
      <x:c r="A1877" s="3" t="n">
        <x:v>2023</x:v>
      </x:c>
      <x:c r="B1877" s="2" t="str">
        <x:v>Abril</x:v>
      </x:c>
      <x:c r="C1877" s="2" t="str">
        <x:v>RE-101906-2</x:v>
      </x:c>
      <x:c r="D1877" s="2" t="str">
        <x:v>P.E. VILACHA</x:v>
      </x:c>
      <x:c r="E1877" s="4" t="n">
        <x:v>1.431</x:v>
      </x:c>
      <x:c r="F1877" s="4" t="n">
        <x:f>J1877*1</x:f>
        <x:v>1.401</x:v>
      </x:c>
      <x:c r="G1877" s="4" t="n">
        <x:v>7.8</x:v>
      </x:c>
      <x:c r="H1877" s="4" t="n">
        <x:v>73.73</x:v>
      </x:c>
      <x:c r="I1877" s="5" t="n">
        <x:f t="shared" si="29">F1877*1000*H1877</x:f>
        <x:v>103295.73000000001</x:v>
      </x:c>
      <x:c r="J1877" t="n">
        <x:v>1.401</x:v>
      </x:c>
    </x:row>
    <x:row r="1878">
      <x:c r="A1878" s="3" t="n">
        <x:v>2023</x:v>
      </x:c>
      <x:c r="B1878" s="2" t="str">
        <x:v>Mayo</x:v>
      </x:c>
      <x:c r="C1878" s="2" t="str">
        <x:v>RE-101906-2</x:v>
      </x:c>
      <x:c r="D1878" s="2" t="str">
        <x:v>P.E. VILACHA</x:v>
      </x:c>
      <x:c r="E1878" s="4" t="n">
        <x:v>1.531</x:v>
      </x:c>
      <x:c r="F1878" s="4" t="n">
        <x:f>J1878*0.96</x:f>
        <x:v>1.44</x:v>
      </x:c>
      <x:c r="G1878" s="4" t="n">
        <x:v>7.8</x:v>
      </x:c>
      <x:c r="H1878" s="4" t="n">
        <x:v>74.21</x:v>
      </x:c>
      <x:c r="I1878" s="5" t="n">
        <x:f t="shared" si="29">F1878*1000*H1878</x:f>
        <x:v>106862.4</x:v>
      </x:c>
      <x:c r="J1878" t="n">
        <x:v>1.5</x:v>
      </x:c>
    </x:row>
    <x:row r="1879">
      <x:c r="A1879" s="3" t="n">
        <x:v>2023</x:v>
      </x:c>
      <x:c r="B1879" s="2" t="str">
        <x:v>Junio</x:v>
      </x:c>
      <x:c r="C1879" s="2" t="str">
        <x:v>RE-101906-2</x:v>
      </x:c>
      <x:c r="D1879" s="2" t="str">
        <x:v>P.E. VILACHA</x:v>
      </x:c>
      <x:c r="E1879" s="4" t="n">
        <x:v>1.121</x:v>
      </x:c>
      <x:c r="F1879" s="4" t="n">
        <x:f>J1879*1.03</x:f>
        <x:v>1.1268200000000002</x:v>
      </x:c>
      <x:c r="G1879" s="4" t="n">
        <x:v>7.8</x:v>
      </x:c>
      <x:c r="H1879" s="4" t="n">
        <x:v>93.02</x:v>
      </x:c>
      <x:c r="I1879" s="5" t="n">
        <x:f t="shared" si="29">F1879*1000*H1879</x:f>
        <x:v>104816.7964</x:v>
      </x:c>
      <x:c r="J1879" t="n">
        <x:v>1.094</x:v>
      </x:c>
    </x:row>
    <x:row r="1880">
      <x:c r="A1880" s="3" t="n">
        <x:v>2023</x:v>
      </x:c>
      <x:c r="B1880" s="2" t="str">
        <x:v>Julio</x:v>
      </x:c>
      <x:c r="C1880" s="2" t="str">
        <x:v>RE-101906-2</x:v>
      </x:c>
      <x:c r="D1880" s="2" t="str">
        <x:v>P.E. VILACHA</x:v>
      </x:c>
      <x:c r="E1880" s="4" t="n">
        <x:v>1.296</x:v>
      </x:c>
      <x:c r="F1880" s="4" t="n">
        <x:f>J1880*0.99</x:f>
        <x:v>1.24938</x:v>
      </x:c>
      <x:c r="G1880" s="4" t="n">
        <x:v>7.8</x:v>
      </x:c>
      <x:c r="H1880" s="4" t="n">
        <x:v>90.47</x:v>
      </x:c>
      <x:c r="I1880" s="5" t="n">
        <x:f t="shared" si="29">F1880*1000*H1880</x:f>
        <x:v>113031.40859999998</x:v>
      </x:c>
      <x:c r="J1880" t="n">
        <x:v>1.262</x:v>
      </x:c>
    </x:row>
    <x:row r="1881">
      <x:c r="A1881" s="3" t="n">
        <x:v>2023</x:v>
      </x:c>
      <x:c r="B1881" s="2" t="str">
        <x:v>Agosto</x:v>
      </x:c>
      <x:c r="C1881" s="2" t="str">
        <x:v>RE-101906-2</x:v>
      </x:c>
      <x:c r="D1881" s="2" t="str">
        <x:v>P.E. VILACHA</x:v>
      </x:c>
      <x:c r="E1881" s="4" t="n">
        <x:v>1.119</x:v>
      </x:c>
      <x:c r="F1881" s="4" t="n">
        <x:f>J1881*0.95</x:f>
        <x:v>1.0412000000000001</x:v>
      </x:c>
      <x:c r="G1881" s="4" t="n">
        <x:v>7.8</x:v>
      </x:c>
      <x:c r="H1881" s="4" t="n">
        <x:v>96.05</x:v>
      </x:c>
      <x:c r="I1881" s="5" t="n">
        <x:f t="shared" si="29">F1881*1000*H1881</x:f>
        <x:v>100007.26</x:v>
      </x:c>
      <x:c r="J1881" t="n">
        <x:v>1.096</x:v>
      </x:c>
    </x:row>
    <x:row r="1882">
      <x:c r="A1882" s="3" t="n">
        <x:v>2023</x:v>
      </x:c>
      <x:c r="B1882" s="2" t="str">
        <x:v>Septiembre</x:v>
      </x:c>
      <x:c r="C1882" s="2" t="str">
        <x:v>RE-101906-2</x:v>
      </x:c>
      <x:c r="D1882" s="2" t="str">
        <x:v>P.E. VILACHA</x:v>
      </x:c>
      <x:c r="E1882" s="4" t="n">
        <x:v>1.384</x:v>
      </x:c>
      <x:c r="F1882" s="4" t="n">
        <x:f>J1882*1.02</x:f>
        <x:v>1.38414</x:v>
      </x:c>
      <x:c r="G1882" s="4" t="n">
        <x:v>7.8</x:v>
      </x:c>
      <x:c r="H1882" s="4" t="n">
        <x:v>103.34</x:v>
      </x:c>
      <x:c r="I1882" s="5" t="n">
        <x:f t="shared" si="29">F1882*1000*H1882</x:f>
        <x:v>143037.0276</x:v>
      </x:c>
      <x:c r="J1882" t="n">
        <x:v>1.357</x:v>
      </x:c>
    </x:row>
    <x:row r="1883">
      <x:c r="A1883" s="3" t="n">
        <x:v>2023</x:v>
      </x:c>
      <x:c r="B1883" s="2" t="str">
        <x:v>Octubre</x:v>
      </x:c>
      <x:c r="C1883" s="2" t="str">
        <x:v>RE-101906-2</x:v>
      </x:c>
      <x:c r="D1883" s="2" t="str">
        <x:v>P.E. VILACHA</x:v>
      </x:c>
      <x:c r="E1883" s="4" t="n">
        <x:v>1.746</x:v>
      </x:c>
      <x:c r="F1883" s="4" t="n">
        <x:f>J1883*0.98</x:f>
        <x:v>1.6679599999999999</x:v>
      </x:c>
      <x:c r="G1883" s="4" t="n">
        <x:v>7.8</x:v>
      </x:c>
      <x:c r="H1883" s="4" t="n">
        <x:v>90.14</x:v>
      </x:c>
      <x:c r="I1883" s="5" t="n">
        <x:f t="shared" si="29">F1883*1000*H1883</x:f>
        <x:v>150349.91439999998</x:v>
      </x:c>
      <x:c r="J1883" t="n">
        <x:v>1.702</x:v>
      </x:c>
    </x:row>
    <x:row r="1884">
      <x:c r="A1884" s="3" t="n">
        <x:v>2023</x:v>
      </x:c>
      <x:c r="B1884" s="2" t="str">
        <x:v>Noviembre</x:v>
      </x:c>
      <x:c r="C1884" s="2" t="str">
        <x:v>RE-101906-2</x:v>
      </x:c>
      <x:c r="D1884" s="2" t="str">
        <x:v>P.E. VILACHA</x:v>
      </x:c>
      <x:c r="E1884" s="4" t="n">
        <x:v>1.859</x:v>
      </x:c>
      <x:c r="F1884" s="4" t="n">
        <x:f>J1884*0.94</x:f>
        <x:v>1.69388</x:v>
      </x:c>
      <x:c r="G1884" s="4" t="n">
        <x:v>7.8</x:v>
      </x:c>
      <x:c r="H1884" s="4" t="n">
        <x:v>63.45</x:v>
      </x:c>
      <x:c r="I1884" s="5" t="n">
        <x:f t="shared" si="29">F1884*1000*H1884</x:f>
        <x:v>107476.68600000002</x:v>
      </x:c>
      <x:c r="J1884" t="n">
        <x:v>1.802</x:v>
      </x:c>
    </x:row>
    <x:row r="1885">
      <x:c r="A1885" s="3" t="n">
        <x:v>2023</x:v>
      </x:c>
      <x:c r="B1885" s="2" t="str">
        <x:v>Diciembre</x:v>
      </x:c>
      <x:c r="C1885" s="2" t="str">
        <x:v>RE-101906-2</x:v>
      </x:c>
      <x:c r="D1885" s="2" t="str">
        <x:v>P.E. VILACHA</x:v>
      </x:c>
      <x:c r="E1885" s="4" t="n">
        <x:v>2.546</x:v>
      </x:c>
      <x:c r="F1885" s="4" t="n">
        <x:f>J1885*1.01</x:f>
        <x:v>2.52803</x:v>
      </x:c>
      <x:c r="G1885" s="4" t="n">
        <x:v>7.8</x:v>
      </x:c>
      <x:c r="H1885" s="4" t="n">
        <x:v>72.17</x:v>
      </x:c>
      <x:c r="I1885" s="5" t="n">
        <x:f t="shared" si="29">F1885*1000*H1885</x:f>
        <x:v>182447.92510000002</x:v>
      </x:c>
      <x:c r="J1885" t="n">
        <x:v>2.503</x:v>
      </x:c>
    </x:row>
    <x:row r="1886">
      <x:c r="A1886" s="3" t="n">
        <x:v>2023</x:v>
      </x:c>
      <x:c r="B1886" s="2" t="str">
        <x:v>Enero</x:v>
      </x:c>
      <x:c r="C1886" s="2" t="str">
        <x:v>RE-102116-2</x:v>
      </x:c>
      <x:c r="D1886" s="2" t="str">
        <x:v>Parque Eólico Alto do Seixal</x:v>
      </x:c>
      <x:c r="E1886" s="4" t="n">
        <x:v>6.957</x:v>
      </x:c>
      <x:c r="F1886" s="4" t="n">
        <x:f>J1886*0.97</x:f>
        <x:v>6.58048</x:v>
      </x:c>
      <x:c r="G1886" s="4" t="n">
        <x:v>30</x:v>
      </x:c>
      <x:c r="H1886" s="4" t="n">
        <x:v>69.55</x:v>
      </x:c>
      <x:c r="I1886" s="5" t="n">
        <x:f t="shared" si="29">F1886*1000*H1886</x:f>
        <x:v>457672.38399999996</x:v>
      </x:c>
      <x:c r="J1886" t="n">
        <x:v>6.784</x:v>
      </x:c>
    </x:row>
    <x:row r="1887">
      <x:c r="A1887" s="3" t="n">
        <x:v>2023</x:v>
      </x:c>
      <x:c r="B1887" s="2" t="str">
        <x:v>Febrero</x:v>
      </x:c>
      <x:c r="C1887" s="2" t="str">
        <x:v>RE-102116-2</x:v>
      </x:c>
      <x:c r="D1887" s="2" t="str">
        <x:v>Parque Eólico Alto do Seixal</x:v>
      </x:c>
      <x:c r="E1887" s="4" t="n">
        <x:v>6.632</x:v>
      </x:c>
      <x:c r="F1887" s="4" t="n">
        <x:f>J1887*1.04</x:f>
        <x:v>6.705920000000001</x:v>
      </x:c>
      <x:c r="G1887" s="4" t="n">
        <x:v>30</x:v>
      </x:c>
      <x:c r="H1887" s="4" t="n">
        <x:v>133.47</x:v>
      </x:c>
      <x:c r="I1887" s="5" t="n">
        <x:f t="shared" si="29">F1887*1000*H1887</x:f>
        <x:v>895039.1424000001</x:v>
      </x:c>
      <x:c r="J1887" t="n">
        <x:v>6.448</x:v>
      </x:c>
    </x:row>
    <x:row r="1888">
      <x:c r="A1888" s="3" t="n">
        <x:v>2023</x:v>
      </x:c>
      <x:c r="B1888" s="2" t="str">
        <x:v>Marzo</x:v>
      </x:c>
      <x:c r="C1888" s="2" t="str">
        <x:v>RE-102116-2</x:v>
      </x:c>
      <x:c r="D1888" s="2" t="str">
        <x:v>Parque Eólico Alto do Seixal</x:v>
      </x:c>
      <x:c r="E1888" s="4" t="n">
        <x:v>6.503</x:v>
      </x:c>
      <x:c r="F1888" s="4" t="n">
        <x:f>J1888*1</x:f>
        <x:v>6.352</x:v>
      </x:c>
      <x:c r="G1888" s="4" t="n">
        <x:v>30</x:v>
      </x:c>
      <x:c r="H1888" s="4" t="n">
        <x:v>89.61</x:v>
      </x:c>
      <x:c r="I1888" s="5" t="n">
        <x:f t="shared" si="29">F1888*1000*H1888</x:f>
        <x:v>569202.72</x:v>
      </x:c>
      <x:c r="J1888" t="n">
        <x:v>6.352</x:v>
      </x:c>
    </x:row>
    <x:row r="1889">
      <x:c r="A1889" s="3" t="n">
        <x:v>2023</x:v>
      </x:c>
      <x:c r="B1889" s="2" t="str">
        <x:v>Abril</x:v>
      </x:c>
      <x:c r="C1889" s="2" t="str">
        <x:v>RE-102116-2</x:v>
      </x:c>
      <x:c r="D1889" s="2" t="str">
        <x:v>Parque Eólico Alto do Seixal</x:v>
      </x:c>
      <x:c r="E1889" s="4" t="n">
        <x:v>5.726</x:v>
      </x:c>
      <x:c r="F1889" s="4" t="n">
        <x:f>J1889*0.96</x:f>
        <x:v>5.39424</x:v>
      </x:c>
      <x:c r="G1889" s="4" t="n">
        <x:v>30</x:v>
      </x:c>
      <x:c r="H1889" s="4" t="n">
        <x:v>73.73</x:v>
      </x:c>
      <x:c r="I1889" s="5" t="n">
        <x:f t="shared" si="29">F1889*1000*H1889</x:f>
        <x:v>397717.3152</x:v>
      </x:c>
      <x:c r="J1889" t="n">
        <x:v>5.619</x:v>
      </x:c>
    </x:row>
    <x:row r="1890">
      <x:c r="A1890" s="3" t="n">
        <x:v>2023</x:v>
      </x:c>
      <x:c r="B1890" s="2" t="str">
        <x:v>Mayo</x:v>
      </x:c>
      <x:c r="C1890" s="2" t="str">
        <x:v>RE-102116-2</x:v>
      </x:c>
      <x:c r="D1890" s="2" t="str">
        <x:v>Parque Eólico Alto do Seixal</x:v>
      </x:c>
      <x:c r="E1890" s="4" t="n">
        <x:v>4.337</x:v>
      </x:c>
      <x:c r="F1890" s="4" t="n">
        <x:f>J1890*1.03</x:f>
        <x:v>4.39501</x:v>
      </x:c>
      <x:c r="G1890" s="4" t="n">
        <x:v>30</x:v>
      </x:c>
      <x:c r="H1890" s="4" t="n">
        <x:v>74.21</x:v>
      </x:c>
      <x:c r="I1890" s="5" t="n">
        <x:f t="shared" si="29">F1890*1000*H1890</x:f>
        <x:v>326153.6921</x:v>
      </x:c>
      <x:c r="J1890" t="n">
        <x:v>4.267</x:v>
      </x:c>
    </x:row>
    <x:row r="1891">
      <x:c r="A1891" s="3" t="n">
        <x:v>2023</x:v>
      </x:c>
      <x:c r="B1891" s="2" t="str">
        <x:v>Junio</x:v>
      </x:c>
      <x:c r="C1891" s="2" t="str">
        <x:v>RE-102116-2</x:v>
      </x:c>
      <x:c r="D1891" s="2" t="str">
        <x:v>Parque Eólico Alto do Seixal</x:v>
      </x:c>
      <x:c r="E1891" s="4" t="n">
        <x:v>4.203</x:v>
      </x:c>
      <x:c r="F1891" s="4" t="n">
        <x:f>J1891*0.99</x:f>
        <x:v>4.05405</x:v>
      </x:c>
      <x:c r="G1891" s="4" t="n">
        <x:v>30</x:v>
      </x:c>
      <x:c r="H1891" s="4" t="n">
        <x:v>93.02</x:v>
      </x:c>
      <x:c r="I1891" s="5" t="n">
        <x:f t="shared" si="29">F1891*1000*H1891</x:f>
        <x:v>377107.731</x:v>
      </x:c>
      <x:c r="J1891" t="n">
        <x:v>4.095</x:v>
      </x:c>
    </x:row>
    <x:row r="1892">
      <x:c r="A1892" s="3" t="n">
        <x:v>2023</x:v>
      </x:c>
      <x:c r="B1892" s="2" t="str">
        <x:v>Julio</x:v>
      </x:c>
      <x:c r="C1892" s="2" t="str">
        <x:v>RE-102116-2</x:v>
      </x:c>
      <x:c r="D1892" s="2" t="str">
        <x:v>Parque Eólico Alto do Seixal</x:v>
      </x:c>
      <x:c r="E1892" s="4" t="n">
        <x:v>3.949</x:v>
      </x:c>
      <x:c r="F1892" s="4" t="n">
        <x:f>J1892*0.95</x:f>
        <x:v>3.6879</x:v>
      </x:c>
      <x:c r="G1892" s="4" t="n">
        <x:v>30</x:v>
      </x:c>
      <x:c r="H1892" s="4" t="n">
        <x:v>90.47</x:v>
      </x:c>
      <x:c r="I1892" s="5" t="n">
        <x:f t="shared" si="29">F1892*1000*H1892</x:f>
        <x:v>333644.313</x:v>
      </x:c>
      <x:c r="J1892" t="n">
        <x:v>3.882</x:v>
      </x:c>
    </x:row>
    <x:row r="1893">
      <x:c r="A1893" s="3" t="n">
        <x:v>2023</x:v>
      </x:c>
      <x:c r="B1893" s="2" t="str">
        <x:v>Agosto</x:v>
      </x:c>
      <x:c r="C1893" s="2" t="str">
        <x:v>RE-102116-2</x:v>
      </x:c>
      <x:c r="D1893" s="2" t="str">
        <x:v>Parque Eólico Alto do Seixal</x:v>
      </x:c>
      <x:c r="E1893" s="4" t="n">
        <x:v>3.96</x:v>
      </x:c>
      <x:c r="F1893" s="4" t="n">
        <x:f>J1893*1.02</x:f>
        <x:v>3.97596</x:v>
      </x:c>
      <x:c r="G1893" s="4" t="n">
        <x:v>30</x:v>
      </x:c>
      <x:c r="H1893" s="4" t="n">
        <x:v>96.05</x:v>
      </x:c>
      <x:c r="I1893" s="5" t="n">
        <x:f t="shared" si="29">F1893*1000*H1893</x:f>
        <x:v>381890.958</x:v>
      </x:c>
      <x:c r="J1893" t="n">
        <x:v>3.898</x:v>
      </x:c>
    </x:row>
    <x:row r="1894">
      <x:c r="A1894" s="3" t="n">
        <x:v>2023</x:v>
      </x:c>
      <x:c r="B1894" s="2" t="str">
        <x:v>Septiembre</x:v>
      </x:c>
      <x:c r="C1894" s="2" t="str">
        <x:v>RE-102116-2</x:v>
      </x:c>
      <x:c r="D1894" s="2" t="str">
        <x:v>Parque Eólico Alto do Seixal</x:v>
      </x:c>
      <x:c r="E1894" s="4" t="n">
        <x:v>4.725</x:v>
      </x:c>
      <x:c r="F1894" s="4" t="n">
        <x:f>J1894*0.98</x:f>
        <x:v>4.51584</x:v>
      </x:c>
      <x:c r="G1894" s="4" t="n">
        <x:v>30</x:v>
      </x:c>
      <x:c r="H1894" s="4" t="n">
        <x:v>103.34</x:v>
      </x:c>
      <x:c r="I1894" s="5" t="n">
        <x:f t="shared" si="29">F1894*1000*H1894</x:f>
        <x:v>466666.90560000006</x:v>
      </x:c>
      <x:c r="J1894" t="n">
        <x:v>4.608</x:v>
      </x:c>
    </x:row>
    <x:row r="1895">
      <x:c r="A1895" s="3" t="n">
        <x:v>2023</x:v>
      </x:c>
      <x:c r="B1895" s="2" t="str">
        <x:v>Octubre</x:v>
      </x:c>
      <x:c r="C1895" s="2" t="str">
        <x:v>RE-102116-2</x:v>
      </x:c>
      <x:c r="D1895" s="2" t="str">
        <x:v>Parque Eólico Alto do Seixal</x:v>
      </x:c>
      <x:c r="E1895" s="4" t="n">
        <x:v>5.99</x:v>
      </x:c>
      <x:c r="F1895" s="4" t="n">
        <x:f>J1895*0.94</x:f>
        <x:v>5.48114</x:v>
      </x:c>
      <x:c r="G1895" s="4" t="n">
        <x:v>30</x:v>
      </x:c>
      <x:c r="H1895" s="4" t="n">
        <x:v>90.14</x:v>
      </x:c>
      <x:c r="I1895" s="5" t="n">
        <x:f t="shared" si="29">F1895*1000*H1895</x:f>
        <x:v>494069.95960000006</x:v>
      </x:c>
      <x:c r="J1895" t="n">
        <x:v>5.831</x:v>
      </x:c>
    </x:row>
    <x:row r="1896">
      <x:c r="A1896" s="3" t="n">
        <x:v>2023</x:v>
      </x:c>
      <x:c r="B1896" s="2" t="str">
        <x:v>Noviembre</x:v>
      </x:c>
      <x:c r="C1896" s="2" t="str">
        <x:v>RE-102116-2</x:v>
      </x:c>
      <x:c r="D1896" s="2" t="str">
        <x:v>Parque Eólico Alto do Seixal</x:v>
      </x:c>
      <x:c r="E1896" s="4" t="n">
        <x:v>7.191</x:v>
      </x:c>
      <x:c r="F1896" s="4" t="n">
        <x:f>J1896*1.01</x:f>
        <x:v>7.13565</x:v>
      </x:c>
      <x:c r="G1896" s="4" t="n">
        <x:v>30</x:v>
      </x:c>
      <x:c r="H1896" s="4" t="n">
        <x:v>63.45</x:v>
      </x:c>
      <x:c r="I1896" s="5" t="n">
        <x:f t="shared" si="29">F1896*1000*H1896</x:f>
        <x:v>452756.9925</x:v>
      </x:c>
      <x:c r="J1896" t="n">
        <x:v>7.065</x:v>
      </x:c>
    </x:row>
    <x:row r="1897">
      <x:c r="A1897" s="3" t="n">
        <x:v>2023</x:v>
      </x:c>
      <x:c r="B1897" s="2" t="str">
        <x:v>Diciembre</x:v>
      </x:c>
      <x:c r="C1897" s="2" t="str">
        <x:v>RE-102116-2</x:v>
      </x:c>
      <x:c r="D1897" s="2" t="str">
        <x:v>Parque Eólico Alto do Seixal</x:v>
      </x:c>
      <x:c r="E1897" s="4" t="n">
        <x:v>9.057</x:v>
      </x:c>
      <x:c r="F1897" s="4" t="n">
        <x:f>J1897*0.97</x:f>
        <x:v>8.63688</x:v>
      </x:c>
      <x:c r="G1897" s="4" t="n">
        <x:v>30</x:v>
      </x:c>
      <x:c r="H1897" s="4" t="n">
        <x:v>72.17</x:v>
      </x:c>
      <x:c r="I1897" s="5" t="n">
        <x:f t="shared" si="29">F1897*1000*H1897</x:f>
        <x:v>623323.6296</x:v>
      </x:c>
      <x:c r="J1897" t="n">
        <x:v>8.904</x:v>
      </x:c>
    </x:row>
    <x:row r="1898">
      <x:c r="A1898" s="3" t="n">
        <x:v>2023</x:v>
      </x:c>
      <x:c r="B1898" s="2" t="str">
        <x:v>Enero</x:v>
      </x:c>
      <x:c r="C1898" s="2" t="str">
        <x:v>RE-1023/1024-1</x:v>
      </x:c>
      <x:c r="D1898" s="2" t="str">
        <x:v>P. E. PAXAREIRAS- MONTEVOS (PAXAREIRAS I Y II A)</x:v>
      </x:c>
      <x:c r="E1898" s="4" t="n">
        <x:v>10.722</x:v>
      </x:c>
      <x:c r="F1898" s="4" t="n">
        <x:f>J1898*1.04</x:f>
        <x:v>10.97824</x:v>
      </x:c>
      <x:c r="G1898" s="4" t="n">
        <x:v>39.6</x:v>
      </x:c>
      <x:c r="H1898" s="4" t="n">
        <x:v>69.55</x:v>
      </x:c>
      <x:c r="I1898" s="5" t="n">
        <x:f t="shared" si="29">F1898*1000*H1898</x:f>
        <x:v>763536.592</x:v>
      </x:c>
      <x:c r="J1898" t="n">
        <x:v>10.556</x:v>
      </x:c>
    </x:row>
    <x:row r="1899">
      <x:c r="A1899" s="3" t="n">
        <x:v>2023</x:v>
      </x:c>
      <x:c r="B1899" s="2" t="str">
        <x:v>Febrero</x:v>
      </x:c>
      <x:c r="C1899" s="2" t="str">
        <x:v>RE-1023/1024-1</x:v>
      </x:c>
      <x:c r="D1899" s="2" t="str">
        <x:v>P. E. PAXAREIRAS- MONTEVOS (PAXAREIRAS I Y II A)</x:v>
      </x:c>
      <x:c r="E1899" s="4" t="n">
        <x:v>9.196</x:v>
      </x:c>
      <x:c r="F1899" s="4" t="n">
        <x:f>J1899*1</x:f>
        <x:v>8.935</x:v>
      </x:c>
      <x:c r="G1899" s="4" t="n">
        <x:v>39.6</x:v>
      </x:c>
      <x:c r="H1899" s="4" t="n">
        <x:v>133.47</x:v>
      </x:c>
      <x:c r="I1899" s="5" t="n">
        <x:f t="shared" si="29">F1899*1000*H1899</x:f>
        <x:v>1192554.45</x:v>
      </x:c>
      <x:c r="J1899" t="n">
        <x:v>8.935</x:v>
      </x:c>
    </x:row>
    <x:row r="1900">
      <x:c r="A1900" s="3" t="n">
        <x:v>2023</x:v>
      </x:c>
      <x:c r="B1900" s="2" t="str">
        <x:v>Marzo</x:v>
      </x:c>
      <x:c r="C1900" s="2" t="str">
        <x:v>RE-1023/1024-1</x:v>
      </x:c>
      <x:c r="D1900" s="2" t="str">
        <x:v>P. E. PAXAREIRAS- MONTEVOS (PAXAREIRAS I Y II A)</x:v>
      </x:c>
      <x:c r="E1900" s="4" t="n">
        <x:v>10.936</x:v>
      </x:c>
      <x:c r="F1900" s="4" t="n">
        <x:f>J1900*0.96</x:f>
        <x:v>10.27584</x:v>
      </x:c>
      <x:c r="G1900" s="4" t="n">
        <x:v>39.6</x:v>
      </x:c>
      <x:c r="H1900" s="4" t="n">
        <x:v>89.61</x:v>
      </x:c>
      <x:c r="I1900" s="5" t="n">
        <x:f t="shared" si="29">F1900*1000*H1900</x:f>
        <x:v>920818.0224</x:v>
      </x:c>
      <x:c r="J1900" t="n">
        <x:v>10.704</x:v>
      </x:c>
    </x:row>
    <x:row r="1901">
      <x:c r="A1901" s="3" t="n">
        <x:v>2023</x:v>
      </x:c>
      <x:c r="B1901" s="2" t="str">
        <x:v>Abril</x:v>
      </x:c>
      <x:c r="C1901" s="2" t="str">
        <x:v>RE-1023/1024-1</x:v>
      </x:c>
      <x:c r="D1901" s="2" t="str">
        <x:v>P. E. PAXAREIRAS- MONTEVOS (PAXAREIRAS I Y II A)</x:v>
      </x:c>
      <x:c r="E1901" s="4" t="n">
        <x:v>9.293</x:v>
      </x:c>
      <x:c r="F1901" s="4" t="n">
        <x:f>J1901*1.03</x:f>
        <x:v>9.331800000000001</x:v>
      </x:c>
      <x:c r="G1901" s="4" t="n">
        <x:v>39.6</x:v>
      </x:c>
      <x:c r="H1901" s="4" t="n">
        <x:v>73.73</x:v>
      </x:c>
      <x:c r="I1901" s="5" t="n">
        <x:f t="shared" si="29">F1901*1000*H1901</x:f>
        <x:v>688033.6140000001</x:v>
      </x:c>
      <x:c r="J1901" t="n">
        <x:v>9.06</x:v>
      </x:c>
    </x:row>
    <x:row r="1902">
      <x:c r="A1902" s="3" t="n">
        <x:v>2023</x:v>
      </x:c>
      <x:c r="B1902" s="2" t="str">
        <x:v>Mayo</x:v>
      </x:c>
      <x:c r="C1902" s="2" t="str">
        <x:v>RE-1023/1024-1</x:v>
      </x:c>
      <x:c r="D1902" s="2" t="str">
        <x:v>P. E. PAXAREIRAS- MONTEVOS (PAXAREIRAS I Y II A)</x:v>
      </x:c>
      <x:c r="E1902" s="4" t="n">
        <x:v>7.929</x:v>
      </x:c>
      <x:c r="F1902" s="4" t="n">
        <x:f>J1902*0.99</x:f>
        <x:v>7.7269499999999995</x:v>
      </x:c>
      <x:c r="G1902" s="4" t="n">
        <x:v>39.6</x:v>
      </x:c>
      <x:c r="H1902" s="4" t="n">
        <x:v>74.21</x:v>
      </x:c>
      <x:c r="I1902" s="5" t="n">
        <x:f t="shared" si="29">F1902*1000*H1902</x:f>
        <x:v>573416.9594999999</x:v>
      </x:c>
      <x:c r="J1902" t="n">
        <x:v>7.805</x:v>
      </x:c>
    </x:row>
    <x:row r="1903">
      <x:c r="A1903" s="3" t="n">
        <x:v>2023</x:v>
      </x:c>
      <x:c r="B1903" s="2" t="str">
        <x:v>Junio</x:v>
      </x:c>
      <x:c r="C1903" s="2" t="str">
        <x:v>RE-1023/1024-1</x:v>
      </x:c>
      <x:c r="D1903" s="2" t="str">
        <x:v>P. E. PAXAREIRAS- MONTEVOS (PAXAREIRAS I Y II A)</x:v>
      </x:c>
      <x:c r="E1903" s="4" t="n">
        <x:v>7.396</x:v>
      </x:c>
      <x:c r="F1903" s="4" t="n">
        <x:f>J1903*0.95</x:f>
        <x:v>6.816249999999999</x:v>
      </x:c>
      <x:c r="G1903" s="4" t="n">
        <x:v>39.6</x:v>
      </x:c>
      <x:c r="H1903" s="4" t="n">
        <x:v>93.02</x:v>
      </x:c>
      <x:c r="I1903" s="5" t="n">
        <x:f t="shared" si="29">F1903*1000*H1903</x:f>
        <x:v>634047.5749999998</x:v>
      </x:c>
      <x:c r="J1903" t="n">
        <x:v>7.175</x:v>
      </x:c>
    </x:row>
    <x:row r="1904">
      <x:c r="A1904" s="3" t="n">
        <x:v>2023</x:v>
      </x:c>
      <x:c r="B1904" s="2" t="str">
        <x:v>Julio</x:v>
      </x:c>
      <x:c r="C1904" s="2" t="str">
        <x:v>RE-1023/1024-1</x:v>
      </x:c>
      <x:c r="D1904" s="2" t="str">
        <x:v>P. E. PAXAREIRAS- MONTEVOS (PAXAREIRAS I Y II A)</x:v>
      </x:c>
      <x:c r="E1904" s="4" t="n">
        <x:v>6.99</x:v>
      </x:c>
      <x:c r="F1904" s="4" t="n">
        <x:f>J1904*1.02</x:f>
        <x:v>6.92172</x:v>
      </x:c>
      <x:c r="G1904" s="4" t="n">
        <x:v>39.6</x:v>
      </x:c>
      <x:c r="H1904" s="4" t="n">
        <x:v>90.47</x:v>
      </x:c>
      <x:c r="I1904" s="5" t="n">
        <x:f t="shared" si="29">F1904*1000*H1904</x:f>
        <x:v>626208.0083999999</x:v>
      </x:c>
      <x:c r="J1904" t="n">
        <x:v>6.786</x:v>
      </x:c>
    </x:row>
    <x:row r="1905">
      <x:c r="A1905" s="3" t="n">
        <x:v>2023</x:v>
      </x:c>
      <x:c r="B1905" s="2" t="str">
        <x:v>Agosto</x:v>
      </x:c>
      <x:c r="C1905" s="2" t="str">
        <x:v>RE-1023/1024-1</x:v>
      </x:c>
      <x:c r="D1905" s="2" t="str">
        <x:v>P. E. PAXAREIRAS- MONTEVOS (PAXAREIRAS I Y II A)</x:v>
      </x:c>
      <x:c r="E1905" s="4" t="n">
        <x:v>7.203</x:v>
      </x:c>
      <x:c r="F1905" s="4" t="n">
        <x:f>J1905*0.98</x:f>
        <x:v>6.9207600000000005</x:v>
      </x:c>
      <x:c r="G1905" s="4" t="n">
        <x:v>39.6</x:v>
      </x:c>
      <x:c r="H1905" s="4" t="n">
        <x:v>96.05</x:v>
      </x:c>
      <x:c r="I1905" s="5" t="n">
        <x:f t="shared" si="29">F1905*1000*H1905</x:f>
        <x:v>664738.998</x:v>
      </x:c>
      <x:c r="J1905" t="n">
        <x:v>7.062</x:v>
      </x:c>
    </x:row>
    <x:row r="1906">
      <x:c r="A1906" s="3" t="n">
        <x:v>2023</x:v>
      </x:c>
      <x:c r="B1906" s="2" t="str">
        <x:v>Septiembre</x:v>
      </x:c>
      <x:c r="C1906" s="2" t="str">
        <x:v>RE-1023/1024-1</x:v>
      </x:c>
      <x:c r="D1906" s="2" t="str">
        <x:v>P. E. PAXAREIRAS- MONTEVOS (PAXAREIRAS I Y II A)</x:v>
      </x:c>
      <x:c r="E1906" s="4" t="n">
        <x:v>7.52</x:v>
      </x:c>
      <x:c r="F1906" s="4" t="n">
        <x:f>J1906*0.94</x:f>
        <x:v>6.957879999999999</x:v>
      </x:c>
      <x:c r="G1906" s="4" t="n">
        <x:v>39.6</x:v>
      </x:c>
      <x:c r="H1906" s="4" t="n">
        <x:v>103.34</x:v>
      </x:c>
      <x:c r="I1906" s="5" t="n">
        <x:f t="shared" si="29">F1906*1000*H1906</x:f>
        <x:v>719027.3191999999</x:v>
      </x:c>
      <x:c r="J1906" t="n">
        <x:v>7.402</x:v>
      </x:c>
    </x:row>
    <x:row r="1907">
      <x:c r="A1907" s="3" t="n">
        <x:v>2023</x:v>
      </x:c>
      <x:c r="B1907" s="2" t="str">
        <x:v>Octubre</x:v>
      </x:c>
      <x:c r="C1907" s="2" t="str">
        <x:v>RE-1023/1024-1</x:v>
      </x:c>
      <x:c r="D1907" s="2" t="str">
        <x:v>P. E. PAXAREIRAS- MONTEVOS (PAXAREIRAS I Y II A)</x:v>
      </x:c>
      <x:c r="E1907" s="4" t="n">
        <x:v>8.791</x:v>
      </x:c>
      <x:c r="F1907" s="4" t="n">
        <x:f>J1907*1.01</x:f>
        <x:v>8.71024</x:v>
      </x:c>
      <x:c r="G1907" s="4" t="n">
        <x:v>39.6</x:v>
      </x:c>
      <x:c r="H1907" s="4" t="n">
        <x:v>90.14</x:v>
      </x:c>
      <x:c r="I1907" s="5" t="n">
        <x:f t="shared" si="29">F1907*1000*H1907</x:f>
        <x:v>785141.0336</x:v>
      </x:c>
      <x:c r="J1907" t="n">
        <x:v>8.624</x:v>
      </x:c>
    </x:row>
    <x:row r="1908">
      <x:c r="A1908" s="3" t="n">
        <x:v>2023</x:v>
      </x:c>
      <x:c r="B1908" s="2" t="str">
        <x:v>Noviembre</x:v>
      </x:c>
      <x:c r="C1908" s="2" t="str">
        <x:v>RE-1023/1024-1</x:v>
      </x:c>
      <x:c r="D1908" s="2" t="str">
        <x:v>P. E. PAXAREIRAS- MONTEVOS (PAXAREIRAS I Y II A)</x:v>
      </x:c>
      <x:c r="E1908" s="4" t="n">
        <x:v>9.271</x:v>
      </x:c>
      <x:c r="F1908" s="4" t="n">
        <x:f>J1908*0.97</x:f>
        <x:v>8.85707</x:v>
      </x:c>
      <x:c r="G1908" s="4" t="n">
        <x:v>39.6</x:v>
      </x:c>
      <x:c r="H1908" s="4" t="n">
        <x:v>63.45</x:v>
      </x:c>
      <x:c r="I1908" s="5" t="n">
        <x:f t="shared" si="29">F1908*1000*H1908</x:f>
        <x:v>561981.0915</x:v>
      </x:c>
      <x:c r="J1908" t="n">
        <x:v>9.131</x:v>
      </x:c>
    </x:row>
    <x:row r="1909">
      <x:c r="A1909" s="3" t="n">
        <x:v>2023</x:v>
      </x:c>
      <x:c r="B1909" s="2" t="str">
        <x:v>Diciembre</x:v>
      </x:c>
      <x:c r="C1909" s="2" t="str">
        <x:v>RE-1023/1024-1</x:v>
      </x:c>
      <x:c r="D1909" s="2" t="str">
        <x:v>P. E. PAXAREIRAS- MONTEVOS (PAXAREIRAS I Y II A)</x:v>
      </x:c>
      <x:c r="E1909" s="4" t="n">
        <x:v>13.109</x:v>
      </x:c>
      <x:c r="F1909" s="4" t="n">
        <x:f>J1909*1.04</x:f>
        <x:v>13.294319999999999</x:v>
      </x:c>
      <x:c r="G1909" s="4" t="n">
        <x:v>39.6</x:v>
      </x:c>
      <x:c r="H1909" s="4" t="n">
        <x:v>72.17</x:v>
      </x:c>
      <x:c r="I1909" s="5" t="n">
        <x:f t="shared" si="29">F1909*1000*H1909</x:f>
        <x:v>959451.0744</x:v>
      </x:c>
      <x:c r="J1909" t="n">
        <x:v>12.783</x:v>
      </x:c>
    </x:row>
    <x:row r="1910">
      <x:c r="A1910" s="3" t="n">
        <x:v>2023</x:v>
      </x:c>
      <x:c r="B1910" s="2" t="str">
        <x:v>Enero</x:v>
      </x:c>
      <x:c r="C1910" s="2" t="str">
        <x:v>RE-102798-1</x:v>
      </x:c>
      <x:c r="D1910" s="2" t="str">
        <x:v>P.E. CODESAS FASE II</x:v>
      </x:c>
      <x:c r="E1910" s="4" t="n">
        <x:v>5.089</x:v>
      </x:c>
      <x:c r="F1910" s="4" t="n">
        <x:f>J1910*1</x:f>
        <x:v>5.009</x:v>
      </x:c>
      <x:c r="G1910" s="4" t="n">
        <x:v>21.25</x:v>
      </x:c>
      <x:c r="H1910" s="4" t="n">
        <x:v>69.55</x:v>
      </x:c>
      <x:c r="I1910" s="5" t="n">
        <x:f t="shared" si="29">F1910*1000*H1910</x:f>
        <x:v>348375.95</x:v>
      </x:c>
      <x:c r="J1910" t="n">
        <x:v>5.009</x:v>
      </x:c>
    </x:row>
    <x:row r="1911">
      <x:c r="A1911" s="3" t="n">
        <x:v>2023</x:v>
      </x:c>
      <x:c r="B1911" s="2" t="str">
        <x:v>Febrero</x:v>
      </x:c>
      <x:c r="C1911" s="2" t="str">
        <x:v>RE-102798-1</x:v>
      </x:c>
      <x:c r="D1911" s="2" t="str">
        <x:v>P.E. CODESAS FASE II</x:v>
      </x:c>
      <x:c r="E1911" s="4" t="n">
        <x:v>4.087</x:v>
      </x:c>
      <x:c r="F1911" s="4" t="n">
        <x:f>J1911*0.96</x:f>
        <x:v>3.83136</x:v>
      </x:c>
      <x:c r="G1911" s="4" t="n">
        <x:v>21.25</x:v>
      </x:c>
      <x:c r="H1911" s="4" t="n">
        <x:v>133.47</x:v>
      </x:c>
      <x:c r="I1911" s="5" t="n">
        <x:f t="shared" si="29">F1911*1000*H1911</x:f>
        <x:v>511371.6192</x:v>
      </x:c>
      <x:c r="J1911" t="n">
        <x:v>3.991</x:v>
      </x:c>
    </x:row>
    <x:row r="1912">
      <x:c r="A1912" s="3" t="n">
        <x:v>2023</x:v>
      </x:c>
      <x:c r="B1912" s="2" t="str">
        <x:v>Marzo</x:v>
      </x:c>
      <x:c r="C1912" s="2" t="str">
        <x:v>RE-102798-1</x:v>
      </x:c>
      <x:c r="D1912" s="2" t="str">
        <x:v>P.E. CODESAS FASE II</x:v>
      </x:c>
      <x:c r="E1912" s="4" t="n">
        <x:v>5.132</x:v>
      </x:c>
      <x:c r="F1912" s="4" t="n">
        <x:f>J1912*1.03</x:f>
        <x:v>5.15412</x:v>
      </x:c>
      <x:c r="G1912" s="4" t="n">
        <x:v>21.25</x:v>
      </x:c>
      <x:c r="H1912" s="4" t="n">
        <x:v>89.61</x:v>
      </x:c>
      <x:c r="I1912" s="5" t="n">
        <x:f t="shared" si="29">F1912*1000*H1912</x:f>
        <x:v>461860.6932</x:v>
      </x:c>
      <x:c r="J1912" t="n">
        <x:v>5.004</x:v>
      </x:c>
    </x:row>
    <x:row r="1913">
      <x:c r="A1913" s="3" t="n">
        <x:v>2023</x:v>
      </x:c>
      <x:c r="B1913" s="2" t="str">
        <x:v>Abril</x:v>
      </x:c>
      <x:c r="C1913" s="2" t="str">
        <x:v>RE-102798-1</x:v>
      </x:c>
      <x:c r="D1913" s="2" t="str">
        <x:v>P.E. CODESAS FASE II</x:v>
      </x:c>
      <x:c r="E1913" s="4" t="n">
        <x:v>4.081</x:v>
      </x:c>
      <x:c r="F1913" s="4" t="n">
        <x:f>J1913*0.99</x:f>
        <x:v>3.93129</x:v>
      </x:c>
      <x:c r="G1913" s="4" t="n">
        <x:v>21.25</x:v>
      </x:c>
      <x:c r="H1913" s="4" t="n">
        <x:v>73.73</x:v>
      </x:c>
      <x:c r="I1913" s="5" t="n">
        <x:f t="shared" si="29">F1913*1000*H1913</x:f>
        <x:v>289854.01170000003</x:v>
      </x:c>
      <x:c r="J1913" t="n">
        <x:v>3.971</x:v>
      </x:c>
    </x:row>
    <x:row r="1914">
      <x:c r="A1914" s="3" t="n">
        <x:v>2023</x:v>
      </x:c>
      <x:c r="B1914" s="2" t="str">
        <x:v>Mayo</x:v>
      </x:c>
      <x:c r="C1914" s="2" t="str">
        <x:v>RE-102798-1</x:v>
      </x:c>
      <x:c r="D1914" s="2" t="str">
        <x:v>P.E. CODESAS FASE II</x:v>
      </x:c>
      <x:c r="E1914" s="4" t="n">
        <x:v>3.929</x:v>
      </x:c>
      <x:c r="F1914" s="4" t="n">
        <x:f>J1914*0.95</x:f>
        <x:v>3.6403999999999996</x:v>
      </x:c>
      <x:c r="G1914" s="4" t="n">
        <x:v>21.25</x:v>
      </x:c>
      <x:c r="H1914" s="4" t="n">
        <x:v>74.21</x:v>
      </x:c>
      <x:c r="I1914" s="5" t="n">
        <x:f t="shared" si="29">F1914*1000*H1914</x:f>
        <x:v>270154.084</x:v>
      </x:c>
      <x:c r="J1914" t="n">
        <x:v>3.832</x:v>
      </x:c>
    </x:row>
    <x:row r="1915">
      <x:c r="A1915" s="3" t="n">
        <x:v>2023</x:v>
      </x:c>
      <x:c r="B1915" s="2" t="str">
        <x:v>Junio</x:v>
      </x:c>
      <x:c r="C1915" s="2" t="str">
        <x:v>RE-102798-1</x:v>
      </x:c>
      <x:c r="D1915" s="2" t="str">
        <x:v>P.E. CODESAS FASE II</x:v>
      </x:c>
      <x:c r="E1915" s="4" t="n">
        <x:v>2.582</x:v>
      </x:c>
      <x:c r="F1915" s="4" t="n">
        <x:f>J1915*1.02</x:f>
        <x:v>2.5806</x:v>
      </x:c>
      <x:c r="G1915" s="4" t="n">
        <x:v>21.25</x:v>
      </x:c>
      <x:c r="H1915" s="4" t="n">
        <x:v>93.02</x:v>
      </x:c>
      <x:c r="I1915" s="5" t="n">
        <x:f t="shared" si="29">F1915*1000*H1915</x:f>
        <x:v>240047.41199999998</x:v>
      </x:c>
      <x:c r="J1915" t="n">
        <x:v>2.53</x:v>
      </x:c>
    </x:row>
    <x:row r="1916">
      <x:c r="A1916" s="3" t="n">
        <x:v>2023</x:v>
      </x:c>
      <x:c r="B1916" s="2" t="str">
        <x:v>Julio</x:v>
      </x:c>
      <x:c r="C1916" s="2" t="str">
        <x:v>RE-102798-1</x:v>
      </x:c>
      <x:c r="D1916" s="2" t="str">
        <x:v>P.E. CODESAS FASE II</x:v>
      </x:c>
      <x:c r="E1916" s="4" t="n">
        <x:v>3.068</x:v>
      </x:c>
      <x:c r="F1916" s="4" t="n">
        <x:f>J1916*0.98</x:f>
        <x:v>2.9547</x:v>
      </x:c>
      <x:c r="G1916" s="4" t="n">
        <x:v>21.25</x:v>
      </x:c>
      <x:c r="H1916" s="4" t="n">
        <x:v>90.47</x:v>
      </x:c>
      <x:c r="I1916" s="5" t="n">
        <x:f t="shared" si="29">F1916*1000*H1916</x:f>
        <x:v>267311.709</x:v>
      </x:c>
      <x:c r="J1916" t="n">
        <x:v>3.015</x:v>
      </x:c>
    </x:row>
    <x:row r="1917">
      <x:c r="A1917" s="3" t="n">
        <x:v>2023</x:v>
      </x:c>
      <x:c r="B1917" s="2" t="str">
        <x:v>Agosto</x:v>
      </x:c>
      <x:c r="C1917" s="2" t="str">
        <x:v>RE-102798-1</x:v>
      </x:c>
      <x:c r="D1917" s="2" t="str">
        <x:v>P.E. CODESAS FASE II</x:v>
      </x:c>
      <x:c r="E1917" s="4" t="n">
        <x:v>2.761</x:v>
      </x:c>
      <x:c r="F1917" s="4" t="n">
        <x:f>J1917*0.94</x:f>
        <x:v>2.5521</x:v>
      </x:c>
      <x:c r="G1917" s="4" t="n">
        <x:v>21.25</x:v>
      </x:c>
      <x:c r="H1917" s="4" t="n">
        <x:v>96.05</x:v>
      </x:c>
      <x:c r="I1917" s="5" t="n">
        <x:f t="shared" si="29">F1917*1000*H1917</x:f>
        <x:v>245129.205</x:v>
      </x:c>
      <x:c r="J1917" t="n">
        <x:v>2.715</x:v>
      </x:c>
    </x:row>
    <x:row r="1918">
      <x:c r="A1918" s="3" t="n">
        <x:v>2023</x:v>
      </x:c>
      <x:c r="B1918" s="2" t="str">
        <x:v>Septiembre</x:v>
      </x:c>
      <x:c r="C1918" s="2" t="str">
        <x:v>RE-102798-1</x:v>
      </x:c>
      <x:c r="D1918" s="2" t="str">
        <x:v>P.E. CODESAS FASE II</x:v>
      </x:c>
      <x:c r="E1918" s="4" t="n">
        <x:v>3.204</x:v>
      </x:c>
      <x:c r="F1918" s="4" t="n">
        <x:f>J1918*1.01</x:f>
        <x:v>3.16736</x:v>
      </x:c>
      <x:c r="G1918" s="4" t="n">
        <x:v>21.25</x:v>
      </x:c>
      <x:c r="H1918" s="4" t="n">
        <x:v>103.34</x:v>
      </x:c>
      <x:c r="I1918" s="5" t="n">
        <x:f t="shared" si="29">F1918*1000*H1918</x:f>
        <x:v>327314.98240000004</x:v>
      </x:c>
      <x:c r="J1918" t="n">
        <x:v>3.136</x:v>
      </x:c>
    </x:row>
    <x:row r="1919">
      <x:c r="A1919" s="3" t="n">
        <x:v>2023</x:v>
      </x:c>
      <x:c r="B1919" s="2" t="str">
        <x:v>Octubre</x:v>
      </x:c>
      <x:c r="C1919" s="2" t="str">
        <x:v>RE-102798-1</x:v>
      </x:c>
      <x:c r="D1919" s="2" t="str">
        <x:v>P.E. CODESAS FASE II</x:v>
      </x:c>
      <x:c r="E1919" s="4" t="n">
        <x:v>4.674</x:v>
      </x:c>
      <x:c r="F1919" s="4" t="n">
        <x:f>J1919*0.97</x:f>
        <x:v>4.462969999999999</x:v>
      </x:c>
      <x:c r="G1919" s="4" t="n">
        <x:v>21.25</x:v>
      </x:c>
      <x:c r="H1919" s="4" t="n">
        <x:v>90.14</x:v>
      </x:c>
      <x:c r="I1919" s="5" t="n">
        <x:f t="shared" si="29">F1919*1000*H1919</x:f>
        <x:v>402292.11579999997</x:v>
      </x:c>
      <x:c r="J1919" t="n">
        <x:v>4.601</x:v>
      </x:c>
    </x:row>
    <x:row r="1920">
      <x:c r="A1920" s="3" t="n">
        <x:v>2023</x:v>
      </x:c>
      <x:c r="B1920" s="2" t="str">
        <x:v>Noviembre</x:v>
      </x:c>
      <x:c r="C1920" s="2" t="str">
        <x:v>RE-102798-1</x:v>
      </x:c>
      <x:c r="D1920" s="2" t="str">
        <x:v>P.E. CODESAS FASE II</x:v>
      </x:c>
      <x:c r="E1920" s="4" t="n">
        <x:v>4.621</x:v>
      </x:c>
      <x:c r="F1920" s="4" t="n">
        <x:f>J1920*1.04</x:f>
        <x:v>4.6550400000000005</x:v>
      </x:c>
      <x:c r="G1920" s="4" t="n">
        <x:v>21.25</x:v>
      </x:c>
      <x:c r="H1920" s="4" t="n">
        <x:v>63.45</x:v>
      </x:c>
      <x:c r="I1920" s="5" t="n">
        <x:f t="shared" si="29">F1920*1000*H1920</x:f>
        <x:v>295362.28800000006</x:v>
      </x:c>
      <x:c r="J1920" t="n">
        <x:v>4.476</x:v>
      </x:c>
    </x:row>
    <x:row r="1921">
      <x:c r="A1921" s="3" t="n">
        <x:v>2023</x:v>
      </x:c>
      <x:c r="B1921" s="2" t="str">
        <x:v>Diciembre</x:v>
      </x:c>
      <x:c r="C1921" s="2" t="str">
        <x:v>RE-102798-1</x:v>
      </x:c>
      <x:c r="D1921" s="2" t="str">
        <x:v>P.E. CODESAS FASE II</x:v>
      </x:c>
      <x:c r="E1921" s="4" t="n">
        <x:v>5.594</x:v>
      </x:c>
      <x:c r="F1921" s="4" t="n">
        <x:f>J1921*1</x:f>
        <x:v>5.431</x:v>
      </x:c>
      <x:c r="G1921" s="4" t="n">
        <x:v>21.25</x:v>
      </x:c>
      <x:c r="H1921" s="4" t="n">
        <x:v>72.17</x:v>
      </x:c>
      <x:c r="I1921" s="5" t="n">
        <x:f t="shared" si="29">F1921*1000*H1921</x:f>
        <x:v>391955.27</x:v>
      </x:c>
      <x:c r="J1921" t="n">
        <x:v>5.431</x:v>
      </x:c>
    </x:row>
    <x:row r="1922">
      <x:c r="A1922" s="3" t="n">
        <x:v>2023</x:v>
      </x:c>
      <x:c r="B1922" s="2" t="str">
        <x:v>Enero</x:v>
      </x:c>
      <x:c r="C1922" s="2" t="str">
        <x:v>RE-104296-1</x:v>
      </x:c>
      <x:c r="D1922" s="2" t="str">
        <x:v>PARQUE EOLICO SINGULAR DE ARTEIXO</x:v>
      </x:c>
      <x:c r="E1922" s="4" t="n">
        <x:v>0.45</x:v>
      </x:c>
      <x:c r="F1922" s="4" t="n">
        <x:f>J1922*0.96</x:f>
        <x:v>0.42336</x:v>
      </x:c>
      <x:c r="G1922" s="4" t="n">
        <x:v>2</x:v>
      </x:c>
      <x:c r="H1922" s="4" t="n">
        <x:v>69.55</x:v>
      </x:c>
      <x:c r="I1922" s="5" t="n">
        <x:f t="shared" ref="I1922:I1985" si="30">F1922*1000*H1922</x:f>
        <x:v>29444.688</x:v>
      </x:c>
      <x:c r="J1922" t="n">
        <x:v>0.441</x:v>
      </x:c>
    </x:row>
    <x:row r="1923">
      <x:c r="A1923" s="3" t="n">
        <x:v>2023</x:v>
      </x:c>
      <x:c r="B1923" s="2" t="str">
        <x:v>Febrero</x:v>
      </x:c>
      <x:c r="C1923" s="2" t="str">
        <x:v>RE-104296-1</x:v>
      </x:c>
      <x:c r="D1923" s="2" t="str">
        <x:v>PARQUE EOLICO SINGULAR DE ARTEIXO</x:v>
      </x:c>
      <x:c r="E1923" s="4" t="n">
        <x:v>0.442</x:v>
      </x:c>
      <x:c r="F1923" s="4" t="n">
        <x:f>J1923*1.03</x:f>
        <x:v>0.44496</x:v>
      </x:c>
      <x:c r="G1923" s="4" t="n">
        <x:v>2</x:v>
      </x:c>
      <x:c r="H1923" s="4" t="n">
        <x:v>133.47</x:v>
      </x:c>
      <x:c r="I1923" s="5" t="n">
        <x:f t="shared" si="30">F1923*1000*H1923</x:f>
        <x:v>59388.811200000004</x:v>
      </x:c>
      <x:c r="J1923" t="n">
        <x:v>0.432</x:v>
      </x:c>
    </x:row>
    <x:row r="1924">
      <x:c r="A1924" s="3" t="n">
        <x:v>2023</x:v>
      </x:c>
      <x:c r="B1924" s="2" t="str">
        <x:v>Marzo</x:v>
      </x:c>
      <x:c r="C1924" s="2" t="str">
        <x:v>RE-104296-1</x:v>
      </x:c>
      <x:c r="D1924" s="2" t="str">
        <x:v>PARQUE EOLICO SINGULAR DE ARTEIXO</x:v>
      </x:c>
      <x:c r="E1924" s="4" t="n">
        <x:v>0.403</x:v>
      </x:c>
      <x:c r="F1924" s="4" t="n">
        <x:f>J1924*0.99</x:f>
        <x:v>0.39006</x:v>
      </x:c>
      <x:c r="G1924" s="4" t="n">
        <x:v>2</x:v>
      </x:c>
      <x:c r="H1924" s="4" t="n">
        <x:v>89.61</x:v>
      </x:c>
      <x:c r="I1924" s="5" t="n">
        <x:f t="shared" si="30">F1924*1000*H1924</x:f>
        <x:v>34953.2766</x:v>
      </x:c>
      <x:c r="J1924" t="n">
        <x:v>0.394</x:v>
      </x:c>
    </x:row>
    <x:row r="1925">
      <x:c r="A1925" s="3" t="n">
        <x:v>2023</x:v>
      </x:c>
      <x:c r="B1925" s="2" t="str">
        <x:v>Abril</x:v>
      </x:c>
      <x:c r="C1925" s="2" t="str">
        <x:v>RE-104296-1</x:v>
      </x:c>
      <x:c r="D1925" s="2" t="str">
        <x:v>PARQUE EOLICO SINGULAR DE ARTEIXO</x:v>
      </x:c>
      <x:c r="E1925" s="4" t="n">
        <x:v>0.398</x:v>
      </x:c>
      <x:c r="F1925" s="4" t="n">
        <x:f>J1925*0.95</x:f>
        <x:v>0.36669999999999997</x:v>
      </x:c>
      <x:c r="G1925" s="4" t="n">
        <x:v>2</x:v>
      </x:c>
      <x:c r="H1925" s="4" t="n">
        <x:v>73.73</x:v>
      </x:c>
      <x:c r="I1925" s="5" t="n">
        <x:f t="shared" si="30">F1925*1000*H1925</x:f>
        <x:v>27036.791</x:v>
      </x:c>
      <x:c r="J1925" t="n">
        <x:v>0.386</x:v>
      </x:c>
    </x:row>
    <x:row r="1926">
      <x:c r="A1926" s="3" t="n">
        <x:v>2023</x:v>
      </x:c>
      <x:c r="B1926" s="2" t="str">
        <x:v>Mayo</x:v>
      </x:c>
      <x:c r="C1926" s="2" t="str">
        <x:v>RE-104296-1</x:v>
      </x:c>
      <x:c r="D1926" s="2" t="str">
        <x:v>PARQUE EOLICO SINGULAR DE ARTEIXO</x:v>
      </x:c>
      <x:c r="E1926" s="4" t="n">
        <x:v>0.327</x:v>
      </x:c>
      <x:c r="F1926" s="4" t="n">
        <x:f>J1926*1.02</x:f>
        <x:v>0.32334</x:v>
      </x:c>
      <x:c r="G1926" s="4" t="n">
        <x:v>2</x:v>
      </x:c>
      <x:c r="H1926" s="4" t="n">
        <x:v>74.21</x:v>
      </x:c>
      <x:c r="I1926" s="5" t="n">
        <x:f t="shared" si="30">F1926*1000*H1926</x:f>
        <x:v>23995.0614</x:v>
      </x:c>
      <x:c r="J1926" t="n">
        <x:v>0.317</x:v>
      </x:c>
    </x:row>
    <x:row r="1927">
      <x:c r="A1927" s="3" t="n">
        <x:v>2023</x:v>
      </x:c>
      <x:c r="B1927" s="2" t="str">
        <x:v>Junio</x:v>
      </x:c>
      <x:c r="C1927" s="2" t="str">
        <x:v>RE-104296-1</x:v>
      </x:c>
      <x:c r="D1927" s="2" t="str">
        <x:v>PARQUE EOLICO SINGULAR DE ARTEIXO</x:v>
      </x:c>
      <x:c r="E1927" s="4" t="n">
        <x:v>0.312</x:v>
      </x:c>
      <x:c r="F1927" s="4" t="n">
        <x:f>J1927*0.98</x:f>
        <x:v>0.2989</x:v>
      </x:c>
      <x:c r="G1927" s="4" t="n">
        <x:v>2</x:v>
      </x:c>
      <x:c r="H1927" s="4" t="n">
        <x:v>93.02</x:v>
      </x:c>
      <x:c r="I1927" s="5" t="n">
        <x:f t="shared" si="30">F1927*1000*H1927</x:f>
        <x:v>27803.677999999996</x:v>
      </x:c>
      <x:c r="J1927" t="n">
        <x:v>0.305</x:v>
      </x:c>
    </x:row>
    <x:row r="1928">
      <x:c r="A1928" s="3" t="n">
        <x:v>2023</x:v>
      </x:c>
      <x:c r="B1928" s="2" t="str">
        <x:v>Julio</x:v>
      </x:c>
      <x:c r="C1928" s="2" t="str">
        <x:v>RE-104296-1</x:v>
      </x:c>
      <x:c r="D1928" s="2" t="str">
        <x:v>PARQUE EOLICO SINGULAR DE ARTEIXO</x:v>
      </x:c>
      <x:c r="E1928" s="4" t="n">
        <x:v>0.304</x:v>
      </x:c>
      <x:c r="F1928" s="4" t="n">
        <x:f>J1928*0.94</x:f>
        <x:v>0.28012</x:v>
      </x:c>
      <x:c r="G1928" s="4" t="n">
        <x:v>2</x:v>
      </x:c>
      <x:c r="H1928" s="4" t="n">
        <x:v>90.47</x:v>
      </x:c>
      <x:c r="I1928" s="5" t="n">
        <x:f t="shared" si="30">F1928*1000*H1928</x:f>
        <x:v>25342.4564</x:v>
      </x:c>
      <x:c r="J1928" t="n">
        <x:v>0.298</x:v>
      </x:c>
    </x:row>
    <x:row r="1929">
      <x:c r="A1929" s="3" t="n">
        <x:v>2023</x:v>
      </x:c>
      <x:c r="B1929" s="2" t="str">
        <x:v>Agosto</x:v>
      </x:c>
      <x:c r="C1929" s="2" t="str">
        <x:v>RE-104296-1</x:v>
      </x:c>
      <x:c r="D1929" s="2" t="str">
        <x:v>PARQUE EOLICO SINGULAR DE ARTEIXO</x:v>
      </x:c>
      <x:c r="E1929" s="4" t="n">
        <x:v>0.271</x:v>
      </x:c>
      <x:c r="F1929" s="4" t="n">
        <x:f>J1929*1.01</x:f>
        <x:v>0.26967</x:v>
      </x:c>
      <x:c r="G1929" s="4" t="n">
        <x:v>2</x:v>
      </x:c>
      <x:c r="H1929" s="4" t="n">
        <x:v>96.05</x:v>
      </x:c>
      <x:c r="I1929" s="5" t="n">
        <x:f t="shared" si="30">F1929*1000*H1929</x:f>
        <x:v>25901.8035</x:v>
      </x:c>
      <x:c r="J1929" t="n">
        <x:v>0.267</x:v>
      </x:c>
    </x:row>
    <x:row r="1930">
      <x:c r="A1930" s="3" t="n">
        <x:v>2023</x:v>
      </x:c>
      <x:c r="B1930" s="2" t="str">
        <x:v>Septiembre</x:v>
      </x:c>
      <x:c r="C1930" s="2" t="str">
        <x:v>RE-104296-1</x:v>
      </x:c>
      <x:c r="D1930" s="2" t="str">
        <x:v>PARQUE EOLICO SINGULAR DE ARTEIXO</x:v>
      </x:c>
      <x:c r="E1930" s="4" t="n">
        <x:v>0.364</x:v>
      </x:c>
      <x:c r="F1930" s="4" t="n">
        <x:f>J1930*0.97</x:f>
        <x:v>0.34435</x:v>
      </x:c>
      <x:c r="G1930" s="4" t="n">
        <x:v>2</x:v>
      </x:c>
      <x:c r="H1930" s="4" t="n">
        <x:v>103.34</x:v>
      </x:c>
      <x:c r="I1930" s="5" t="n">
        <x:f t="shared" si="30">F1930*1000*H1930</x:f>
        <x:v>35585.129</x:v>
      </x:c>
      <x:c r="J1930" t="n">
        <x:v>0.355</x:v>
      </x:c>
    </x:row>
    <x:row r="1931">
      <x:c r="A1931" s="3" t="n">
        <x:v>2023</x:v>
      </x:c>
      <x:c r="B1931" s="2" t="str">
        <x:v>Octubre</x:v>
      </x:c>
      <x:c r="C1931" s="2" t="str">
        <x:v>RE-104296-1</x:v>
      </x:c>
      <x:c r="D1931" s="2" t="str">
        <x:v>PARQUE EOLICO SINGULAR DE ARTEIXO</x:v>
      </x:c>
      <x:c r="E1931" s="4" t="n">
        <x:v>0.367</x:v>
      </x:c>
      <x:c r="F1931" s="4" t="n">
        <x:f>J1931*1.04</x:f>
        <x:v>0.37232</x:v>
      </x:c>
      <x:c r="G1931" s="4" t="n">
        <x:v>2</x:v>
      </x:c>
      <x:c r="H1931" s="4" t="n">
        <x:v>90.14</x:v>
      </x:c>
      <x:c r="I1931" s="5" t="n">
        <x:f t="shared" si="30">F1931*1000*H1931</x:f>
        <x:v>33560.9248</x:v>
      </x:c>
      <x:c r="J1931" t="n">
        <x:v>0.358</x:v>
      </x:c>
    </x:row>
    <x:row r="1932">
      <x:c r="A1932" s="3" t="n">
        <x:v>2023</x:v>
      </x:c>
      <x:c r="B1932" s="2" t="str">
        <x:v>Noviembre</x:v>
      </x:c>
      <x:c r="C1932" s="2" t="str">
        <x:v>RE-104296-1</x:v>
      </x:c>
      <x:c r="D1932" s="2" t="str">
        <x:v>PARQUE EOLICO SINGULAR DE ARTEIXO</x:v>
      </x:c>
      <x:c r="E1932" s="4" t="n">
        <x:v>0.428</x:v>
      </x:c>
      <x:c r="F1932" s="4" t="n">
        <x:f>J1932*1</x:f>
        <x:v>0.419</x:v>
      </x:c>
      <x:c r="G1932" s="4" t="n">
        <x:v>2</x:v>
      </x:c>
      <x:c r="H1932" s="4" t="n">
        <x:v>63.45</x:v>
      </x:c>
      <x:c r="I1932" s="5" t="n">
        <x:f t="shared" si="30">F1932*1000*H1932</x:f>
        <x:v>26585.550000000003</x:v>
      </x:c>
      <x:c r="J1932" t="n">
        <x:v>0.419</x:v>
      </x:c>
    </x:row>
    <x:row r="1933">
      <x:c r="A1933" s="3" t="n">
        <x:v>2023</x:v>
      </x:c>
      <x:c r="B1933" s="2" t="str">
        <x:v>Diciembre</x:v>
      </x:c>
      <x:c r="C1933" s="2" t="str">
        <x:v>RE-104296-1</x:v>
      </x:c>
      <x:c r="D1933" s="2" t="str">
        <x:v>PARQUE EOLICO SINGULAR DE ARTEIXO</x:v>
      </x:c>
      <x:c r="E1933" s="4" t="n">
        <x:v>0.524</x:v>
      </x:c>
      <x:c r="F1933" s="4" t="n">
        <x:f>J1933*0.96</x:f>
        <x:v>0.48863999999999996</x:v>
      </x:c>
      <x:c r="G1933" s="4" t="n">
        <x:v>2</x:v>
      </x:c>
      <x:c r="H1933" s="4" t="n">
        <x:v>72.17</x:v>
      </x:c>
      <x:c r="I1933" s="5" t="n">
        <x:f t="shared" si="30">F1933*1000*H1933</x:f>
        <x:v>35265.1488</x:v>
      </x:c>
      <x:c r="J1933" t="n">
        <x:v>0.509</x:v>
      </x:c>
    </x:row>
    <x:row r="1934">
      <x:c r="A1934" s="3" t="n">
        <x:v>2023</x:v>
      </x:c>
      <x:c r="B1934" s="2" t="str">
        <x:v>Enero</x:v>
      </x:c>
      <x:c r="C1934" s="2" t="str">
        <x:v>RE-108765-1</x:v>
      </x:c>
      <x:c r="D1934" s="2" t="str">
        <x:v>PROTOTIPO EXPERIMENTAL NED 100</x:v>
      </x:c>
      <x:c r="E1934" s="4" t="n">
        <x:v>0.024</x:v>
      </x:c>
      <x:c r="F1934" s="4" t="n">
        <x:f>J1934*1.03</x:f>
        <x:v>0.02369</x:v>
      </x:c>
      <x:c r="G1934" s="4" t="n">
        <x:v>0.1</x:v>
      </x:c>
      <x:c r="H1934" s="4" t="n">
        <x:v>69.55</x:v>
      </x:c>
      <x:c r="I1934" s="5" t="n">
        <x:f t="shared" si="30">F1934*1000*H1934</x:f>
        <x:v>1647.6394999999998</x:v>
      </x:c>
      <x:c r="J1934" t="n">
        <x:v>0.023</x:v>
      </x:c>
    </x:row>
    <x:row r="1935">
      <x:c r="A1935" s="3" t="n">
        <x:v>2023</x:v>
      </x:c>
      <x:c r="B1935" s="2" t="str">
        <x:v>Febrero</x:v>
      </x:c>
      <x:c r="C1935" s="2" t="str">
        <x:v>RE-108765-1</x:v>
      </x:c>
      <x:c r="D1935" s="2" t="str">
        <x:v>PROTOTIPO EXPERIMENTAL NED 100</x:v>
      </x:c>
      <x:c r="E1935" s="4" t="n">
        <x:v>0.024</x:v>
      </x:c>
      <x:c r="F1935" s="4" t="n">
        <x:f>J1935*0.99</x:f>
        <x:v>0.02376</x:v>
      </x:c>
      <x:c r="G1935" s="4" t="n">
        <x:v>0.1</x:v>
      </x:c>
      <x:c r="H1935" s="4" t="n">
        <x:v>133.47</x:v>
      </x:c>
      <x:c r="I1935" s="5" t="n">
        <x:f t="shared" si="30">F1935*1000*H1935</x:f>
        <x:v>3171.2472000000002</x:v>
      </x:c>
      <x:c r="J1935" t="n">
        <x:v>0.024</x:v>
      </x:c>
    </x:row>
    <x:row r="1936">
      <x:c r="A1936" s="3" t="n">
        <x:v>2023</x:v>
      </x:c>
      <x:c r="B1936" s="2" t="str">
        <x:v>Marzo</x:v>
      </x:c>
      <x:c r="C1936" s="2" t="str">
        <x:v>RE-108765-1</x:v>
      </x:c>
      <x:c r="D1936" s="2" t="str">
        <x:v>PROTOTIPO EXPERIMENTAL NED 100</x:v>
      </x:c>
      <x:c r="E1936" s="4" t="n">
        <x:v>0.025</x:v>
      </x:c>
      <x:c r="F1936" s="4" t="n">
        <x:f>J1936*0.95</x:f>
        <x:v>0.02375</x:v>
      </x:c>
      <x:c r="G1936" s="4" t="n">
        <x:v>0.1</x:v>
      </x:c>
      <x:c r="H1936" s="4" t="n">
        <x:v>89.61</x:v>
      </x:c>
      <x:c r="I1936" s="5" t="n">
        <x:f t="shared" si="30">F1936*1000*H1936</x:f>
        <x:v>2128.2375</x:v>
      </x:c>
      <x:c r="J1936" t="n">
        <x:v>0.025</x:v>
      </x:c>
    </x:row>
    <x:row r="1937">
      <x:c r="A1937" s="3" t="n">
        <x:v>2023</x:v>
      </x:c>
      <x:c r="B1937" s="2" t="str">
        <x:v>Abril</x:v>
      </x:c>
      <x:c r="C1937" s="2" t="str">
        <x:v>RE-108765-1</x:v>
      </x:c>
      <x:c r="D1937" s="2" t="str">
        <x:v>PROTOTIPO EXPERIMENTAL NED 100</x:v>
      </x:c>
      <x:c r="E1937" s="4" t="n">
        <x:v>0.022</x:v>
      </x:c>
      <x:c r="F1937" s="4" t="n">
        <x:f>J1937*1.02</x:f>
        <x:v>0.02142</x:v>
      </x:c>
      <x:c r="G1937" s="4" t="n">
        <x:v>0.1</x:v>
      </x:c>
      <x:c r="H1937" s="4" t="n">
        <x:v>73.73</x:v>
      </x:c>
      <x:c r="I1937" s="5" t="n">
        <x:f t="shared" si="30">F1937*1000*H1937</x:f>
        <x:v>1579.2966000000001</x:v>
      </x:c>
      <x:c r="J1937" t="n">
        <x:v>0.021</x:v>
      </x:c>
    </x:row>
    <x:row r="1938">
      <x:c r="A1938" s="3" t="n">
        <x:v>2023</x:v>
      </x:c>
      <x:c r="B1938" s="2" t="str">
        <x:v>Mayo</x:v>
      </x:c>
      <x:c r="C1938" s="2" t="str">
        <x:v>RE-108765-1</x:v>
      </x:c>
      <x:c r="D1938" s="2" t="str">
        <x:v>PROTOTIPO EXPERIMENTAL NED 100</x:v>
      </x:c>
      <x:c r="E1938" s="4" t="n">
        <x:v>0.018</x:v>
      </x:c>
      <x:c r="F1938" s="4" t="n">
        <x:f>J1938*0.98</x:f>
        <x:v>0.01764</x:v>
      </x:c>
      <x:c r="G1938" s="4" t="n">
        <x:v>0.1</x:v>
      </x:c>
      <x:c r="H1938" s="4" t="n">
        <x:v>74.21</x:v>
      </x:c>
      <x:c r="I1938" s="5" t="n">
        <x:f t="shared" si="30">F1938*1000*H1938</x:f>
        <x:v>1309.0644</x:v>
      </x:c>
      <x:c r="J1938" t="n">
        <x:v>0.018</x:v>
      </x:c>
    </x:row>
    <x:row r="1939">
      <x:c r="A1939" s="3" t="n">
        <x:v>2023</x:v>
      </x:c>
      <x:c r="B1939" s="2" t="str">
        <x:v>Junio</x:v>
      </x:c>
      <x:c r="C1939" s="2" t="str">
        <x:v>RE-108765-1</x:v>
      </x:c>
      <x:c r="D1939" s="2" t="str">
        <x:v>PROTOTIPO EXPERIMENTAL NED 100</x:v>
      </x:c>
      <x:c r="E1939" s="4" t="n">
        <x:v>0.013</x:v>
      </x:c>
      <x:c r="F1939" s="4" t="n">
        <x:f>J1939*0.94</x:f>
        <x:v>0.012219999999999998</x:v>
      </x:c>
      <x:c r="G1939" s="4" t="n">
        <x:v>0.1</x:v>
      </x:c>
      <x:c r="H1939" s="4" t="n">
        <x:v>93.02</x:v>
      </x:c>
      <x:c r="I1939" s="5" t="n">
        <x:f t="shared" si="30">F1939*1000*H1939</x:f>
        <x:v>1136.7043999999999</x:v>
      </x:c>
      <x:c r="J1939" t="n">
        <x:v>0.013</x:v>
      </x:c>
    </x:row>
    <x:row r="1940">
      <x:c r="A1940" s="3" t="n">
        <x:v>2023</x:v>
      </x:c>
      <x:c r="B1940" s="2" t="str">
        <x:v>Julio</x:v>
      </x:c>
      <x:c r="C1940" s="2" t="str">
        <x:v>RE-108765-1</x:v>
      </x:c>
      <x:c r="D1940" s="2" t="str">
        <x:v>PROTOTIPO EXPERIMENTAL NED 100</x:v>
      </x:c>
      <x:c r="E1940" s="4" t="n">
        <x:v>0.016</x:v>
      </x:c>
      <x:c r="F1940" s="4" t="n">
        <x:f>J1940*1.01</x:f>
        <x:v>0.01616</x:v>
      </x:c>
      <x:c r="G1940" s="4" t="n">
        <x:v>0.1</x:v>
      </x:c>
      <x:c r="H1940" s="4" t="n">
        <x:v>90.47</x:v>
      </x:c>
      <x:c r="I1940" s="5" t="n">
        <x:f t="shared" si="30">F1940*1000*H1940</x:f>
        <x:v>1461.9952</x:v>
      </x:c>
      <x:c r="J1940" t="n">
        <x:v>0.016</x:v>
      </x:c>
    </x:row>
    <x:row r="1941">
      <x:c r="A1941" s="3" t="n">
        <x:v>2023</x:v>
      </x:c>
      <x:c r="B1941" s="2" t="str">
        <x:v>Agosto</x:v>
      </x:c>
      <x:c r="C1941" s="2" t="str">
        <x:v>RE-108765-1</x:v>
      </x:c>
      <x:c r="D1941" s="2" t="str">
        <x:v>PROTOTIPO EXPERIMENTAL NED 100</x:v>
      </x:c>
      <x:c r="E1941" s="4" t="n">
        <x:v>0.016</x:v>
      </x:c>
      <x:c r="F1941" s="4" t="n">
        <x:f>J1941*0.97</x:f>
        <x:v>0.015519999999999999</x:v>
      </x:c>
      <x:c r="G1941" s="4" t="n">
        <x:v>0.1</x:v>
      </x:c>
      <x:c r="H1941" s="4" t="n">
        <x:v>96.05</x:v>
      </x:c>
      <x:c r="I1941" s="5" t="n">
        <x:f t="shared" si="30">F1941*1000*H1941</x:f>
        <x:v>1490.696</x:v>
      </x:c>
      <x:c r="J1941" t="n">
        <x:v>0.016</x:v>
      </x:c>
    </x:row>
    <x:row r="1942">
      <x:c r="A1942" s="3" t="n">
        <x:v>2023</x:v>
      </x:c>
      <x:c r="B1942" s="2" t="str">
        <x:v>Septiembre</x:v>
      </x:c>
      <x:c r="C1942" s="2" t="str">
        <x:v>RE-108765-1</x:v>
      </x:c>
      <x:c r="D1942" s="2" t="str">
        <x:v>PROTOTIPO EXPERIMENTAL NED 100</x:v>
      </x:c>
      <x:c r="E1942" s="4" t="n">
        <x:v>0.016</x:v>
      </x:c>
      <x:c r="F1942" s="4" t="n">
        <x:f>J1942*1.04</x:f>
        <x:v>0.016640000000000002</x:v>
      </x:c>
      <x:c r="G1942" s="4" t="n">
        <x:v>0.1</x:v>
      </x:c>
      <x:c r="H1942" s="4" t="n">
        <x:v>103.34</x:v>
      </x:c>
      <x:c r="I1942" s="5" t="n">
        <x:f t="shared" si="30">F1942*1000*H1942</x:f>
        <x:v>1719.5776</x:v>
      </x:c>
      <x:c r="J1942" t="n">
        <x:v>0.016</x:v>
      </x:c>
    </x:row>
    <x:row r="1943">
      <x:c r="A1943" s="3" t="n">
        <x:v>2023</x:v>
      </x:c>
      <x:c r="B1943" s="2" t="str">
        <x:v>Octubre</x:v>
      </x:c>
      <x:c r="C1943" s="2" t="str">
        <x:v>RE-108765-1</x:v>
      </x:c>
      <x:c r="D1943" s="2" t="str">
        <x:v>PROTOTIPO EXPERIMENTAL NED 100</x:v>
      </x:c>
      <x:c r="E1943" s="4" t="n">
        <x:v>0.02</x:v>
      </x:c>
      <x:c r="F1943" s="4" t="n">
        <x:f>J1943*1</x:f>
        <x:v>0.02</x:v>
      </x:c>
      <x:c r="G1943" s="4" t="n">
        <x:v>0.1</x:v>
      </x:c>
      <x:c r="H1943" s="4" t="n">
        <x:v>90.14</x:v>
      </x:c>
      <x:c r="I1943" s="5" t="n">
        <x:f t="shared" si="30">F1943*1000*H1943</x:f>
        <x:v>1802.8</x:v>
      </x:c>
      <x:c r="J1943" t="n">
        <x:v>0.02</x:v>
      </x:c>
    </x:row>
    <x:row r="1944">
      <x:c r="A1944" s="3" t="n">
        <x:v>2023</x:v>
      </x:c>
      <x:c r="B1944" s="2" t="str">
        <x:v>Noviembre</x:v>
      </x:c>
      <x:c r="C1944" s="2" t="str">
        <x:v>RE-108765-1</x:v>
      </x:c>
      <x:c r="D1944" s="2" t="str">
        <x:v>PROTOTIPO EXPERIMENTAL NED 100</x:v>
      </x:c>
      <x:c r="E1944" s="4" t="n">
        <x:v>0.027</x:v>
      </x:c>
      <x:c r="F1944" s="4" t="n">
        <x:f>J1944*0.96</x:f>
        <x:v>0.02496</x:v>
      </x:c>
      <x:c r="G1944" s="4" t="n">
        <x:v>0.1</x:v>
      </x:c>
      <x:c r="H1944" s="4" t="n">
        <x:v>63.45</x:v>
      </x:c>
      <x:c r="I1944" s="5" t="n">
        <x:f t="shared" si="30">F1944*1000*H1944</x:f>
        <x:v>1583.7120000000002</x:v>
      </x:c>
      <x:c r="J1944" t="n">
        <x:v>0.026</x:v>
      </x:c>
    </x:row>
    <x:row r="1945">
      <x:c r="A1945" s="3" t="n">
        <x:v>2023</x:v>
      </x:c>
      <x:c r="B1945" s="2" t="str">
        <x:v>Diciembre</x:v>
      </x:c>
      <x:c r="C1945" s="2" t="str">
        <x:v>RE-108765-1</x:v>
      </x:c>
      <x:c r="D1945" s="2" t="str">
        <x:v>PROTOTIPO EXPERIMENTAL NED 100</x:v>
      </x:c>
      <x:c r="E1945" s="4" t="n">
        <x:v>0.027</x:v>
      </x:c>
      <x:c r="F1945" s="4" t="n">
        <x:f>J1945*1.03</x:f>
        <x:v>0.02781</x:v>
      </x:c>
      <x:c r="G1945" s="4" t="n">
        <x:v>0.1</x:v>
      </x:c>
      <x:c r="H1945" s="4" t="n">
        <x:v>72.17</x:v>
      </x:c>
      <x:c r="I1945" s="5" t="n">
        <x:f t="shared" si="30">F1945*1000*H1945</x:f>
        <x:v>2007.0477000000003</x:v>
      </x:c>
      <x:c r="J1945" t="n">
        <x:v>0.027</x:v>
      </x:c>
    </x:row>
    <x:row r="1946">
      <x:c r="A1946" s="3" t="n">
        <x:v>2023</x:v>
      </x:c>
      <x:c r="B1946" s="2" t="str">
        <x:v>Enero</x:v>
      </x:c>
      <x:c r="C1946" s="2" t="str">
        <x:v>RE-109449-1</x:v>
      </x:c>
      <x:c r="D1946" s="2" t="str">
        <x:v>Parque Eólico Singular de Nogueira de Ramuin</x:v>
      </x:c>
      <x:c r="E1946" s="4" t="n">
        <x:v>0.79</x:v>
      </x:c>
      <x:c r="F1946" s="4" t="n">
        <x:f>J1946*0.99</x:f>
        <x:v>0.7623</x:v>
      </x:c>
      <x:c r="G1946" s="4" t="n">
        <x:v>2.55</x:v>
      </x:c>
      <x:c r="H1946" s="4" t="n">
        <x:v>69.55</x:v>
      </x:c>
      <x:c r="I1946" s="5" t="n">
        <x:f t="shared" si="30">F1946*1000*H1946</x:f>
        <x:v>53017.965</x:v>
      </x:c>
      <x:c r="J1946" t="n">
        <x:v>0.77</x:v>
      </x:c>
    </x:row>
    <x:row r="1947">
      <x:c r="A1947" s="3" t="n">
        <x:v>2023</x:v>
      </x:c>
      <x:c r="B1947" s="2" t="str">
        <x:v>Febrero</x:v>
      </x:c>
      <x:c r="C1947" s="2" t="str">
        <x:v>RE-109449-1</x:v>
      </x:c>
      <x:c r="D1947" s="2" t="str">
        <x:v>Parque Eólico Singular de Nogueira de Ramuin</x:v>
      </x:c>
      <x:c r="E1947" s="4" t="n">
        <x:v>0.557</x:v>
      </x:c>
      <x:c r="F1947" s="4" t="n">
        <x:f>J1947*0.95</x:f>
        <x:v>0.51205</x:v>
      </x:c>
      <x:c r="G1947" s="4" t="n">
        <x:v>2.55</x:v>
      </x:c>
      <x:c r="H1947" s="4" t="n">
        <x:v>133.47</x:v>
      </x:c>
      <x:c r="I1947" s="5" t="n">
        <x:f t="shared" si="30">F1947*1000*H1947</x:f>
        <x:v>68343.31349999999</x:v>
      </x:c>
      <x:c r="J1947" t="n">
        <x:v>0.539</x:v>
      </x:c>
    </x:row>
    <x:row r="1948">
      <x:c r="A1948" s="3" t="n">
        <x:v>2023</x:v>
      </x:c>
      <x:c r="B1948" s="2" t="str">
        <x:v>Marzo</x:v>
      </x:c>
      <x:c r="C1948" s="2" t="str">
        <x:v>RE-109449-1</x:v>
      </x:c>
      <x:c r="D1948" s="2" t="str">
        <x:v>Parque Eólico Singular de Nogueira de Ramuin</x:v>
      </x:c>
      <x:c r="E1948" s="4" t="n">
        <x:v>0.623</x:v>
      </x:c>
      <x:c r="F1948" s="4" t="n">
        <x:f>J1948*1.02</x:f>
        <x:v>0.61914</x:v>
      </x:c>
      <x:c r="G1948" s="4" t="n">
        <x:v>2.55</x:v>
      </x:c>
      <x:c r="H1948" s="4" t="n">
        <x:v>89.61</x:v>
      </x:c>
      <x:c r="I1948" s="5" t="n">
        <x:f t="shared" si="30">F1948*1000*H1948</x:f>
        <x:v>55481.1354</x:v>
      </x:c>
      <x:c r="J1948" t="n">
        <x:v>0.607</x:v>
      </x:c>
    </x:row>
    <x:row r="1949">
      <x:c r="A1949" s="3" t="n">
        <x:v>2023</x:v>
      </x:c>
      <x:c r="B1949" s="2" t="str">
        <x:v>Abril</x:v>
      </x:c>
      <x:c r="C1949" s="2" t="str">
        <x:v>RE-109449-1</x:v>
      </x:c>
      <x:c r="D1949" s="2" t="str">
        <x:v>Parque Eólico Singular de Nogueira de Ramuin</x:v>
      </x:c>
      <x:c r="E1949" s="4" t="n">
        <x:v>0.494</x:v>
      </x:c>
      <x:c r="F1949" s="4" t="n">
        <x:f>J1949*0.98</x:f>
        <x:v>0.4753</x:v>
      </x:c>
      <x:c r="G1949" s="4" t="n">
        <x:v>2.55</x:v>
      </x:c>
      <x:c r="H1949" s="4" t="n">
        <x:v>73.73</x:v>
      </x:c>
      <x:c r="I1949" s="5" t="n">
        <x:f t="shared" si="30">F1949*1000*H1949</x:f>
        <x:v>35043.869000000006</x:v>
      </x:c>
      <x:c r="J1949" t="n">
        <x:v>0.485</x:v>
      </x:c>
    </x:row>
    <x:row r="1950">
      <x:c r="A1950" s="3" t="n">
        <x:v>2023</x:v>
      </x:c>
      <x:c r="B1950" s="2" t="str">
        <x:v>Mayo</x:v>
      </x:c>
      <x:c r="C1950" s="2" t="str">
        <x:v>RE-109449-1</x:v>
      </x:c>
      <x:c r="D1950" s="2" t="str">
        <x:v>Parque Eólico Singular de Nogueira de Ramuin</x:v>
      </x:c>
      <x:c r="E1950" s="4" t="n">
        <x:v>0.496</x:v>
      </x:c>
      <x:c r="F1950" s="4" t="n">
        <x:f>J1950*0.94</x:f>
        <x:v>0.45777999999999996</x:v>
      </x:c>
      <x:c r="G1950" s="4" t="n">
        <x:v>2.55</x:v>
      </x:c>
      <x:c r="H1950" s="4" t="n">
        <x:v>74.21</x:v>
      </x:c>
      <x:c r="I1950" s="5" t="n">
        <x:f t="shared" si="30">F1950*1000*H1950</x:f>
        <x:v>33971.8538</x:v>
      </x:c>
      <x:c r="J1950" t="n">
        <x:v>0.487</x:v>
      </x:c>
    </x:row>
    <x:row r="1951">
      <x:c r="A1951" s="3" t="n">
        <x:v>2023</x:v>
      </x:c>
      <x:c r="B1951" s="2" t="str">
        <x:v>Junio</x:v>
      </x:c>
      <x:c r="C1951" s="2" t="str">
        <x:v>RE-109449-1</x:v>
      </x:c>
      <x:c r="D1951" s="2" t="str">
        <x:v>Parque Eólico Singular de Nogueira de Ramuin</x:v>
      </x:c>
      <x:c r="E1951" s="4" t="n">
        <x:v>0.383</x:v>
      </x:c>
      <x:c r="F1951" s="4" t="n">
        <x:f>J1951*1.01</x:f>
        <x:v>0.37471</x:v>
      </x:c>
      <x:c r="G1951" s="4" t="n">
        <x:v>2.55</x:v>
      </x:c>
      <x:c r="H1951" s="4" t="n">
        <x:v>93.02</x:v>
      </x:c>
      <x:c r="I1951" s="5" t="n">
        <x:f t="shared" si="30">F1951*1000*H1951</x:f>
        <x:v>34855.5242</x:v>
      </x:c>
      <x:c r="J1951" t="n">
        <x:v>0.371</x:v>
      </x:c>
    </x:row>
    <x:row r="1952">
      <x:c r="A1952" s="3" t="n">
        <x:v>2023</x:v>
      </x:c>
      <x:c r="B1952" s="2" t="str">
        <x:v>Julio</x:v>
      </x:c>
      <x:c r="C1952" s="2" t="str">
        <x:v>RE-109449-1</x:v>
      </x:c>
      <x:c r="D1952" s="2" t="str">
        <x:v>Parque Eólico Singular de Nogueira de Ramuin</x:v>
      </x:c>
      <x:c r="E1952" s="4" t="n">
        <x:v>0.429</x:v>
      </x:c>
      <x:c r="F1952" s="4" t="n">
        <x:f>J1952*0.97</x:f>
        <x:v>0.40352</x:v>
      </x:c>
      <x:c r="G1952" s="4" t="n">
        <x:v>2.55</x:v>
      </x:c>
      <x:c r="H1952" s="4" t="n">
        <x:v>90.47</x:v>
      </x:c>
      <x:c r="I1952" s="5" t="n">
        <x:f t="shared" si="30">F1952*1000*H1952</x:f>
        <x:v>36506.454399999995</x:v>
      </x:c>
      <x:c r="J1952" t="n">
        <x:v>0.416</x:v>
      </x:c>
    </x:row>
    <x:row r="1953">
      <x:c r="A1953" s="3" t="n">
        <x:v>2023</x:v>
      </x:c>
      <x:c r="B1953" s="2" t="str">
        <x:v>Agosto</x:v>
      </x:c>
      <x:c r="C1953" s="2" t="str">
        <x:v>RE-109449-1</x:v>
      </x:c>
      <x:c r="D1953" s="2" t="str">
        <x:v>Parque Eólico Singular de Nogueira de Ramuin</x:v>
      </x:c>
      <x:c r="E1953" s="4" t="n">
        <x:v>0.446</x:v>
      </x:c>
      <x:c r="F1953" s="4" t="n">
        <x:f>J1953*1.04</x:f>
        <x:v>0.45552000000000004</x:v>
      </x:c>
      <x:c r="G1953" s="4" t="n">
        <x:v>2.55</x:v>
      </x:c>
      <x:c r="H1953" s="4" t="n">
        <x:v>96.05</x:v>
      </x:c>
      <x:c r="I1953" s="5" t="n">
        <x:f t="shared" si="30">F1953*1000*H1953</x:f>
        <x:v>43752.696</x:v>
      </x:c>
      <x:c r="J1953" t="n">
        <x:v>0.438</x:v>
      </x:c>
    </x:row>
    <x:row r="1954">
      <x:c r="A1954" s="3" t="n">
        <x:v>2023</x:v>
      </x:c>
      <x:c r="B1954" s="2" t="str">
        <x:v>Septiembre</x:v>
      </x:c>
      <x:c r="C1954" s="2" t="str">
        <x:v>RE-109449-1</x:v>
      </x:c>
      <x:c r="D1954" s="2" t="str">
        <x:v>Parque Eólico Singular de Nogueira de Ramuin</x:v>
      </x:c>
      <x:c r="E1954" s="4" t="n">
        <x:v>0.407</x:v>
      </x:c>
      <x:c r="F1954" s="4" t="n">
        <x:f>J1954*1</x:f>
        <x:v>0.398</x:v>
      </x:c>
      <x:c r="G1954" s="4" t="n">
        <x:v>2.55</x:v>
      </x:c>
      <x:c r="H1954" s="4" t="n">
        <x:v>103.34</x:v>
      </x:c>
      <x:c r="I1954" s="5" t="n">
        <x:f t="shared" si="30">F1954*1000*H1954</x:f>
        <x:v>41129.32</x:v>
      </x:c>
      <x:c r="J1954" t="n">
        <x:v>0.398</x:v>
      </x:c>
    </x:row>
    <x:row r="1955">
      <x:c r="A1955" s="3" t="n">
        <x:v>2023</x:v>
      </x:c>
      <x:c r="B1955" s="2" t="str">
        <x:v>Octubre</x:v>
      </x:c>
      <x:c r="C1955" s="2" t="str">
        <x:v>RE-109449-1</x:v>
      </x:c>
      <x:c r="D1955" s="2" t="str">
        <x:v>Parque Eólico Singular de Nogueira de Ramuin</x:v>
      </x:c>
      <x:c r="E1955" s="4" t="n">
        <x:v>0.62</x:v>
      </x:c>
      <x:c r="F1955" s="4" t="n">
        <x:f>J1955*0.96</x:f>
        <x:v>0.58272</x:v>
      </x:c>
      <x:c r="G1955" s="4" t="n">
        <x:v>2.55</x:v>
      </x:c>
      <x:c r="H1955" s="4" t="n">
        <x:v>90.14</x:v>
      </x:c>
      <x:c r="I1955" s="5" t="n">
        <x:f t="shared" si="30">F1955*1000*H1955</x:f>
        <x:v>52526.380800000006</x:v>
      </x:c>
      <x:c r="J1955" t="n">
        <x:v>0.607</x:v>
      </x:c>
    </x:row>
    <x:row r="1956">
      <x:c r="A1956" s="3" t="n">
        <x:v>2023</x:v>
      </x:c>
      <x:c r="B1956" s="2" t="str">
        <x:v>Noviembre</x:v>
      </x:c>
      <x:c r="C1956" s="2" t="str">
        <x:v>RE-109449-1</x:v>
      </x:c>
      <x:c r="D1956" s="2" t="str">
        <x:v>Parque Eólico Singular de Nogueira de Ramuin</x:v>
      </x:c>
      <x:c r="E1956" s="4" t="n">
        <x:v>0.738</x:v>
      </x:c>
      <x:c r="F1956" s="4" t="n">
        <x:f>J1956*1.03</x:f>
        <x:v>0.7364499999999999</x:v>
      </x:c>
      <x:c r="G1956" s="4" t="n">
        <x:v>2.55</x:v>
      </x:c>
      <x:c r="H1956" s="4" t="n">
        <x:v>63.45</x:v>
      </x:c>
      <x:c r="I1956" s="5" t="n">
        <x:f t="shared" si="30">F1956*1000*H1956</x:f>
        <x:v>46727.752499999995</x:v>
      </x:c>
      <x:c r="J1956" t="n">
        <x:v>0.715</x:v>
      </x:c>
    </x:row>
    <x:row r="1957">
      <x:c r="A1957" s="3" t="n">
        <x:v>2023</x:v>
      </x:c>
      <x:c r="B1957" s="2" t="str">
        <x:v>Diciembre</x:v>
      </x:c>
      <x:c r="C1957" s="2" t="str">
        <x:v>RE-109449-1</x:v>
      </x:c>
      <x:c r="D1957" s="2" t="str">
        <x:v>Parque Eólico Singular de Nogueira de Ramuin</x:v>
      </x:c>
      <x:c r="E1957" s="4" t="n">
        <x:v>0.825</x:v>
      </x:c>
      <x:c r="F1957" s="4" t="n">
        <x:f>J1957*0.99</x:f>
        <x:v>0.79101</x:v>
      </x:c>
      <x:c r="G1957" s="4" t="n">
        <x:v>2.55</x:v>
      </x:c>
      <x:c r="H1957" s="4" t="n">
        <x:v>72.17</x:v>
      </x:c>
      <x:c r="I1957" s="5" t="n">
        <x:f t="shared" si="30">F1957*1000*H1957</x:f>
        <x:v>57087.1917</x:v>
      </x:c>
      <x:c r="J1957" t="n">
        <x:v>0.799</x:v>
      </x:c>
    </x:row>
    <x:row r="1958">
      <x:c r="A1958" s="3" t="n">
        <x:v>2023</x:v>
      </x:c>
      <x:c r="B1958" s="2" t="str">
        <x:v>Enero</x:v>
      </x:c>
      <x:c r="C1958" s="2" t="str">
        <x:v>RE-109475-1</x:v>
      </x:c>
      <x:c r="D1958" s="2" t="str">
        <x:v>Parque Eólico Ampliación Cova da Serpe</x:v>
      </x:c>
      <x:c r="E1958" s="4" t="n">
        <x:v>7.369</x:v>
      </x:c>
      <x:c r="F1958" s="4" t="n">
        <x:f>J1958*0.95</x:f>
        <x:v>6.8685</x:v>
      </x:c>
      <x:c r="G1958" s="4" t="n">
        <x:v>25.2</x:v>
      </x:c>
      <x:c r="H1958" s="4" t="n">
        <x:v>69.55</x:v>
      </x:c>
      <x:c r="I1958" s="5" t="n">
        <x:f t="shared" si="30">F1958*1000*H1958</x:f>
        <x:v>477704.175</x:v>
      </x:c>
      <x:c r="J1958" t="n">
        <x:v>7.23</x:v>
      </x:c>
    </x:row>
    <x:row r="1959">
      <x:c r="A1959" s="3" t="n">
        <x:v>2023</x:v>
      </x:c>
      <x:c r="B1959" s="2" t="str">
        <x:v>Febrero</x:v>
      </x:c>
      <x:c r="C1959" s="2" t="str">
        <x:v>RE-109475-1</x:v>
      </x:c>
      <x:c r="D1959" s="2" t="str">
        <x:v>Parque Eólico Ampliación Cova da Serpe</x:v>
      </x:c>
      <x:c r="E1959" s="4" t="n">
        <x:v>5.801</x:v>
      </x:c>
      <x:c r="F1959" s="4" t="n">
        <x:f>J1959*1.02</x:f>
        <x:v>5.77932</x:v>
      </x:c>
      <x:c r="G1959" s="4" t="n">
        <x:v>25.2</x:v>
      </x:c>
      <x:c r="H1959" s="4" t="n">
        <x:v>133.47</x:v>
      </x:c>
      <x:c r="I1959" s="5" t="n">
        <x:f t="shared" si="30">F1959*1000*H1959</x:f>
        <x:v>771365.8404000001</x:v>
      </x:c>
      <x:c r="J1959" t="n">
        <x:v>5.666</x:v>
      </x:c>
    </x:row>
    <x:row r="1960">
      <x:c r="A1960" s="3" t="n">
        <x:v>2023</x:v>
      </x:c>
      <x:c r="B1960" s="2" t="str">
        <x:v>Marzo</x:v>
      </x:c>
      <x:c r="C1960" s="2" t="str">
        <x:v>RE-109475-1</x:v>
      </x:c>
      <x:c r="D1960" s="2" t="str">
        <x:v>Parque Eólico Ampliación Cova da Serpe</x:v>
      </x:c>
      <x:c r="E1960" s="4" t="n">
        <x:v>5.506</x:v>
      </x:c>
      <x:c r="F1960" s="4" t="n">
        <x:f>J1960*0.98</x:f>
        <x:v>5.23712</x:v>
      </x:c>
      <x:c r="G1960" s="4" t="n">
        <x:v>25.2</x:v>
      </x:c>
      <x:c r="H1960" s="4" t="n">
        <x:v>89.61</x:v>
      </x:c>
      <x:c r="I1960" s="5" t="n">
        <x:f t="shared" si="30">F1960*1000*H1960</x:f>
        <x:v>469298.3232</x:v>
      </x:c>
      <x:c r="J1960" t="n">
        <x:v>5.344</x:v>
      </x:c>
    </x:row>
    <x:row r="1961">
      <x:c r="A1961" s="3" t="n">
        <x:v>2023</x:v>
      </x:c>
      <x:c r="B1961" s="2" t="str">
        <x:v>Abril</x:v>
      </x:c>
      <x:c r="C1961" s="2" t="str">
        <x:v>RE-109475-1</x:v>
      </x:c>
      <x:c r="D1961" s="2" t="str">
        <x:v>Parque Eólico Ampliación Cova da Serpe</x:v>
      </x:c>
      <x:c r="E1961" s="4" t="n">
        <x:v>5.135</x:v>
      </x:c>
      <x:c r="F1961" s="4" t="n">
        <x:f>J1961*0.94</x:f>
        <x:v>4.7526399999999995</x:v>
      </x:c>
      <x:c r="G1961" s="4" t="n">
        <x:v>25.2</x:v>
      </x:c>
      <x:c r="H1961" s="4" t="n">
        <x:v>73.73</x:v>
      </x:c>
      <x:c r="I1961" s="5" t="n">
        <x:f t="shared" si="30">F1961*1000*H1961</x:f>
        <x:v>350412.14719999995</x:v>
      </x:c>
      <x:c r="J1961" t="n">
        <x:v>5.056</x:v>
      </x:c>
    </x:row>
    <x:row r="1962">
      <x:c r="A1962" s="3" t="n">
        <x:v>2023</x:v>
      </x:c>
      <x:c r="B1962" s="2" t="str">
        <x:v>Mayo</x:v>
      </x:c>
      <x:c r="C1962" s="2" t="str">
        <x:v>RE-109475-1</x:v>
      </x:c>
      <x:c r="D1962" s="2" t="str">
        <x:v>Parque Eólico Ampliación Cova da Serpe</x:v>
      </x:c>
      <x:c r="E1962" s="4" t="n">
        <x:v>3.949</x:v>
      </x:c>
      <x:c r="F1962" s="4" t="n">
        <x:f>J1962*1.01</x:f>
        <x:v>3.90567</x:v>
      </x:c>
      <x:c r="G1962" s="4" t="n">
        <x:v>25.2</x:v>
      </x:c>
      <x:c r="H1962" s="4" t="n">
        <x:v>74.21</x:v>
      </x:c>
      <x:c r="I1962" s="5" t="n">
        <x:f t="shared" si="30">F1962*1000*H1962</x:f>
        <x:v>289839.7707</x:v>
      </x:c>
      <x:c r="J1962" t="n">
        <x:v>3.867</x:v>
      </x:c>
    </x:row>
    <x:row r="1963">
      <x:c r="A1963" s="3" t="n">
        <x:v>2023</x:v>
      </x:c>
      <x:c r="B1963" s="2" t="str">
        <x:v>Junio</x:v>
      </x:c>
      <x:c r="C1963" s="2" t="str">
        <x:v>RE-109475-1</x:v>
      </x:c>
      <x:c r="D1963" s="2" t="str">
        <x:v>Parque Eólico Ampliación Cova da Serpe</x:v>
      </x:c>
      <x:c r="E1963" s="4" t="n">
        <x:v>3.795</x:v>
      </x:c>
      <x:c r="F1963" s="4" t="n">
        <x:f>J1963*0.97</x:f>
        <x:v>3.62295</x:v>
      </x:c>
      <x:c r="G1963" s="4" t="n">
        <x:v>25.2</x:v>
      </x:c>
      <x:c r="H1963" s="4" t="n">
        <x:v>93.02</x:v>
      </x:c>
      <x:c r="I1963" s="5" t="n">
        <x:f t="shared" si="30">F1963*1000*H1963</x:f>
        <x:v>337006.80899999995</x:v>
      </x:c>
      <x:c r="J1963" t="n">
        <x:v>3.735</x:v>
      </x:c>
    </x:row>
    <x:row r="1964">
      <x:c r="A1964" s="3" t="n">
        <x:v>2023</x:v>
      </x:c>
      <x:c r="B1964" s="2" t="str">
        <x:v>Julio</x:v>
      </x:c>
      <x:c r="C1964" s="2" t="str">
        <x:v>RE-109475-1</x:v>
      </x:c>
      <x:c r="D1964" s="2" t="str">
        <x:v>Parque Eólico Ampliación Cova da Serpe</x:v>
      </x:c>
      <x:c r="E1964" s="4" t="n">
        <x:v>3.045</x:v>
      </x:c>
      <x:c r="F1964" s="4" t="n">
        <x:f>J1964*1.04</x:f>
        <x:v>3.1116800000000002</x:v>
      </x:c>
      <x:c r="G1964" s="4" t="n">
        <x:v>25.2</x:v>
      </x:c>
      <x:c r="H1964" s="4" t="n">
        <x:v>90.47</x:v>
      </x:c>
      <x:c r="I1964" s="5" t="n">
        <x:f t="shared" si="30">F1964*1000*H1964</x:f>
        <x:v>281513.68960000004</x:v>
      </x:c>
      <x:c r="J1964" t="n">
        <x:v>2.992</x:v>
      </x:c>
    </x:row>
    <x:row r="1965">
      <x:c r="A1965" s="3" t="n">
        <x:v>2023</x:v>
      </x:c>
      <x:c r="B1965" s="2" t="str">
        <x:v>Agosto</x:v>
      </x:c>
      <x:c r="C1965" s="2" t="str">
        <x:v>RE-109475-1</x:v>
      </x:c>
      <x:c r="D1965" s="2" t="str">
        <x:v>Parque Eólico Ampliación Cova da Serpe</x:v>
      </x:c>
      <x:c r="E1965" s="4" t="n">
        <x:v>3.311</x:v>
      </x:c>
      <x:c r="F1965" s="4" t="n">
        <x:f>J1965*1</x:f>
        <x:v>3.243</x:v>
      </x:c>
      <x:c r="G1965" s="4" t="n">
        <x:v>25.2</x:v>
      </x:c>
      <x:c r="H1965" s="4" t="n">
        <x:v>96.05</x:v>
      </x:c>
      <x:c r="I1965" s="5" t="n">
        <x:f t="shared" si="30">F1965*1000*H1965</x:f>
        <x:v>311490.14999999997</x:v>
      </x:c>
      <x:c r="J1965" t="n">
        <x:v>3.243</x:v>
      </x:c>
    </x:row>
    <x:row r="1966">
      <x:c r="A1966" s="3" t="n">
        <x:v>2023</x:v>
      </x:c>
      <x:c r="B1966" s="2" t="str">
        <x:v>Septiembre</x:v>
      </x:c>
      <x:c r="C1966" s="2" t="str">
        <x:v>RE-109475-1</x:v>
      </x:c>
      <x:c r="D1966" s="2" t="str">
        <x:v>Parque Eólico Ampliación Cova da Serpe</x:v>
      </x:c>
      <x:c r="E1966" s="4" t="n">
        <x:v>4.758</x:v>
      </x:c>
      <x:c r="F1966" s="4" t="n">
        <x:f>J1966*0.96</x:f>
        <x:v>4.42272</x:v>
      </x:c>
      <x:c r="G1966" s="4" t="n">
        <x:v>25.2</x:v>
      </x:c>
      <x:c r="H1966" s="4" t="n">
        <x:v>103.34</x:v>
      </x:c>
      <x:c r="I1966" s="5" t="n">
        <x:f t="shared" si="30">F1966*1000*H1966</x:f>
        <x:v>457043.88480000006</x:v>
      </x:c>
      <x:c r="J1966" t="n">
        <x:v>4.607</x:v>
      </x:c>
    </x:row>
    <x:row r="1967">
      <x:c r="A1967" s="3" t="n">
        <x:v>2023</x:v>
      </x:c>
      <x:c r="B1967" s="2" t="str">
        <x:v>Octubre</x:v>
      </x:c>
      <x:c r="C1967" s="2" t="str">
        <x:v>RE-109475-1</x:v>
      </x:c>
      <x:c r="D1967" s="2" t="str">
        <x:v>Parque Eólico Ampliación Cova da Serpe</x:v>
      </x:c>
      <x:c r="E1967" s="4" t="n">
        <x:v>5.549</x:v>
      </x:c>
      <x:c r="F1967" s="4" t="n">
        <x:f>J1967*1.03</x:f>
        <x:v>5.5733299999999995</x:v>
      </x:c>
      <x:c r="G1967" s="4" t="n">
        <x:v>25.2</x:v>
      </x:c>
      <x:c r="H1967" s="4" t="n">
        <x:v>90.14</x:v>
      </x:c>
      <x:c r="I1967" s="5" t="n">
        <x:f t="shared" si="30">F1967*1000*H1967</x:f>
        <x:v>502379.9661999999</x:v>
      </x:c>
      <x:c r="J1967" t="n">
        <x:v>5.411</x:v>
      </x:c>
    </x:row>
    <x:row r="1968">
      <x:c r="A1968" s="3" t="n">
        <x:v>2023</x:v>
      </x:c>
      <x:c r="B1968" s="2" t="str">
        <x:v>Noviembre</x:v>
      </x:c>
      <x:c r="C1968" s="2" t="str">
        <x:v>RE-109475-1</x:v>
      </x:c>
      <x:c r="D1968" s="2" t="str">
        <x:v>Parque Eólico Ampliación Cova da Serpe</x:v>
      </x:c>
      <x:c r="E1968" s="4" t="n">
        <x:v>6.579</x:v>
      </x:c>
      <x:c r="F1968" s="4" t="n">
        <x:f>J1968*0.99</x:f>
        <x:v>6.39738</x:v>
      </x:c>
      <x:c r="G1968" s="4" t="n">
        <x:v>25.2</x:v>
      </x:c>
      <x:c r="H1968" s="4" t="n">
        <x:v>63.45</x:v>
      </x:c>
      <x:c r="I1968" s="5" t="n">
        <x:f t="shared" si="30">F1968*1000*H1968</x:f>
        <x:v>405913.761</x:v>
      </x:c>
      <x:c r="J1968" t="n">
        <x:v>6.462</x:v>
      </x:c>
    </x:row>
    <x:row r="1969">
      <x:c r="A1969" s="3" t="n">
        <x:v>2023</x:v>
      </x:c>
      <x:c r="B1969" s="2" t="str">
        <x:v>Diciembre</x:v>
      </x:c>
      <x:c r="C1969" s="2" t="str">
        <x:v>RE-109475-1</x:v>
      </x:c>
      <x:c r="D1969" s="2" t="str">
        <x:v>Parque Eólico Ampliación Cova da Serpe</x:v>
      </x:c>
      <x:c r="E1969" s="4" t="n">
        <x:v>6.171</x:v>
      </x:c>
      <x:c r="F1969" s="4" t="n">
        <x:f>J1969*0.95</x:f>
        <x:v>5.6753</x:v>
      </x:c>
      <x:c r="G1969" s="4" t="n">
        <x:v>25.2</x:v>
      </x:c>
      <x:c r="H1969" s="4" t="n">
        <x:v>72.17</x:v>
      </x:c>
      <x:c r="I1969" s="5" t="n">
        <x:f t="shared" si="30">F1969*1000*H1969</x:f>
        <x:v>409586.401</x:v>
      </x:c>
      <x:c r="J1969" t="n">
        <x:v>5.974</x:v>
      </x:c>
    </x:row>
    <x:row r="1970">
      <x:c r="A1970" s="3" t="n">
        <x:v>2023</x:v>
      </x:c>
      <x:c r="B1970" s="2" t="str">
        <x:v>Enero</x:v>
      </x:c>
      <x:c r="C1970" s="2" t="str">
        <x:v>RE-110100-1</x:v>
      </x:c>
      <x:c r="D1970" s="2" t="str">
        <x:v>PROTOTIPO EXPERIMENTAL NED 100 GENERADOR COMERCIAL</x:v>
      </x:c>
      <x:c r="E1970" s="4" t="n">
        <x:v>0.026</x:v>
      </x:c>
      <x:c r="F1970" s="4" t="n">
        <x:f>J1970*1.02</x:f>
        <x:v>0.025500000000000002</x:v>
      </x:c>
      <x:c r="G1970" s="4" t="n">
        <x:v>0.1</x:v>
      </x:c>
      <x:c r="H1970" s="4" t="n">
        <x:v>69.55</x:v>
      </x:c>
      <x:c r="I1970" s="5" t="n">
        <x:f t="shared" si="30">F1970*1000*H1970</x:f>
        <x:v>1773.525</x:v>
      </x:c>
      <x:c r="J1970" t="n">
        <x:v>0.025</x:v>
      </x:c>
    </x:row>
    <x:row r="1971">
      <x:c r="A1971" s="3" t="n">
        <x:v>2023</x:v>
      </x:c>
      <x:c r="B1971" s="2" t="str">
        <x:v>Febrero</x:v>
      </x:c>
      <x:c r="C1971" s="2" t="str">
        <x:v>RE-110100-1</x:v>
      </x:c>
      <x:c r="D1971" s="2" t="str">
        <x:v>PROTOTIPO EXPERIMENTAL NED 100 GENERADOR COMERCIAL</x:v>
      </x:c>
      <x:c r="E1971" s="4" t="n">
        <x:v>0.021</x:v>
      </x:c>
      <x:c r="F1971" s="4" t="n">
        <x:f>J1971*0.98</x:f>
        <x:v>0.02058</x:v>
      </x:c>
      <x:c r="G1971" s="4" t="n">
        <x:v>0.1</x:v>
      </x:c>
      <x:c r="H1971" s="4" t="n">
        <x:v>133.47</x:v>
      </x:c>
      <x:c r="I1971" s="5" t="n">
        <x:f t="shared" si="30">F1971*1000*H1971</x:f>
        <x:v>2746.8126</x:v>
      </x:c>
      <x:c r="J1971" t="n">
        <x:v>0.021</x:v>
      </x:c>
    </x:row>
    <x:row r="1972">
      <x:c r="A1972" s="3" t="n">
        <x:v>2023</x:v>
      </x:c>
      <x:c r="B1972" s="2" t="str">
        <x:v>Marzo</x:v>
      </x:c>
      <x:c r="C1972" s="2" t="str">
        <x:v>RE-110100-1</x:v>
      </x:c>
      <x:c r="D1972" s="2" t="str">
        <x:v>PROTOTIPO EXPERIMENTAL NED 100 GENERADOR COMERCIAL</x:v>
      </x:c>
      <x:c r="E1972" s="4" t="n">
        <x:v>0.029</x:v>
      </x:c>
      <x:c r="F1972" s="4" t="n">
        <x:f>J1972*0.94</x:f>
        <x:v>0.02726</x:v>
      </x:c>
      <x:c r="G1972" s="4" t="n">
        <x:v>0.1</x:v>
      </x:c>
      <x:c r="H1972" s="4" t="n">
        <x:v>89.61</x:v>
      </x:c>
      <x:c r="I1972" s="5" t="n">
        <x:f t="shared" si="30">F1972*1000*H1972</x:f>
        <x:v>2442.7686</x:v>
      </x:c>
      <x:c r="J1972" t="n">
        <x:v>0.029</x:v>
      </x:c>
    </x:row>
    <x:row r="1973">
      <x:c r="A1973" s="3" t="n">
        <x:v>2023</x:v>
      </x:c>
      <x:c r="B1973" s="2" t="str">
        <x:v>Abril</x:v>
      </x:c>
      <x:c r="C1973" s="2" t="str">
        <x:v>RE-110100-1</x:v>
      </x:c>
      <x:c r="D1973" s="2" t="str">
        <x:v>PROTOTIPO EXPERIMENTAL NED 100 GENERADOR COMERCIAL</x:v>
      </x:c>
      <x:c r="E1973" s="4" t="n">
        <x:v>0.022</x:v>
      </x:c>
      <x:c r="F1973" s="4" t="n">
        <x:f>J1973*1.01</x:f>
        <x:v>0.02222</x:v>
      </x:c>
      <x:c r="G1973" s="4" t="n">
        <x:v>0.1</x:v>
      </x:c>
      <x:c r="H1973" s="4" t="n">
        <x:v>73.73</x:v>
      </x:c>
      <x:c r="I1973" s="5" t="n">
        <x:f t="shared" si="30">F1973*1000*H1973</x:f>
        <x:v>1638.2806</x:v>
      </x:c>
      <x:c r="J1973" t="n">
        <x:v>0.022</x:v>
      </x:c>
    </x:row>
    <x:row r="1974">
      <x:c r="A1974" s="3" t="n">
        <x:v>2023</x:v>
      </x:c>
      <x:c r="B1974" s="2" t="str">
        <x:v>Mayo</x:v>
      </x:c>
      <x:c r="C1974" s="2" t="str">
        <x:v>RE-110100-1</x:v>
      </x:c>
      <x:c r="D1974" s="2" t="str">
        <x:v>PROTOTIPO EXPERIMENTAL NED 100 GENERADOR COMERCIAL</x:v>
      </x:c>
      <x:c r="E1974" s="4" t="n">
        <x:v>0.017</x:v>
      </x:c>
      <x:c r="F1974" s="4" t="n">
        <x:f>J1974*0.97</x:f>
        <x:v>0.01649</x:v>
      </x:c>
      <x:c r="G1974" s="4" t="n">
        <x:v>0.1</x:v>
      </x:c>
      <x:c r="H1974" s="4" t="n">
        <x:v>74.21</x:v>
      </x:c>
      <x:c r="I1974" s="5" t="n">
        <x:f t="shared" si="30">F1974*1000*H1974</x:f>
        <x:v>1223.7229</x:v>
      </x:c>
      <x:c r="J1974" t="n">
        <x:v>0.017</x:v>
      </x:c>
    </x:row>
    <x:row r="1975">
      <x:c r="A1975" s="3" t="n">
        <x:v>2023</x:v>
      </x:c>
      <x:c r="B1975" s="2" t="str">
        <x:v>Junio</x:v>
      </x:c>
      <x:c r="C1975" s="2" t="str">
        <x:v>RE-110100-1</x:v>
      </x:c>
      <x:c r="D1975" s="2" t="str">
        <x:v>PROTOTIPO EXPERIMENTAL NED 100 GENERADOR COMERCIAL</x:v>
      </x:c>
      <x:c r="E1975" s="4" t="n">
        <x:v>0.018</x:v>
      </x:c>
      <x:c r="F1975" s="4" t="n">
        <x:f>J1975*1.04</x:f>
        <x:v>0.01872</x:v>
      </x:c>
      <x:c r="G1975" s="4" t="n">
        <x:v>0.1</x:v>
      </x:c>
      <x:c r="H1975" s="4" t="n">
        <x:v>93.02</x:v>
      </x:c>
      <x:c r="I1975" s="5" t="n">
        <x:f t="shared" si="30">F1975*1000*H1975</x:f>
        <x:v>1741.3343999999997</x:v>
      </x:c>
      <x:c r="J1975" t="n">
        <x:v>0.018</x:v>
      </x:c>
    </x:row>
    <x:row r="1976">
      <x:c r="A1976" s="3" t="n">
        <x:v>2023</x:v>
      </x:c>
      <x:c r="B1976" s="2" t="str">
        <x:v>Julio</x:v>
      </x:c>
      <x:c r="C1976" s="2" t="str">
        <x:v>RE-110100-1</x:v>
      </x:c>
      <x:c r="D1976" s="2" t="str">
        <x:v>PROTOTIPO EXPERIMENTAL NED 100 GENERADOR COMERCIAL</x:v>
      </x:c>
      <x:c r="E1976" s="4" t="n">
        <x:v>0.016</x:v>
      </x:c>
      <x:c r="F1976" s="4" t="n">
        <x:f>J1976*1</x:f>
        <x:v>0.016</x:v>
      </x:c>
      <x:c r="G1976" s="4" t="n">
        <x:v>0.1</x:v>
      </x:c>
      <x:c r="H1976" s="4" t="n">
        <x:v>90.47</x:v>
      </x:c>
      <x:c r="I1976" s="5" t="n">
        <x:f t="shared" si="30">F1976*1000*H1976</x:f>
        <x:v>1447.52</x:v>
      </x:c>
      <x:c r="J1976" t="n">
        <x:v>0.016</x:v>
      </x:c>
    </x:row>
    <x:row r="1977">
      <x:c r="A1977" s="3" t="n">
        <x:v>2023</x:v>
      </x:c>
      <x:c r="B1977" s="2" t="str">
        <x:v>Agosto</x:v>
      </x:c>
      <x:c r="C1977" s="2" t="str">
        <x:v>RE-110100-1</x:v>
      </x:c>
      <x:c r="D1977" s="2" t="str">
        <x:v>PROTOTIPO EXPERIMENTAL NED 100 GENERADOR COMERCIAL</x:v>
      </x:c>
      <x:c r="E1977" s="4" t="n">
        <x:v>0.015</x:v>
      </x:c>
      <x:c r="F1977" s="4" t="n">
        <x:f>J1977*0.96</x:f>
        <x:v>0.0144</x:v>
      </x:c>
      <x:c r="G1977" s="4" t="n">
        <x:v>0.1</x:v>
      </x:c>
      <x:c r="H1977" s="4" t="n">
        <x:v>96.05</x:v>
      </x:c>
      <x:c r="I1977" s="5" t="n">
        <x:f t="shared" si="30">F1977*1000*H1977</x:f>
        <x:v>1383.12</x:v>
      </x:c>
      <x:c r="J1977" t="n">
        <x:v>0.015</x:v>
      </x:c>
    </x:row>
    <x:row r="1978">
      <x:c r="A1978" s="3" t="n">
        <x:v>2023</x:v>
      </x:c>
      <x:c r="B1978" s="2" t="str">
        <x:v>Septiembre</x:v>
      </x:c>
      <x:c r="C1978" s="2" t="str">
        <x:v>RE-110100-1</x:v>
      </x:c>
      <x:c r="D1978" s="2" t="str">
        <x:v>PROTOTIPO EXPERIMENTAL NED 100 GENERADOR COMERCIAL</x:v>
      </x:c>
      <x:c r="E1978" s="4" t="n">
        <x:v>0.02</x:v>
      </x:c>
      <x:c r="F1978" s="4" t="n">
        <x:f>J1978*1.03</x:f>
        <x:v>0.0206</x:v>
      </x:c>
      <x:c r="G1978" s="4" t="n">
        <x:v>0.1</x:v>
      </x:c>
      <x:c r="H1978" s="4" t="n">
        <x:v>103.34</x:v>
      </x:c>
      <x:c r="I1978" s="5" t="n">
        <x:f t="shared" si="30">F1978*1000*H1978</x:f>
        <x:v>2128.804</x:v>
      </x:c>
      <x:c r="J1978" t="n">
        <x:v>0.02</x:v>
      </x:c>
    </x:row>
    <x:row r="1979">
      <x:c r="A1979" s="3" t="n">
        <x:v>2023</x:v>
      </x:c>
      <x:c r="B1979" s="2" t="str">
        <x:v>Octubre</x:v>
      </x:c>
      <x:c r="C1979" s="2" t="str">
        <x:v>RE-110100-1</x:v>
      </x:c>
      <x:c r="D1979" s="2" t="str">
        <x:v>PROTOTIPO EXPERIMENTAL NED 100 GENERADOR COMERCIAL</x:v>
      </x:c>
      <x:c r="E1979" s="4" t="n">
        <x:v>0.025</x:v>
      </x:c>
      <x:c r="F1979" s="4" t="n">
        <x:f>J1979*0.99</x:f>
        <x:v>0.02376</x:v>
      </x:c>
      <x:c r="G1979" s="4" t="n">
        <x:v>0.1</x:v>
      </x:c>
      <x:c r="H1979" s="4" t="n">
        <x:v>90.14</x:v>
      </x:c>
      <x:c r="I1979" s="5" t="n">
        <x:f t="shared" si="30">F1979*1000*H1979</x:f>
        <x:v>2141.7264</x:v>
      </x:c>
      <x:c r="J1979" t="n">
        <x:v>0.024</x:v>
      </x:c>
    </x:row>
    <x:row r="1980">
      <x:c r="A1980" s="3" t="n">
        <x:v>2023</x:v>
      </x:c>
      <x:c r="B1980" s="2" t="str">
        <x:v>Noviembre</x:v>
      </x:c>
      <x:c r="C1980" s="2" t="str">
        <x:v>RE-110100-1</x:v>
      </x:c>
      <x:c r="D1980" s="2" t="str">
        <x:v>PROTOTIPO EXPERIMENTAL NED 100 GENERADOR COMERCIAL</x:v>
      </x:c>
      <x:c r="E1980" s="4" t="n">
        <x:v>0.025</x:v>
      </x:c>
      <x:c r="F1980" s="4" t="n">
        <x:f>J1980*0.95</x:f>
        <x:v>0.0228</x:v>
      </x:c>
      <x:c r="G1980" s="4" t="n">
        <x:v>0.1</x:v>
      </x:c>
      <x:c r="H1980" s="4" t="n">
        <x:v>63.45</x:v>
      </x:c>
      <x:c r="I1980" s="5" t="n">
        <x:f t="shared" si="30">F1980*1000*H1980</x:f>
        <x:v>1446.66</x:v>
      </x:c>
      <x:c r="J1980" t="n">
        <x:v>0.024</x:v>
      </x:c>
    </x:row>
    <x:row r="1981">
      <x:c r="A1981" s="3" t="n">
        <x:v>2023</x:v>
      </x:c>
      <x:c r="B1981" s="2" t="str">
        <x:v>Diciembre</x:v>
      </x:c>
      <x:c r="C1981" s="2" t="str">
        <x:v>RE-110100-1</x:v>
      </x:c>
      <x:c r="D1981" s="2" t="str">
        <x:v>PROTOTIPO EXPERIMENTAL NED 100 GENERADOR COMERCIAL</x:v>
      </x:c>
      <x:c r="E1981" s="4" t="n">
        <x:v>0.034</x:v>
      </x:c>
      <x:c r="F1981" s="4" t="n">
        <x:f>J1981*1.02</x:f>
        <x:v>0.03366</x:v>
      </x:c>
      <x:c r="G1981" s="4" t="n">
        <x:v>0.1</x:v>
      </x:c>
      <x:c r="H1981" s="4" t="n">
        <x:v>72.17</x:v>
      </x:c>
      <x:c r="I1981" s="5" t="n">
        <x:f t="shared" si="30">F1981*1000*H1981</x:f>
        <x:v>2429.2422</x:v>
      </x:c>
      <x:c r="J1981" t="n">
        <x:v>0.033</x:v>
      </x:c>
    </x:row>
    <x:row r="1982">
      <x:c r="A1982" s="3" t="n">
        <x:v>2023</x:v>
      </x:c>
      <x:c r="B1982" s="2" t="str">
        <x:v>Enero</x:v>
      </x:c>
      <x:c r="C1982" s="2" t="str">
        <x:v>RE-110867-1</x:v>
      </x:c>
      <x:c r="D1982" s="2" t="str">
        <x:v>Parque Eólico Singular de Pobra do Caramiñal</x:v>
      </x:c>
      <x:c r="E1982" s="4" t="n">
        <x:v>0.906</x:v>
      </x:c>
      <x:c r="F1982" s="4" t="n">
        <x:f>J1982*0.98</x:f>
        <x:v>0.86142</x:v>
      </x:c>
      <x:c r="G1982" s="4" t="n">
        <x:v>3</x:v>
      </x:c>
      <x:c r="H1982" s="4" t="n">
        <x:v>69.55</x:v>
      </x:c>
      <x:c r="I1982" s="5" t="n">
        <x:f t="shared" si="30">F1982*1000*H1982</x:f>
        <x:v>59911.76099999999</x:v>
      </x:c>
      <x:c r="J1982" t="n">
        <x:v>0.879</x:v>
      </x:c>
    </x:row>
    <x:row r="1983">
      <x:c r="A1983" s="3" t="n">
        <x:v>2023</x:v>
      </x:c>
      <x:c r="B1983" s="2" t="str">
        <x:v>Febrero</x:v>
      </x:c>
      <x:c r="C1983" s="2" t="str">
        <x:v>RE-110867-1</x:v>
      </x:c>
      <x:c r="D1983" s="2" t="str">
        <x:v>Parque Eólico Singular de Pobra do Caramiñal</x:v>
      </x:c>
      <x:c r="E1983" s="4" t="n">
        <x:v>0.754</x:v>
      </x:c>
      <x:c r="F1983" s="4" t="n">
        <x:f>J1983*0.94</x:f>
        <x:v>0.6956</x:v>
      </x:c>
      <x:c r="G1983" s="4" t="n">
        <x:v>3</x:v>
      </x:c>
      <x:c r="H1983" s="4" t="n">
        <x:v>133.47</x:v>
      </x:c>
      <x:c r="I1983" s="5" t="n">
        <x:f t="shared" si="30">F1983*1000*H1983</x:f>
        <x:v>92841.732</x:v>
      </x:c>
      <x:c r="J1983" t="n">
        <x:v>0.74</x:v>
      </x:c>
    </x:row>
    <x:row r="1984">
      <x:c r="A1984" s="3" t="n">
        <x:v>2023</x:v>
      </x:c>
      <x:c r="B1984" s="2" t="str">
        <x:v>Marzo</x:v>
      </x:c>
      <x:c r="C1984" s="2" t="str">
        <x:v>RE-110867-1</x:v>
      </x:c>
      <x:c r="D1984" s="2" t="str">
        <x:v>Parque Eólico Singular de Pobra do Caramiñal</x:v>
      </x:c>
      <x:c r="E1984" s="4" t="n">
        <x:v>0.774</x:v>
      </x:c>
      <x:c r="F1984" s="4" t="n">
        <x:f>J1984*1.01</x:f>
        <x:v>0.75851</x:v>
      </x:c>
      <x:c r="G1984" s="4" t="n">
        <x:v>3</x:v>
      </x:c>
      <x:c r="H1984" s="4" t="n">
        <x:v>89.61</x:v>
      </x:c>
      <x:c r="I1984" s="5" t="n">
        <x:f t="shared" si="30">F1984*1000*H1984</x:f>
        <x:v>67970.0811</x:v>
      </x:c>
      <x:c r="J1984" t="n">
        <x:v>0.751</x:v>
      </x:c>
    </x:row>
    <x:row r="1985">
      <x:c r="A1985" s="3" t="n">
        <x:v>2023</x:v>
      </x:c>
      <x:c r="B1985" s="2" t="str">
        <x:v>Abril</x:v>
      </x:c>
      <x:c r="C1985" s="2" t="str">
        <x:v>RE-110867-1</x:v>
      </x:c>
      <x:c r="D1985" s="2" t="str">
        <x:v>Parque Eólico Singular de Pobra do Caramiñal</x:v>
      </x:c>
      <x:c r="E1985" s="4" t="n">
        <x:v>0.677</x:v>
      </x:c>
      <x:c r="F1985" s="4" t="n">
        <x:f>J1985*0.97</x:f>
        <x:v>0.64505</x:v>
      </x:c>
      <x:c r="G1985" s="4" t="n">
        <x:v>3</x:v>
      </x:c>
      <x:c r="H1985" s="4" t="n">
        <x:v>73.73</x:v>
      </x:c>
      <x:c r="I1985" s="5" t="n">
        <x:f t="shared" si="30">F1985*1000*H1985</x:f>
        <x:v>47559.53650000001</x:v>
      </x:c>
      <x:c r="J1985" t="n">
        <x:v>0.665</x:v>
      </x:c>
    </x:row>
    <x:row r="1986">
      <x:c r="A1986" s="3" t="n">
        <x:v>2023</x:v>
      </x:c>
      <x:c r="B1986" s="2" t="str">
        <x:v>Mayo</x:v>
      </x:c>
      <x:c r="C1986" s="2" t="str">
        <x:v>RE-110867-1</x:v>
      </x:c>
      <x:c r="D1986" s="2" t="str">
        <x:v>Parque Eólico Singular de Pobra do Caramiñal</x:v>
      </x:c>
      <x:c r="E1986" s="4" t="n">
        <x:v>0.624</x:v>
      </x:c>
      <x:c r="F1986" s="4" t="n">
        <x:f>J1986*1.04</x:f>
        <x:v>0.63648</x:v>
      </x:c>
      <x:c r="G1986" s="4" t="n">
        <x:v>3</x:v>
      </x:c>
      <x:c r="H1986" s="4" t="n">
        <x:v>74.21</x:v>
      </x:c>
      <x:c r="I1986" s="5" t="n">
        <x:f t="shared" ref="I1986:I2049" si="31">F1986*1000*H1986</x:f>
        <x:v>47233.180799999995</x:v>
      </x:c>
      <x:c r="J1986" t="n">
        <x:v>0.612</x:v>
      </x:c>
    </x:row>
    <x:row r="1987">
      <x:c r="A1987" s="3" t="n">
        <x:v>2023</x:v>
      </x:c>
      <x:c r="B1987" s="2" t="str">
        <x:v>Junio</x:v>
      </x:c>
      <x:c r="C1987" s="2" t="str">
        <x:v>RE-110867-1</x:v>
      </x:c>
      <x:c r="D1987" s="2" t="str">
        <x:v>Parque Eólico Singular de Pobra do Caramiñal</x:v>
      </x:c>
      <x:c r="E1987" s="4" t="n">
        <x:v>0.526</x:v>
      </x:c>
      <x:c r="F1987" s="4" t="n">
        <x:f>J1987*1</x:f>
        <x:v>0.513</x:v>
      </x:c>
      <x:c r="G1987" s="4" t="n">
        <x:v>3</x:v>
      </x:c>
      <x:c r="H1987" s="4" t="n">
        <x:v>93.02</x:v>
      </x:c>
      <x:c r="I1987" s="5" t="n">
        <x:f t="shared" si="31">F1987*1000*H1987</x:f>
        <x:v>47719.259999999995</x:v>
      </x:c>
      <x:c r="J1987" t="n">
        <x:v>0.513</x:v>
      </x:c>
    </x:row>
    <x:row r="1988">
      <x:c r="A1988" s="3" t="n">
        <x:v>2023</x:v>
      </x:c>
      <x:c r="B1988" s="2" t="str">
        <x:v>Julio</x:v>
      </x:c>
      <x:c r="C1988" s="2" t="str">
        <x:v>RE-110867-1</x:v>
      </x:c>
      <x:c r="D1988" s="2" t="str">
        <x:v>Parque Eólico Singular de Pobra do Caramiñal</x:v>
      </x:c>
      <x:c r="E1988" s="4" t="n">
        <x:v>0.482</x:v>
      </x:c>
      <x:c r="F1988" s="4" t="n">
        <x:f>J1988*0.96</x:f>
        <x:v>0.45311999999999997</x:v>
      </x:c>
      <x:c r="G1988" s="4" t="n">
        <x:v>3</x:v>
      </x:c>
      <x:c r="H1988" s="4" t="n">
        <x:v>90.47</x:v>
      </x:c>
      <x:c r="I1988" s="5" t="n">
        <x:f t="shared" si="31">F1988*1000*H1988</x:f>
        <x:v>40993.76639999999</x:v>
      </x:c>
      <x:c r="J1988" t="n">
        <x:v>0.472</x:v>
      </x:c>
    </x:row>
    <x:row r="1989">
      <x:c r="A1989" s="3" t="n">
        <x:v>2023</x:v>
      </x:c>
      <x:c r="B1989" s="2" t="str">
        <x:v>Agosto</x:v>
      </x:c>
      <x:c r="C1989" s="2" t="str">
        <x:v>RE-110867-1</x:v>
      </x:c>
      <x:c r="D1989" s="2" t="str">
        <x:v>Parque Eólico Singular de Pobra do Caramiñal</x:v>
      </x:c>
      <x:c r="E1989" s="4" t="n">
        <x:v>0.506</x:v>
      </x:c>
      <x:c r="F1989" s="4" t="n">
        <x:f>J1989*1.03</x:f>
        <x:v>0.50882</x:v>
      </x:c>
      <x:c r="G1989" s="4" t="n">
        <x:v>3</x:v>
      </x:c>
      <x:c r="H1989" s="4" t="n">
        <x:v>96.05</x:v>
      </x:c>
      <x:c r="I1989" s="5" t="n">
        <x:f t="shared" si="31">F1989*1000*H1989</x:f>
        <x:v>48872.161</x:v>
      </x:c>
      <x:c r="J1989" t="n">
        <x:v>0.494</x:v>
      </x:c>
    </x:row>
    <x:row r="1990">
      <x:c r="A1990" s="3" t="n">
        <x:v>2023</x:v>
      </x:c>
      <x:c r="B1990" s="2" t="str">
        <x:v>Septiembre</x:v>
      </x:c>
      <x:c r="C1990" s="2" t="str">
        <x:v>RE-110867-1</x:v>
      </x:c>
      <x:c r="D1990" s="2" t="str">
        <x:v>Parque Eólico Singular de Pobra do Caramiñal</x:v>
      </x:c>
      <x:c r="E1990" s="4" t="n">
        <x:v>0.528</x:v>
      </x:c>
      <x:c r="F1990" s="4" t="n">
        <x:f>J1990*0.99</x:f>
        <x:v>0.50985</x:v>
      </x:c>
      <x:c r="G1990" s="4" t="n">
        <x:v>3</x:v>
      </x:c>
      <x:c r="H1990" s="4" t="n">
        <x:v>103.34</x:v>
      </x:c>
      <x:c r="I1990" s="5" t="n">
        <x:f t="shared" si="31">F1990*1000*H1990</x:f>
        <x:v>52687.899000000005</x:v>
      </x:c>
      <x:c r="J1990" t="n">
        <x:v>0.515</x:v>
      </x:c>
    </x:row>
    <x:row r="1991">
      <x:c r="A1991" s="3" t="n">
        <x:v>2023</x:v>
      </x:c>
      <x:c r="B1991" s="2" t="str">
        <x:v>Octubre</x:v>
      </x:c>
      <x:c r="C1991" s="2" t="str">
        <x:v>RE-110867-1</x:v>
      </x:c>
      <x:c r="D1991" s="2" t="str">
        <x:v>Parque Eólico Singular de Pobra do Caramiñal</x:v>
      </x:c>
      <x:c r="E1991" s="4" t="n">
        <x:v>0.668</x:v>
      </x:c>
      <x:c r="F1991" s="4" t="n">
        <x:f>J1991*0.95</x:f>
        <x:v>0.6184499999999999</x:v>
      </x:c>
      <x:c r="G1991" s="4" t="n">
        <x:v>3</x:v>
      </x:c>
      <x:c r="H1991" s="4" t="n">
        <x:v>90.14</x:v>
      </x:c>
      <x:c r="I1991" s="5" t="n">
        <x:f t="shared" si="31">F1991*1000*H1991</x:f>
        <x:v>55747.08299999999</x:v>
      </x:c>
      <x:c r="J1991" t="n">
        <x:v>0.651</x:v>
      </x:c>
    </x:row>
    <x:row r="1992">
      <x:c r="A1992" s="3" t="n">
        <x:v>2023</x:v>
      </x:c>
      <x:c r="B1992" s="2" t="str">
        <x:v>Noviembre</x:v>
      </x:c>
      <x:c r="C1992" s="2" t="str">
        <x:v>RE-110867-1</x:v>
      </x:c>
      <x:c r="D1992" s="2" t="str">
        <x:v>Parque Eólico Singular de Pobra do Caramiñal</x:v>
      </x:c>
      <x:c r="E1992" s="4" t="n">
        <x:v>0.794</x:v>
      </x:c>
      <x:c r="F1992" s="4" t="n">
        <x:f>J1992*1.02</x:f>
        <x:v>0.7905000000000001</x:v>
      </x:c>
      <x:c r="G1992" s="4" t="n">
        <x:v>3</x:v>
      </x:c>
      <x:c r="H1992" s="4" t="n">
        <x:v>63.45</x:v>
      </x:c>
      <x:c r="I1992" s="5" t="n">
        <x:f t="shared" si="31">F1992*1000*H1992</x:f>
        <x:v>50157.22500000001</x:v>
      </x:c>
      <x:c r="J1992" t="n">
        <x:v>0.775</x:v>
      </x:c>
    </x:row>
    <x:row r="1993">
      <x:c r="A1993" s="3" t="n">
        <x:v>2023</x:v>
      </x:c>
      <x:c r="B1993" s="2" t="str">
        <x:v>Diciembre</x:v>
      </x:c>
      <x:c r="C1993" s="2" t="str">
        <x:v>RE-110867-1</x:v>
      </x:c>
      <x:c r="D1993" s="2" t="str">
        <x:v>Parque Eólico Singular de Pobra do Caramiñal</x:v>
      </x:c>
      <x:c r="E1993" s="4" t="n">
        <x:v>0.785</x:v>
      </x:c>
      <x:c r="F1993" s="4" t="n">
        <x:f>J1993*0.98</x:f>
        <x:v>0.75264</x:v>
      </x:c>
      <x:c r="G1993" s="4" t="n">
        <x:v>3</x:v>
      </x:c>
      <x:c r="H1993" s="4" t="n">
        <x:v>72.17</x:v>
      </x:c>
      <x:c r="I1993" s="5" t="n">
        <x:f t="shared" si="31">F1993*1000*H1993</x:f>
        <x:v>54318.0288</x:v>
      </x:c>
      <x:c r="J1993" t="n">
        <x:v>0.768</x:v>
      </x:c>
    </x:row>
    <x:row r="1994">
      <x:c r="A1994" s="3" t="n">
        <x:v>2023</x:v>
      </x:c>
      <x:c r="B1994" s="2" t="str">
        <x:v>Enero</x:v>
      </x:c>
      <x:c r="C1994" s="2" t="str">
        <x:v>RE-110868-1</x:v>
      </x:c>
      <x:c r="D1994" s="2" t="str">
        <x:v>Parque Eólico Singular de Porto do Son</x:v>
      </x:c>
      <x:c r="E1994" s="4" t="n">
        <x:v>0.918</x:v>
      </x:c>
      <x:c r="F1994" s="4" t="n">
        <x:f>J1994*0.94</x:f>
        <x:v>0.8394199999999999</x:v>
      </x:c>
      <x:c r="G1994" s="4" t="n">
        <x:v>3</x:v>
      </x:c>
      <x:c r="H1994" s="4" t="n">
        <x:v>69.55</x:v>
      </x:c>
      <x:c r="I1994" s="5" t="n">
        <x:f t="shared" si="31">F1994*1000*H1994</x:f>
        <x:v>58381.66099999999</x:v>
      </x:c>
      <x:c r="J1994" t="n">
        <x:v>0.893</x:v>
      </x:c>
    </x:row>
    <x:row r="1995">
      <x:c r="A1995" s="3" t="n">
        <x:v>2023</x:v>
      </x:c>
      <x:c r="B1995" s="2" t="str">
        <x:v>Febrero</x:v>
      </x:c>
      <x:c r="C1995" s="2" t="str">
        <x:v>RE-110868-1</x:v>
      </x:c>
      <x:c r="D1995" s="2" t="str">
        <x:v>Parque Eólico Singular de Porto do Son</x:v>
      </x:c>
      <x:c r="E1995" s="4" t="n">
        <x:v>0.707</x:v>
      </x:c>
      <x:c r="F1995" s="4" t="n">
        <x:f>J1995*1.01</x:f>
        <x:v>0.6979099999999999</x:v>
      </x:c>
      <x:c r="G1995" s="4" t="n">
        <x:v>3</x:v>
      </x:c>
      <x:c r="H1995" s="4" t="n">
        <x:v>133.47</x:v>
      </x:c>
      <x:c r="I1995" s="5" t="n">
        <x:f t="shared" si="31">F1995*1000*H1995</x:f>
        <x:v>93150.0477</x:v>
      </x:c>
      <x:c r="J1995" t="n">
        <x:v>0.691</x:v>
      </x:c>
    </x:row>
    <x:row r="1996">
      <x:c r="A1996" s="3" t="n">
        <x:v>2023</x:v>
      </x:c>
      <x:c r="B1996" s="2" t="str">
        <x:v>Marzo</x:v>
      </x:c>
      <x:c r="C1996" s="2" t="str">
        <x:v>RE-110868-1</x:v>
      </x:c>
      <x:c r="D1996" s="2" t="str">
        <x:v>Parque Eólico Singular de Porto do Son</x:v>
      </x:c>
      <x:c r="E1996" s="4" t="n">
        <x:v>0.668</x:v>
      </x:c>
      <x:c r="F1996" s="4" t="n">
        <x:f>J1996*0.97</x:f>
        <x:v>0.63632</x:v>
      </x:c>
      <x:c r="G1996" s="4" t="n">
        <x:v>3</x:v>
      </x:c>
      <x:c r="H1996" s="4" t="n">
        <x:v>89.61</x:v>
      </x:c>
      <x:c r="I1996" s="5" t="n">
        <x:f t="shared" si="31">F1996*1000*H1996</x:f>
        <x:v>57020.635200000004</x:v>
      </x:c>
      <x:c r="J1996" t="n">
        <x:v>0.656</x:v>
      </x:c>
    </x:row>
    <x:row r="1997">
      <x:c r="A1997" s="3" t="n">
        <x:v>2023</x:v>
      </x:c>
      <x:c r="B1997" s="2" t="str">
        <x:v>Abril</x:v>
      </x:c>
      <x:c r="C1997" s="2" t="str">
        <x:v>RE-110868-1</x:v>
      </x:c>
      <x:c r="D1997" s="2" t="str">
        <x:v>Parque Eólico Singular de Porto do Son</x:v>
      </x:c>
      <x:c r="E1997" s="4" t="n">
        <x:v>0.657</x:v>
      </x:c>
      <x:c r="F1997" s="4" t="n">
        <x:f>J1997*1.04</x:f>
        <x:v>0.66456</x:v>
      </x:c>
      <x:c r="G1997" s="4" t="n">
        <x:v>3</x:v>
      </x:c>
      <x:c r="H1997" s="4" t="n">
        <x:v>73.73</x:v>
      </x:c>
      <x:c r="I1997" s="5" t="n">
        <x:f t="shared" si="31">F1997*1000*H1997</x:f>
        <x:v>48998.00880000001</x:v>
      </x:c>
      <x:c r="J1997" t="n">
        <x:v>0.639</x:v>
      </x:c>
    </x:row>
    <x:row r="1998">
      <x:c r="A1998" s="3" t="n">
        <x:v>2023</x:v>
      </x:c>
      <x:c r="B1998" s="2" t="str">
        <x:v>Mayo</x:v>
      </x:c>
      <x:c r="C1998" s="2" t="str">
        <x:v>RE-110868-1</x:v>
      </x:c>
      <x:c r="D1998" s="2" t="str">
        <x:v>Parque Eólico Singular de Porto do Son</x:v>
      </x:c>
      <x:c r="E1998" s="4" t="n">
        <x:v>0.54</x:v>
      </x:c>
      <x:c r="F1998" s="4" t="n">
        <x:f>J1998*1</x:f>
        <x:v>0.528</x:v>
      </x:c>
      <x:c r="G1998" s="4" t="n">
        <x:v>3</x:v>
      </x:c>
      <x:c r="H1998" s="4" t="n">
        <x:v>74.21</x:v>
      </x:c>
      <x:c r="I1998" s="5" t="n">
        <x:f t="shared" si="31">F1998*1000*H1998</x:f>
        <x:v>39182.88</x:v>
      </x:c>
      <x:c r="J1998" t="n">
        <x:v>0.528</x:v>
      </x:c>
    </x:row>
    <x:row r="1999">
      <x:c r="A1999" s="3" t="n">
        <x:v>2023</x:v>
      </x:c>
      <x:c r="B1999" s="2" t="str">
        <x:v>Junio</x:v>
      </x:c>
      <x:c r="C1999" s="2" t="str">
        <x:v>RE-110868-1</x:v>
      </x:c>
      <x:c r="D1999" s="2" t="str">
        <x:v>Parque Eólico Singular de Porto do Son</x:v>
      </x:c>
      <x:c r="E1999" s="4" t="n">
        <x:v>0.4</x:v>
      </x:c>
      <x:c r="F1999" s="4" t="n">
        <x:f>J1999*0.96</x:f>
        <x:v>0.37152</x:v>
      </x:c>
      <x:c r="G1999" s="4" t="n">
        <x:v>3</x:v>
      </x:c>
      <x:c r="H1999" s="4" t="n">
        <x:v>93.02</x:v>
      </x:c>
      <x:c r="I1999" s="5" t="n">
        <x:f t="shared" si="31">F1999*1000*H1999</x:f>
        <x:v>34558.790400000005</x:v>
      </x:c>
      <x:c r="J1999" t="n">
        <x:v>0.387</x:v>
      </x:c>
    </x:row>
    <x:row r="2000">
      <x:c r="A2000" s="3" t="n">
        <x:v>2023</x:v>
      </x:c>
      <x:c r="B2000" s="2" t="str">
        <x:v>Julio</x:v>
      </x:c>
      <x:c r="C2000" s="2" t="str">
        <x:v>RE-110868-1</x:v>
      </x:c>
      <x:c r="D2000" s="2" t="str">
        <x:v>Parque Eólico Singular de Porto do Son</x:v>
      </x:c>
      <x:c r="E2000" s="4" t="n">
        <x:v>0.412</x:v>
      </x:c>
      <x:c r="F2000" s="4" t="n">
        <x:f>J2000*1.03</x:f>
        <x:v>0.41509</x:v>
      </x:c>
      <x:c r="G2000" s="4" t="n">
        <x:v>3</x:v>
      </x:c>
      <x:c r="H2000" s="4" t="n">
        <x:v>90.47</x:v>
      </x:c>
      <x:c r="I2000" s="5" t="n">
        <x:f t="shared" si="31">F2000*1000*H2000</x:f>
        <x:v>37553.1923</x:v>
      </x:c>
      <x:c r="J2000" t="n">
        <x:v>0.403</x:v>
      </x:c>
    </x:row>
    <x:row r="2001">
      <x:c r="A2001" s="3" t="n">
        <x:v>2023</x:v>
      </x:c>
      <x:c r="B2001" s="2" t="str">
        <x:v>Agosto</x:v>
      </x:c>
      <x:c r="C2001" s="2" t="str">
        <x:v>RE-110868-1</x:v>
      </x:c>
      <x:c r="D2001" s="2" t="str">
        <x:v>Parque Eólico Singular de Porto do Son</x:v>
      </x:c>
      <x:c r="E2001" s="4" t="n">
        <x:v>0.479</x:v>
      </x:c>
      <x:c r="F2001" s="4" t="n">
        <x:f>J2001*0.99</x:f>
        <x:v>0.46332</x:v>
      </x:c>
      <x:c r="G2001" s="4" t="n">
        <x:v>3</x:v>
      </x:c>
      <x:c r="H2001" s="4" t="n">
        <x:v>96.05</x:v>
      </x:c>
      <x:c r="I2001" s="5" t="n">
        <x:f t="shared" si="31">F2001*1000*H2001</x:f>
        <x:v>44501.886</x:v>
      </x:c>
      <x:c r="J2001" t="n">
        <x:v>0.468</x:v>
      </x:c>
    </x:row>
    <x:row r="2002">
      <x:c r="A2002" s="3" t="n">
        <x:v>2023</x:v>
      </x:c>
      <x:c r="B2002" s="2" t="str">
        <x:v>Septiembre</x:v>
      </x:c>
      <x:c r="C2002" s="2" t="str">
        <x:v>RE-110868-1</x:v>
      </x:c>
      <x:c r="D2002" s="2" t="str">
        <x:v>Parque Eólico Singular de Porto do Son</x:v>
      </x:c>
      <x:c r="E2002" s="4" t="n">
        <x:v>0.502</x:v>
      </x:c>
      <x:c r="F2002" s="4" t="n">
        <x:f>J2002*0.95</x:f>
        <x:v>0.46454999999999996</x:v>
      </x:c>
      <x:c r="G2002" s="4" t="n">
        <x:v>3</x:v>
      </x:c>
      <x:c r="H2002" s="4" t="n">
        <x:v>103.34</x:v>
      </x:c>
      <x:c r="I2002" s="5" t="n">
        <x:f t="shared" si="31">F2002*1000*H2002</x:f>
        <x:v>48006.596999999994</x:v>
      </x:c>
      <x:c r="J2002" t="n">
        <x:v>0.489</x:v>
      </x:c>
    </x:row>
    <x:row r="2003">
      <x:c r="A2003" s="3" t="n">
        <x:v>2023</x:v>
      </x:c>
      <x:c r="B2003" s="2" t="str">
        <x:v>Octubre</x:v>
      </x:c>
      <x:c r="C2003" s="2" t="str">
        <x:v>RE-110868-1</x:v>
      </x:c>
      <x:c r="D2003" s="2" t="str">
        <x:v>Parque Eólico Singular de Porto do Son</x:v>
      </x:c>
      <x:c r="E2003" s="4" t="n">
        <x:v>0.663</x:v>
      </x:c>
      <x:c r="F2003" s="4" t="n">
        <x:f>J2003*1.02</x:f>
        <x:v>0.6579</x:v>
      </x:c>
      <x:c r="G2003" s="4" t="n">
        <x:v>3</x:v>
      </x:c>
      <x:c r="H2003" s="4" t="n">
        <x:v>90.14</x:v>
      </x:c>
      <x:c r="I2003" s="5" t="n">
        <x:f t="shared" si="31">F2003*1000*H2003</x:f>
        <x:v>59303.10600000001</x:v>
      </x:c>
      <x:c r="J2003" t="n">
        <x:v>0.645</x:v>
      </x:c>
    </x:row>
    <x:row r="2004">
      <x:c r="A2004" s="3" t="n">
        <x:v>2023</x:v>
      </x:c>
      <x:c r="B2004" s="2" t="str">
        <x:v>Noviembre</x:v>
      </x:c>
      <x:c r="C2004" s="2" t="str">
        <x:v>RE-110868-1</x:v>
      </x:c>
      <x:c r="D2004" s="2" t="str">
        <x:v>Parque Eólico Singular de Porto do Son</x:v>
      </x:c>
      <x:c r="E2004" s="4" t="n">
        <x:v>0.752</x:v>
      </x:c>
      <x:c r="F2004" s="4" t="n">
        <x:f>J2004*0.98</x:f>
        <x:v>0.7261799999999999</x:v>
      </x:c>
      <x:c r="G2004" s="4" t="n">
        <x:v>3</x:v>
      </x:c>
      <x:c r="H2004" s="4" t="n">
        <x:v>63.45</x:v>
      </x:c>
      <x:c r="I2004" s="5" t="n">
        <x:f t="shared" si="31">F2004*1000*H2004</x:f>
        <x:v>46076.121</x:v>
      </x:c>
      <x:c r="J2004" t="n">
        <x:v>0.741</x:v>
      </x:c>
    </x:row>
    <x:row r="2005">
      <x:c r="A2005" s="3" t="n">
        <x:v>2023</x:v>
      </x:c>
      <x:c r="B2005" s="2" t="str">
        <x:v>Diciembre</x:v>
      </x:c>
      <x:c r="C2005" s="2" t="str">
        <x:v>RE-110868-1</x:v>
      </x:c>
      <x:c r="D2005" s="2" t="str">
        <x:v>Parque Eólico Singular de Porto do Son</x:v>
      </x:c>
      <x:c r="E2005" s="4" t="n">
        <x:v>0.874</x:v>
      </x:c>
      <x:c r="F2005" s="4" t="n">
        <x:f>J2005*0.94</x:f>
        <x:v>0.79994</x:v>
      </x:c>
      <x:c r="G2005" s="4" t="n">
        <x:v>3</x:v>
      </x:c>
      <x:c r="H2005" s="4" t="n">
        <x:v>72.17</x:v>
      </x:c>
      <x:c r="I2005" s="5" t="n">
        <x:f t="shared" si="31">F2005*1000*H2005</x:f>
        <x:v>57731.669799999996</x:v>
      </x:c>
      <x:c r="J2005" t="n">
        <x:v>0.851</x:v>
      </x:c>
    </x:row>
    <x:row r="2006">
      <x:c r="A2006" s="3" t="n">
        <x:v>2023</x:v>
      </x:c>
      <x:c r="B2006" s="2" t="str">
        <x:v>Enero</x:v>
      </x:c>
      <x:c r="C2006" s="2" t="str">
        <x:v>RE-111268-1</x:v>
      </x:c>
      <x:c r="D2006" s="2" t="str">
        <x:v>Parque Eólico Singular de Cerceda</x:v>
      </x:c>
      <x:c r="E2006" s="4" t="n">
        <x:v>0.78</x:v>
      </x:c>
      <x:c r="F2006" s="4" t="n">
        <x:f>J2006*1.01</x:f>
        <x:v>0.77063</x:v>
      </x:c>
      <x:c r="G2006" s="4" t="n">
        <x:v>2.55</x:v>
      </x:c>
      <x:c r="H2006" s="4" t="n">
        <x:v>69.55</x:v>
      </x:c>
      <x:c r="I2006" s="5" t="n">
        <x:f t="shared" si="31">F2006*1000*H2006</x:f>
        <x:v>53597.3165</x:v>
      </x:c>
      <x:c r="J2006" t="n">
        <x:v>0.763</x:v>
      </x:c>
    </x:row>
    <x:row r="2007">
      <x:c r="A2007" s="3" t="n">
        <x:v>2023</x:v>
      </x:c>
      <x:c r="B2007" s="2" t="str">
        <x:v>Febrero</x:v>
      </x:c>
      <x:c r="C2007" s="2" t="str">
        <x:v>RE-111268-1</x:v>
      </x:c>
      <x:c r="D2007" s="2" t="str">
        <x:v>Parque Eólico Singular de Cerceda</x:v>
      </x:c>
      <x:c r="E2007" s="4" t="n">
        <x:v>0.621</x:v>
      </x:c>
      <x:c r="F2007" s="4" t="n">
        <x:f>J2007*0.97</x:f>
        <x:v>0.58782</x:v>
      </x:c>
      <x:c r="G2007" s="4" t="n">
        <x:v>2.55</x:v>
      </x:c>
      <x:c r="H2007" s="4" t="n">
        <x:v>133.47</x:v>
      </x:c>
      <x:c r="I2007" s="5" t="n">
        <x:f t="shared" si="31">F2007*1000*H2007</x:f>
        <x:v>78456.33540000001</x:v>
      </x:c>
      <x:c r="J2007" t="n">
        <x:v>0.606</x:v>
      </x:c>
    </x:row>
    <x:row r="2008">
      <x:c r="A2008" s="3" t="n">
        <x:v>2023</x:v>
      </x:c>
      <x:c r="B2008" s="2" t="str">
        <x:v>Marzo</x:v>
      </x:c>
      <x:c r="C2008" s="2" t="str">
        <x:v>RE-111268-1</x:v>
      </x:c>
      <x:c r="D2008" s="2" t="str">
        <x:v>Parque Eólico Singular de Cerceda</x:v>
      </x:c>
      <x:c r="E2008" s="4" t="n">
        <x:v>0.648</x:v>
      </x:c>
      <x:c r="F2008" s="4" t="n">
        <x:f>J2008*1.04</x:f>
        <x:v>0.6604</x:v>
      </x:c>
      <x:c r="G2008" s="4" t="n">
        <x:v>2.55</x:v>
      </x:c>
      <x:c r="H2008" s="4" t="n">
        <x:v>89.61</x:v>
      </x:c>
      <x:c r="I2008" s="5" t="n">
        <x:f t="shared" si="31">F2008*1000*H2008</x:f>
        <x:v>59178.443999999996</x:v>
      </x:c>
      <x:c r="J2008" t="n">
        <x:v>0.635</x:v>
      </x:c>
    </x:row>
    <x:row r="2009">
      <x:c r="A2009" s="3" t="n">
        <x:v>2023</x:v>
      </x:c>
      <x:c r="B2009" s="2" t="str">
        <x:v>Abril</x:v>
      </x:c>
      <x:c r="C2009" s="2" t="str">
        <x:v>RE-111268-1</x:v>
      </x:c>
      <x:c r="D2009" s="2" t="str">
        <x:v>Parque Eólico Singular de Cerceda</x:v>
      </x:c>
      <x:c r="E2009" s="4" t="n">
        <x:v>0.544</x:v>
      </x:c>
      <x:c r="F2009" s="4" t="n">
        <x:f>J2009*1</x:f>
        <x:v>0.532</x:v>
      </x:c>
      <x:c r="G2009" s="4" t="n">
        <x:v>2.55</x:v>
      </x:c>
      <x:c r="H2009" s="4" t="n">
        <x:v>73.73</x:v>
      </x:c>
      <x:c r="I2009" s="5" t="n">
        <x:f t="shared" si="31">F2009*1000*H2009</x:f>
        <x:v>39224.36</x:v>
      </x:c>
      <x:c r="J2009" t="n">
        <x:v>0.532</x:v>
      </x:c>
    </x:row>
    <x:row r="2010">
      <x:c r="A2010" s="3" t="n">
        <x:v>2023</x:v>
      </x:c>
      <x:c r="B2010" s="2" t="str">
        <x:v>Mayo</x:v>
      </x:c>
      <x:c r="C2010" s="2" t="str">
        <x:v>RE-111268-1</x:v>
      </x:c>
      <x:c r="D2010" s="2" t="str">
        <x:v>Parque Eólico Singular de Cerceda</x:v>
      </x:c>
      <x:c r="E2010" s="4" t="n">
        <x:v>0.48</x:v>
      </x:c>
      <x:c r="F2010" s="4" t="n">
        <x:f>J2010*0.96</x:f>
        <x:v>0.4464</x:v>
      </x:c>
      <x:c r="G2010" s="4" t="n">
        <x:v>2.55</x:v>
      </x:c>
      <x:c r="H2010" s="4" t="n">
        <x:v>74.21</x:v>
      </x:c>
      <x:c r="I2010" s="5" t="n">
        <x:f t="shared" si="31">F2010*1000*H2010</x:f>
        <x:v>33127.344</x:v>
      </x:c>
      <x:c r="J2010" t="n">
        <x:v>0.465</x:v>
      </x:c>
    </x:row>
    <x:row r="2011">
      <x:c r="A2011" s="3" t="n">
        <x:v>2023</x:v>
      </x:c>
      <x:c r="B2011" s="2" t="str">
        <x:v>Junio</x:v>
      </x:c>
      <x:c r="C2011" s="2" t="str">
        <x:v>RE-111268-1</x:v>
      </x:c>
      <x:c r="D2011" s="2" t="str">
        <x:v>Parque Eólico Singular de Cerceda</x:v>
      </x:c>
      <x:c r="E2011" s="4" t="n">
        <x:v>0.363</x:v>
      </x:c>
      <x:c r="F2011" s="4" t="n">
        <x:f>J2011*1.03</x:f>
        <x:v>0.36874</x:v>
      </x:c>
      <x:c r="G2011" s="4" t="n">
        <x:v>2.55</x:v>
      </x:c>
      <x:c r="H2011" s="4" t="n">
        <x:v>93.02</x:v>
      </x:c>
      <x:c r="I2011" s="5" t="n">
        <x:f t="shared" si="31">F2011*1000*H2011</x:f>
        <x:v>34300.1948</x:v>
      </x:c>
      <x:c r="J2011" t="n">
        <x:v>0.358</x:v>
      </x:c>
    </x:row>
    <x:row r="2012">
      <x:c r="A2012" s="3" t="n">
        <x:v>2023</x:v>
      </x:c>
      <x:c r="B2012" s="2" t="str">
        <x:v>Julio</x:v>
      </x:c>
      <x:c r="C2012" s="2" t="str">
        <x:v>RE-111268-1</x:v>
      </x:c>
      <x:c r="D2012" s="2" t="str">
        <x:v>Parque Eólico Singular de Cerceda</x:v>
      </x:c>
      <x:c r="E2012" s="4" t="n">
        <x:v>0.35</x:v>
      </x:c>
      <x:c r="F2012" s="4" t="n">
        <x:f>J2012*0.99</x:f>
        <x:v>0.33561</x:v>
      </x:c>
      <x:c r="G2012" s="4" t="n">
        <x:v>2.55</x:v>
      </x:c>
      <x:c r="H2012" s="4" t="n">
        <x:v>90.47</x:v>
      </x:c>
      <x:c r="I2012" s="5" t="n">
        <x:f t="shared" si="31">F2012*1000*H2012</x:f>
        <x:v>30362.6367</x:v>
      </x:c>
      <x:c r="J2012" t="n">
        <x:v>0.339</x:v>
      </x:c>
    </x:row>
    <x:row r="2013">
      <x:c r="A2013" s="3" t="n">
        <x:v>2023</x:v>
      </x:c>
      <x:c r="B2013" s="2" t="str">
        <x:v>Agosto</x:v>
      </x:c>
      <x:c r="C2013" s="2" t="str">
        <x:v>RE-111268-1</x:v>
      </x:c>
      <x:c r="D2013" s="2" t="str">
        <x:v>Parque Eólico Singular de Cerceda</x:v>
      </x:c>
      <x:c r="E2013" s="4" t="n">
        <x:v>0.356</x:v>
      </x:c>
      <x:c r="F2013" s="4" t="n">
        <x:f>J2013*0.95</x:f>
        <x:v>0.32775</x:v>
      </x:c>
      <x:c r="G2013" s="4" t="n">
        <x:v>2.55</x:v>
      </x:c>
      <x:c r="H2013" s="4" t="n">
        <x:v>96.05</x:v>
      </x:c>
      <x:c r="I2013" s="5" t="n">
        <x:f t="shared" si="31">F2013*1000*H2013</x:f>
        <x:v>31480.3875</x:v>
      </x:c>
      <x:c r="J2013" t="n">
        <x:v>0.345</x:v>
      </x:c>
    </x:row>
    <x:row r="2014">
      <x:c r="A2014" s="3" t="n">
        <x:v>2023</x:v>
      </x:c>
      <x:c r="B2014" s="2" t="str">
        <x:v>Septiembre</x:v>
      </x:c>
      <x:c r="C2014" s="2" t="str">
        <x:v>RE-111268-1</x:v>
      </x:c>
      <x:c r="D2014" s="2" t="str">
        <x:v>Parque Eólico Singular de Cerceda</x:v>
      </x:c>
      <x:c r="E2014" s="4" t="n">
        <x:v>0.51</x:v>
      </x:c>
      <x:c r="F2014" s="4" t="n">
        <x:f>J2014*1.02</x:f>
        <x:v>0.51</x:v>
      </x:c>
      <x:c r="G2014" s="4" t="n">
        <x:v>2.55</x:v>
      </x:c>
      <x:c r="H2014" s="4" t="n">
        <x:v>103.34</x:v>
      </x:c>
      <x:c r="I2014" s="5" t="n">
        <x:f t="shared" si="31">F2014*1000*H2014</x:f>
        <x:v>52703.4</x:v>
      </x:c>
      <x:c r="J2014" t="n">
        <x:v>0.5</x:v>
      </x:c>
    </x:row>
    <x:row r="2015">
      <x:c r="A2015" s="3" t="n">
        <x:v>2023</x:v>
      </x:c>
      <x:c r="B2015" s="2" t="str">
        <x:v>Octubre</x:v>
      </x:c>
      <x:c r="C2015" s="2" t="str">
        <x:v>RE-111268-1</x:v>
      </x:c>
      <x:c r="D2015" s="2" t="str">
        <x:v>Parque Eólico Singular de Cerceda</x:v>
      </x:c>
      <x:c r="E2015" s="4" t="n">
        <x:v>0.581</x:v>
      </x:c>
      <x:c r="F2015" s="4" t="n">
        <x:f>J2015*0.98</x:f>
        <x:v>0.5556599999999999</x:v>
      </x:c>
      <x:c r="G2015" s="4" t="n">
        <x:v>2.55</x:v>
      </x:c>
      <x:c r="H2015" s="4" t="n">
        <x:v>90.14</x:v>
      </x:c>
      <x:c r="I2015" s="5" t="n">
        <x:f t="shared" si="31">F2015*1000*H2015</x:f>
        <x:v>50087.1924</x:v>
      </x:c>
      <x:c r="J2015" t="n">
        <x:v>0.567</x:v>
      </x:c>
    </x:row>
    <x:row r="2016">
      <x:c r="A2016" s="3" t="n">
        <x:v>2023</x:v>
      </x:c>
      <x:c r="B2016" s="2" t="str">
        <x:v>Noviembre</x:v>
      </x:c>
      <x:c r="C2016" s="2" t="str">
        <x:v>RE-111268-1</x:v>
      </x:c>
      <x:c r="D2016" s="2" t="str">
        <x:v>Parque Eólico Singular de Cerceda</x:v>
      </x:c>
      <x:c r="E2016" s="4" t="n">
        <x:v>0.596</x:v>
      </x:c>
      <x:c r="F2016" s="4" t="n">
        <x:f>J2016*0.94</x:f>
        <x:v>0.5433199999999999</x:v>
      </x:c>
      <x:c r="G2016" s="4" t="n">
        <x:v>2.55</x:v>
      </x:c>
      <x:c r="H2016" s="4" t="n">
        <x:v>63.45</x:v>
      </x:c>
      <x:c r="I2016" s="5" t="n">
        <x:f t="shared" si="31">F2016*1000*H2016</x:f>
        <x:v>34473.653999999995</x:v>
      </x:c>
      <x:c r="J2016" t="n">
        <x:v>0.578</x:v>
      </x:c>
    </x:row>
    <x:row r="2017">
      <x:c r="A2017" s="3" t="n">
        <x:v>2023</x:v>
      </x:c>
      <x:c r="B2017" s="2" t="str">
        <x:v>Diciembre</x:v>
      </x:c>
      <x:c r="C2017" s="2" t="str">
        <x:v>RE-111268-1</x:v>
      </x:c>
      <x:c r="D2017" s="2" t="str">
        <x:v>Parque Eólico Singular de Cerceda</x:v>
      </x:c>
      <x:c r="E2017" s="4" t="n">
        <x:v>0.759</x:v>
      </x:c>
      <x:c r="F2017" s="4" t="n">
        <x:f>J2017*1.01</x:f>
        <x:v>0.75043</x:v>
      </x:c>
      <x:c r="G2017" s="4" t="n">
        <x:v>2.55</x:v>
      </x:c>
      <x:c r="H2017" s="4" t="n">
        <x:v>72.17</x:v>
      </x:c>
      <x:c r="I2017" s="5" t="n">
        <x:f t="shared" si="31">F2017*1000*H2017</x:f>
        <x:v>54158.53310000001</x:v>
      </x:c>
      <x:c r="J2017" t="n">
        <x:v>0.743</x:v>
      </x:c>
    </x:row>
    <x:row r="2018">
      <x:c r="A2018" s="3" t="n">
        <x:v>2023</x:v>
      </x:c>
      <x:c r="B2018" s="2" t="str">
        <x:v>Enero</x:v>
      </x:c>
      <x:c r="C2018" s="2" t="str">
        <x:v>RE-111508-1</x:v>
      </x:c>
      <x:c r="D2018" s="2" t="str">
        <x:v>PROTOTIPO EXPERIMENTAL NED 100 GENERADOR DISEÑO PROPIO</x:v>
      </x:c>
      <x:c r="E2018" s="4" t="n">
        <x:v>0.029</x:v>
      </x:c>
      <x:c r="F2018" s="4" t="n">
        <x:f>J2018*0.97</x:f>
        <x:v>0.02716</x:v>
      </x:c>
      <x:c r="G2018" s="4" t="n">
        <x:v>0.1</x:v>
      </x:c>
      <x:c r="H2018" s="4" t="n">
        <x:v>69.55</x:v>
      </x:c>
      <x:c r="I2018" s="5" t="n">
        <x:f t="shared" si="31">F2018*1000*H2018</x:f>
        <x:v>1888.9779999999998</x:v>
      </x:c>
      <x:c r="J2018" t="n">
        <x:v>0.028</x:v>
      </x:c>
    </x:row>
    <x:row r="2019">
      <x:c r="A2019" s="3" t="n">
        <x:v>2023</x:v>
      </x:c>
      <x:c r="B2019" s="2" t="str">
        <x:v>Febrero</x:v>
      </x:c>
      <x:c r="C2019" s="2" t="str">
        <x:v>RE-111508-1</x:v>
      </x:c>
      <x:c r="D2019" s="2" t="str">
        <x:v>PROTOTIPO EXPERIMENTAL NED 100 GENERADOR DISEÑO PROPIO</x:v>
      </x:c>
      <x:c r="E2019" s="4" t="n">
        <x:v>0.023</x:v>
      </x:c>
      <x:c r="F2019" s="4" t="n">
        <x:f>J2019*1.04</x:f>
        <x:v>0.02288</x:v>
      </x:c>
      <x:c r="G2019" s="4" t="n">
        <x:v>0.1</x:v>
      </x:c>
      <x:c r="H2019" s="4" t="n">
        <x:v>133.47</x:v>
      </x:c>
      <x:c r="I2019" s="5" t="n">
        <x:f t="shared" si="31">F2019*1000*H2019</x:f>
        <x:v>3053.7936000000004</x:v>
      </x:c>
      <x:c r="J2019" t="n">
        <x:v>0.022</x:v>
      </x:c>
    </x:row>
    <x:row r="2020">
      <x:c r="A2020" s="3" t="n">
        <x:v>2023</x:v>
      </x:c>
      <x:c r="B2020" s="2" t="str">
        <x:v>Marzo</x:v>
      </x:c>
      <x:c r="C2020" s="2" t="str">
        <x:v>RE-111508-1</x:v>
      </x:c>
      <x:c r="D2020" s="2" t="str">
        <x:v>PROTOTIPO EXPERIMENTAL NED 100 GENERADOR DISEÑO PROPIO</x:v>
      </x:c>
      <x:c r="E2020" s="4" t="n">
        <x:v>0.022</x:v>
      </x:c>
      <x:c r="F2020" s="4" t="n">
        <x:f>J2020*1</x:f>
        <x:v>0.022</x:v>
      </x:c>
      <x:c r="G2020" s="4" t="n">
        <x:v>0.1</x:v>
      </x:c>
      <x:c r="H2020" s="4" t="n">
        <x:v>89.61</x:v>
      </x:c>
      <x:c r="I2020" s="5" t="n">
        <x:f t="shared" si="31">F2020*1000*H2020</x:f>
        <x:v>1971.42</x:v>
      </x:c>
      <x:c r="J2020" t="n">
        <x:v>0.022</x:v>
      </x:c>
    </x:row>
    <x:row r="2021">
      <x:c r="A2021" s="3" t="n">
        <x:v>2023</x:v>
      </x:c>
      <x:c r="B2021" s="2" t="str">
        <x:v>Abril</x:v>
      </x:c>
      <x:c r="C2021" s="2" t="str">
        <x:v>RE-111508-1</x:v>
      </x:c>
      <x:c r="D2021" s="2" t="str">
        <x:v>PROTOTIPO EXPERIMENTAL NED 100 GENERADOR DISEÑO PROPIO</x:v>
      </x:c>
      <x:c r="E2021" s="4" t="n">
        <x:v>0.022</x:v>
      </x:c>
      <x:c r="F2021" s="4" t="n">
        <x:f>J2021*0.96</x:f>
        <x:v>0.021119999999999996</x:v>
      </x:c>
      <x:c r="G2021" s="4" t="n">
        <x:v>0.1</x:v>
      </x:c>
      <x:c r="H2021" s="4" t="n">
        <x:v>73.73</x:v>
      </x:c>
      <x:c r="I2021" s="5" t="n">
        <x:f t="shared" si="31">F2021*1000*H2021</x:f>
        <x:v>1557.1776</x:v>
      </x:c>
      <x:c r="J2021" t="n">
        <x:v>0.022</x:v>
      </x:c>
    </x:row>
    <x:row r="2022">
      <x:c r="A2022" s="3" t="n">
        <x:v>2023</x:v>
      </x:c>
      <x:c r="B2022" s="2" t="str">
        <x:v>Mayo</x:v>
      </x:c>
      <x:c r="C2022" s="2" t="str">
        <x:v>RE-111508-1</x:v>
      </x:c>
      <x:c r="D2022" s="2" t="str">
        <x:v>PROTOTIPO EXPERIMENTAL NED 100 GENERADOR DISEÑO PROPIO</x:v>
      </x:c>
      <x:c r="E2022" s="4" t="n">
        <x:v>0.018</x:v>
      </x:c>
      <x:c r="F2022" s="4" t="n">
        <x:f>J2022*1.03</x:f>
        <x:v>0.018539999999999997</x:v>
      </x:c>
      <x:c r="G2022" s="4" t="n">
        <x:v>0.1</x:v>
      </x:c>
      <x:c r="H2022" s="4" t="n">
        <x:v>74.21</x:v>
      </x:c>
      <x:c r="I2022" s="5" t="n">
        <x:f t="shared" si="31">F2022*1000*H2022</x:f>
        <x:v>1375.8533999999997</x:v>
      </x:c>
      <x:c r="J2022" t="n">
        <x:v>0.018</x:v>
      </x:c>
    </x:row>
    <x:row r="2023">
      <x:c r="A2023" s="3" t="n">
        <x:v>2023</x:v>
      </x:c>
      <x:c r="B2023" s="2" t="str">
        <x:v>Junio</x:v>
      </x:c>
      <x:c r="C2023" s="2" t="str">
        <x:v>RE-111508-1</x:v>
      </x:c>
      <x:c r="D2023" s="2" t="str">
        <x:v>PROTOTIPO EXPERIMENTAL NED 100 GENERADOR DISEÑO PROPIO</x:v>
      </x:c>
      <x:c r="E2023" s="4" t="n">
        <x:v>0.017</x:v>
      </x:c>
      <x:c r="F2023" s="4" t="n">
        <x:f>J2023*0.99</x:f>
        <x:v>0.01683</x:v>
      </x:c>
      <x:c r="G2023" s="4" t="n">
        <x:v>0.1</x:v>
      </x:c>
      <x:c r="H2023" s="4" t="n">
        <x:v>93.02</x:v>
      </x:c>
      <x:c r="I2023" s="5" t="n">
        <x:f t="shared" si="31">F2023*1000*H2023</x:f>
        <x:v>1565.5266000000001</x:v>
      </x:c>
      <x:c r="J2023" t="n">
        <x:v>0.017</x:v>
      </x:c>
    </x:row>
    <x:row r="2024">
      <x:c r="A2024" s="3" t="n">
        <x:v>2023</x:v>
      </x:c>
      <x:c r="B2024" s="2" t="str">
        <x:v>Julio</x:v>
      </x:c>
      <x:c r="C2024" s="2" t="str">
        <x:v>RE-111508-1</x:v>
      </x:c>
      <x:c r="D2024" s="2" t="str">
        <x:v>PROTOTIPO EXPERIMENTAL NED 100 GENERADOR DISEÑO PROPIO</x:v>
      </x:c>
      <x:c r="E2024" s="4" t="n">
        <x:v>0.014</x:v>
      </x:c>
      <x:c r="F2024" s="4" t="n">
        <x:f>J2024*0.95</x:f>
        <x:v>0.0133</x:v>
      </x:c>
      <x:c r="G2024" s="4" t="n">
        <x:v>0.1</x:v>
      </x:c>
      <x:c r="H2024" s="4" t="n">
        <x:v>90.47</x:v>
      </x:c>
      <x:c r="I2024" s="5" t="n">
        <x:f t="shared" si="31">F2024*1000*H2024</x:f>
        <x:v>1203.251</x:v>
      </x:c>
      <x:c r="J2024" t="n">
        <x:v>0.014</x:v>
      </x:c>
    </x:row>
    <x:row r="2025">
      <x:c r="A2025" s="3" t="n">
        <x:v>2023</x:v>
      </x:c>
      <x:c r="B2025" s="2" t="str">
        <x:v>Agosto</x:v>
      </x:c>
      <x:c r="C2025" s="2" t="str">
        <x:v>RE-111508-1</x:v>
      </x:c>
      <x:c r="D2025" s="2" t="str">
        <x:v>PROTOTIPO EXPERIMENTAL NED 100 GENERADOR DISEÑO PROPIO</x:v>
      </x:c>
      <x:c r="E2025" s="4" t="n">
        <x:v>0.014</x:v>
      </x:c>
      <x:c r="F2025" s="4" t="n">
        <x:f>J2025*1.02</x:f>
        <x:v>0.014280000000000001</x:v>
      </x:c>
      <x:c r="G2025" s="4" t="n">
        <x:v>0.1</x:v>
      </x:c>
      <x:c r="H2025" s="4" t="n">
        <x:v>96.05</x:v>
      </x:c>
      <x:c r="I2025" s="5" t="n">
        <x:f t="shared" si="31">F2025*1000*H2025</x:f>
        <x:v>1371.594</x:v>
      </x:c>
      <x:c r="J2025" t="n">
        <x:v>0.014</x:v>
      </x:c>
    </x:row>
    <x:row r="2026">
      <x:c r="A2026" s="3" t="n">
        <x:v>2023</x:v>
      </x:c>
      <x:c r="B2026" s="2" t="str">
        <x:v>Septiembre</x:v>
      </x:c>
      <x:c r="C2026" s="2" t="str">
        <x:v>RE-111508-1</x:v>
      </x:c>
      <x:c r="D2026" s="2" t="str">
        <x:v>PROTOTIPO EXPERIMENTAL NED 100 GENERADOR DISEÑO PROPIO</x:v>
      </x:c>
      <x:c r="E2026" s="4" t="n">
        <x:v>0.018</x:v>
      </x:c>
      <x:c r="F2026" s="4" t="n">
        <x:f>J2026*0.98</x:f>
        <x:v>0.01764</x:v>
      </x:c>
      <x:c r="G2026" s="4" t="n">
        <x:v>0.1</x:v>
      </x:c>
      <x:c r="H2026" s="4" t="n">
        <x:v>103.34</x:v>
      </x:c>
      <x:c r="I2026" s="5" t="n">
        <x:f t="shared" si="31">F2026*1000*H2026</x:f>
        <x:v>1822.9176000000002</x:v>
      </x:c>
      <x:c r="J2026" t="n">
        <x:v>0.018</x:v>
      </x:c>
    </x:row>
    <x:row r="2027">
      <x:c r="A2027" s="3" t="n">
        <x:v>2023</x:v>
      </x:c>
      <x:c r="B2027" s="2" t="str">
        <x:v>Octubre</x:v>
      </x:c>
      <x:c r="C2027" s="2" t="str">
        <x:v>RE-111508-1</x:v>
      </x:c>
      <x:c r="D2027" s="2" t="str">
        <x:v>PROTOTIPO EXPERIMENTAL NED 100 GENERADOR DISEÑO PROPIO</x:v>
      </x:c>
      <x:c r="E2027" s="4" t="n">
        <x:v>0.019</x:v>
      </x:c>
      <x:c r="F2027" s="4" t="n">
        <x:f>J2027*0.94</x:f>
        <x:v>0.016919999999999998</x:v>
      </x:c>
      <x:c r="G2027" s="4" t="n">
        <x:v>0.1</x:v>
      </x:c>
      <x:c r="H2027" s="4" t="n">
        <x:v>90.14</x:v>
      </x:c>
      <x:c r="I2027" s="5" t="n">
        <x:f t="shared" si="31">F2027*1000*H2027</x:f>
        <x:v>1525.1688</x:v>
      </x:c>
      <x:c r="J2027" t="n">
        <x:v>0.018</x:v>
      </x:c>
    </x:row>
    <x:row r="2028">
      <x:c r="A2028" s="3" t="n">
        <x:v>2023</x:v>
      </x:c>
      <x:c r="B2028" s="2" t="str">
        <x:v>Noviembre</x:v>
      </x:c>
      <x:c r="C2028" s="2" t="str">
        <x:v>RE-111508-1</x:v>
      </x:c>
      <x:c r="D2028" s="2" t="str">
        <x:v>PROTOTIPO EXPERIMENTAL NED 100 GENERADOR DISEÑO PROPIO</x:v>
      </x:c>
      <x:c r="E2028" s="4" t="n">
        <x:v>0.025</x:v>
      </x:c>
      <x:c r="F2028" s="4" t="n">
        <x:f>J2028*1.01</x:f>
        <x:v>0.02424</x:v>
      </x:c>
      <x:c r="G2028" s="4" t="n">
        <x:v>0.1</x:v>
      </x:c>
      <x:c r="H2028" s="4" t="n">
        <x:v>63.45</x:v>
      </x:c>
      <x:c r="I2028" s="5" t="n">
        <x:f t="shared" si="31">F2028*1000*H2028</x:f>
        <x:v>1538.0280000000002</x:v>
      </x:c>
      <x:c r="J2028" t="n">
        <x:v>0.024</x:v>
      </x:c>
    </x:row>
    <x:row r="2029">
      <x:c r="A2029" s="3" t="n">
        <x:v>2023</x:v>
      </x:c>
      <x:c r="B2029" s="2" t="str">
        <x:v>Diciembre</x:v>
      </x:c>
      <x:c r="C2029" s="2" t="str">
        <x:v>RE-111508-1</x:v>
      </x:c>
      <x:c r="D2029" s="2" t="str">
        <x:v>PROTOTIPO EXPERIMENTAL NED 100 GENERADOR DISEÑO PROPIO</x:v>
      </x:c>
      <x:c r="E2029" s="4" t="n">
        <x:v>0.027</x:v>
      </x:c>
      <x:c r="F2029" s="4" t="n">
        <x:f>J2029*0.97</x:f>
        <x:v>0.02522</x:v>
      </x:c>
      <x:c r="G2029" s="4" t="n">
        <x:v>0.1</x:v>
      </x:c>
      <x:c r="H2029" s="4" t="n">
        <x:v>72.17</x:v>
      </x:c>
      <x:c r="I2029" s="5" t="n">
        <x:f t="shared" si="31">F2029*1000*H2029</x:f>
        <x:v>1820.1273999999999</x:v>
      </x:c>
      <x:c r="J2029" t="n">
        <x:v>0.026</x:v>
      </x:c>
    </x:row>
    <x:row r="2030">
      <x:c r="A2030" s="3" t="n">
        <x:v>2023</x:v>
      </x:c>
      <x:c r="B2030" s="2" t="str">
        <x:v>Enero</x:v>
      </x:c>
      <x:c r="C2030" s="2" t="str">
        <x:v>RE-112094-1</x:v>
      </x:c>
      <x:c r="D2030" s="2" t="str">
        <x:v>Parque eólico Cordal de Montouto</x:v>
      </x:c>
      <x:c r="E2030" s="4" t="n">
        <x:v>3.538</x:v>
      </x:c>
      <x:c r="F2030" s="4" t="n">
        <x:f>J2030*1.04</x:f>
        <x:v>3.5921600000000002</x:v>
      </x:c>
      <x:c r="G2030" s="4" t="n">
        <x:v>14</x:v>
      </x:c>
      <x:c r="H2030" s="4" t="n">
        <x:v>69.55</x:v>
      </x:c>
      <x:c r="I2030" s="5" t="n">
        <x:f t="shared" si="31">F2030*1000*H2030</x:f>
        <x:v>249834.728</x:v>
      </x:c>
      <x:c r="J2030" t="n">
        <x:v>3.454</x:v>
      </x:c>
    </x:row>
    <x:row r="2031">
      <x:c r="A2031" s="3" t="n">
        <x:v>2023</x:v>
      </x:c>
      <x:c r="B2031" s="2" t="str">
        <x:v>Febrero</x:v>
      </x:c>
      <x:c r="C2031" s="2" t="str">
        <x:v>RE-112094-1</x:v>
      </x:c>
      <x:c r="D2031" s="2" t="str">
        <x:v>Parque eólico Cordal de Montouto</x:v>
      </x:c>
      <x:c r="E2031" s="4" t="n">
        <x:v>3.28</x:v>
      </x:c>
      <x:c r="F2031" s="4" t="n">
        <x:f>J2031*1</x:f>
        <x:v>3.179</x:v>
      </x:c>
      <x:c r="G2031" s="4" t="n">
        <x:v>14</x:v>
      </x:c>
      <x:c r="H2031" s="4" t="n">
        <x:v>133.47</x:v>
      </x:c>
      <x:c r="I2031" s="5" t="n">
        <x:f t="shared" si="31">F2031*1000*H2031</x:f>
        <x:v>424301.13</x:v>
      </x:c>
      <x:c r="J2031" t="n">
        <x:v>3.179</x:v>
      </x:c>
    </x:row>
    <x:row r="2032">
      <x:c r="A2032" s="3" t="n">
        <x:v>2023</x:v>
      </x:c>
      <x:c r="B2032" s="2" t="str">
        <x:v>Marzo</x:v>
      </x:c>
      <x:c r="C2032" s="2" t="str">
        <x:v>RE-112094-1</x:v>
      </x:c>
      <x:c r="D2032" s="2" t="str">
        <x:v>Parque eólico Cordal de Montouto</x:v>
      </x:c>
      <x:c r="E2032" s="4" t="n">
        <x:v>3.439</x:v>
      </x:c>
      <x:c r="F2032" s="4" t="n">
        <x:f>J2032*0.96</x:f>
        <x:v>3.1968</x:v>
      </x:c>
      <x:c r="G2032" s="4" t="n">
        <x:v>14</x:v>
      </x:c>
      <x:c r="H2032" s="4" t="n">
        <x:v>89.61</x:v>
      </x:c>
      <x:c r="I2032" s="5" t="n">
        <x:f t="shared" si="31">F2032*1000*H2032</x:f>
        <x:v>286465.248</x:v>
      </x:c>
      <x:c r="J2032" t="n">
        <x:v>3.33</x:v>
      </x:c>
    </x:row>
    <x:row r="2033">
      <x:c r="A2033" s="3" t="n">
        <x:v>2023</x:v>
      </x:c>
      <x:c r="B2033" s="2" t="str">
        <x:v>Abril</x:v>
      </x:c>
      <x:c r="C2033" s="2" t="str">
        <x:v>RE-112094-1</x:v>
      </x:c>
      <x:c r="D2033" s="2" t="str">
        <x:v>Parque eólico Cordal de Montouto</x:v>
      </x:c>
      <x:c r="E2033" s="4" t="n">
        <x:v>2.617</x:v>
      </x:c>
      <x:c r="F2033" s="4" t="n">
        <x:f>J2033*1.03</x:f>
        <x:v>2.6471</x:v>
      </x:c>
      <x:c r="G2033" s="4" t="n">
        <x:v>14</x:v>
      </x:c>
      <x:c r="H2033" s="4" t="n">
        <x:v>73.73</x:v>
      </x:c>
      <x:c r="I2033" s="5" t="n">
        <x:f t="shared" si="31">F2033*1000*H2033</x:f>
        <x:v>195170.683</x:v>
      </x:c>
      <x:c r="J2033" t="n">
        <x:v>2.57</x:v>
      </x:c>
    </x:row>
    <x:row r="2034">
      <x:c r="A2034" s="3" t="n">
        <x:v>2023</x:v>
      </x:c>
      <x:c r="B2034" s="2" t="str">
        <x:v>Mayo</x:v>
      </x:c>
      <x:c r="C2034" s="2" t="str">
        <x:v>RE-112094-1</x:v>
      </x:c>
      <x:c r="D2034" s="2" t="str">
        <x:v>Parque eólico Cordal de Montouto</x:v>
      </x:c>
      <x:c r="E2034" s="4" t="n">
        <x:v>2.657</x:v>
      </x:c>
      <x:c r="F2034" s="4" t="n">
        <x:f>J2034*0.99</x:f>
        <x:v>2.54628</x:v>
      </x:c>
      <x:c r="G2034" s="4" t="n">
        <x:v>14</x:v>
      </x:c>
      <x:c r="H2034" s="4" t="n">
        <x:v>74.21</x:v>
      </x:c>
      <x:c r="I2034" s="5" t="n">
        <x:f t="shared" si="31">F2034*1000*H2034</x:f>
        <x:v>188959.43879999997</x:v>
      </x:c>
      <x:c r="J2034" t="n">
        <x:v>2.572</x:v>
      </x:c>
    </x:row>
    <x:row r="2035">
      <x:c r="A2035" s="3" t="n">
        <x:v>2023</x:v>
      </x:c>
      <x:c r="B2035" s="2" t="str">
        <x:v>Junio</x:v>
      </x:c>
      <x:c r="C2035" s="2" t="str">
        <x:v>RE-112094-1</x:v>
      </x:c>
      <x:c r="D2035" s="2" t="str">
        <x:v>Parque eólico Cordal de Montouto</x:v>
      </x:c>
      <x:c r="E2035" s="4" t="n">
        <x:v>2.209</x:v>
      </x:c>
      <x:c r="F2035" s="4" t="n">
        <x:f>J2035*0.95</x:f>
        <x:v>2.03395</x:v>
      </x:c>
      <x:c r="G2035" s="4" t="n">
        <x:v>14</x:v>
      </x:c>
      <x:c r="H2035" s="4" t="n">
        <x:v>93.02</x:v>
      </x:c>
      <x:c r="I2035" s="5" t="n">
        <x:f t="shared" si="31">F2035*1000*H2035</x:f>
        <x:v>189198.02899999998</x:v>
      </x:c>
      <x:c r="J2035" t="n">
        <x:v>2.141</x:v>
      </x:c>
    </x:row>
    <x:row r="2036">
      <x:c r="A2036" s="3" t="n">
        <x:v>2023</x:v>
      </x:c>
      <x:c r="B2036" s="2" t="str">
        <x:v>Julio</x:v>
      </x:c>
      <x:c r="C2036" s="2" t="str">
        <x:v>RE-112094-1</x:v>
      </x:c>
      <x:c r="D2036" s="2" t="str">
        <x:v>Parque eólico Cordal de Montouto</x:v>
      </x:c>
      <x:c r="E2036" s="4" t="n">
        <x:v>1.762</x:v>
      </x:c>
      <x:c r="F2036" s="4" t="n">
        <x:f>J2036*1.02</x:f>
        <x:v>1.7544</x:v>
      </x:c>
      <x:c r="G2036" s="4" t="n">
        <x:v>14</x:v>
      </x:c>
      <x:c r="H2036" s="4" t="n">
        <x:v>90.47</x:v>
      </x:c>
      <x:c r="I2036" s="5" t="n">
        <x:f t="shared" si="31">F2036*1000*H2036</x:f>
        <x:v>158720.568</x:v>
      </x:c>
      <x:c r="J2036" t="n">
        <x:v>1.72</x:v>
      </x:c>
    </x:row>
    <x:row r="2037">
      <x:c r="A2037" s="3" t="n">
        <x:v>2023</x:v>
      </x:c>
      <x:c r="B2037" s="2" t="str">
        <x:v>Agosto</x:v>
      </x:c>
      <x:c r="C2037" s="2" t="str">
        <x:v>RE-112094-1</x:v>
      </x:c>
      <x:c r="D2037" s="2" t="str">
        <x:v>Parque eólico Cordal de Montouto</x:v>
      </x:c>
      <x:c r="E2037" s="4" t="n">
        <x:v>2.245</x:v>
      </x:c>
      <x:c r="F2037" s="4" t="n">
        <x:f>J2037*0.98</x:f>
        <x:v>2.1462</x:v>
      </x:c>
      <x:c r="G2037" s="4" t="n">
        <x:v>14</x:v>
      </x:c>
      <x:c r="H2037" s="4" t="n">
        <x:v>96.05</x:v>
      </x:c>
      <x:c r="I2037" s="5" t="n">
        <x:f t="shared" si="31">F2037*1000*H2037</x:f>
        <x:v>206142.50999999998</x:v>
      </x:c>
      <x:c r="J2037" t="n">
        <x:v>2.19</x:v>
      </x:c>
    </x:row>
    <x:row r="2038">
      <x:c r="A2038" s="3" t="n">
        <x:v>2023</x:v>
      </x:c>
      <x:c r="B2038" s="2" t="str">
        <x:v>Septiembre</x:v>
      </x:c>
      <x:c r="C2038" s="2" t="str">
        <x:v>RE-112094-1</x:v>
      </x:c>
      <x:c r="D2038" s="2" t="str">
        <x:v>Parque eólico Cordal de Montouto</x:v>
      </x:c>
      <x:c r="E2038" s="4" t="n">
        <x:v>2.373</x:v>
      </x:c>
      <x:c r="F2038" s="4" t="n">
        <x:f>J2038*0.94</x:f>
        <x:v>2.1855</x:v>
      </x:c>
      <x:c r="G2038" s="4" t="n">
        <x:v>14</x:v>
      </x:c>
      <x:c r="H2038" s="4" t="n">
        <x:v>103.34</x:v>
      </x:c>
      <x:c r="I2038" s="5" t="n">
        <x:f t="shared" si="31">F2038*1000*H2038</x:f>
        <x:v>225849.57</x:v>
      </x:c>
      <x:c r="J2038" t="n">
        <x:v>2.325</x:v>
      </x:c>
    </x:row>
    <x:row r="2039">
      <x:c r="A2039" s="3" t="n">
        <x:v>2023</x:v>
      </x:c>
      <x:c r="B2039" s="2" t="str">
        <x:v>Octubre</x:v>
      </x:c>
      <x:c r="C2039" s="2" t="str">
        <x:v>RE-112094-1</x:v>
      </x:c>
      <x:c r="D2039" s="2" t="str">
        <x:v>Parque eólico Cordal de Montouto</x:v>
      </x:c>
      <x:c r="E2039" s="4" t="n">
        <x:v>3.246</x:v>
      </x:c>
      <x:c r="F2039" s="4" t="n">
        <x:f>J2039*1.01</x:f>
        <x:v>3.2279600000000004</x:v>
      </x:c>
      <x:c r="G2039" s="4" t="n">
        <x:v>14</x:v>
      </x:c>
      <x:c r="H2039" s="4" t="n">
        <x:v>90.14</x:v>
      </x:c>
      <x:c r="I2039" s="5" t="n">
        <x:f t="shared" si="31">F2039*1000*H2039</x:f>
        <x:v>290968.31440000003</x:v>
      </x:c>
      <x:c r="J2039" t="n">
        <x:v>3.196</x:v>
      </x:c>
    </x:row>
    <x:row r="2040">
      <x:c r="A2040" s="3" t="n">
        <x:v>2023</x:v>
      </x:c>
      <x:c r="B2040" s="2" t="str">
        <x:v>Noviembre</x:v>
      </x:c>
      <x:c r="C2040" s="2" t="str">
        <x:v>RE-112094-1</x:v>
      </x:c>
      <x:c r="D2040" s="2" t="str">
        <x:v>Parque eólico Cordal de Montouto</x:v>
      </x:c>
      <x:c r="E2040" s="4" t="n">
        <x:v>3.492</x:v>
      </x:c>
      <x:c r="F2040" s="4" t="n">
        <x:f>J2040*0.97</x:f>
        <x:v>3.3144899999999997</x:v>
      </x:c>
      <x:c r="G2040" s="4" t="n">
        <x:v>14</x:v>
      </x:c>
      <x:c r="H2040" s="4" t="n">
        <x:v>63.45</x:v>
      </x:c>
      <x:c r="I2040" s="5" t="n">
        <x:f t="shared" si="31">F2040*1000*H2040</x:f>
        <x:v>210304.3905</x:v>
      </x:c>
      <x:c r="J2040" t="n">
        <x:v>3.417</x:v>
      </x:c>
    </x:row>
    <x:row r="2041">
      <x:c r="A2041" s="3" t="n">
        <x:v>2023</x:v>
      </x:c>
      <x:c r="B2041" s="2" t="str">
        <x:v>Diciembre</x:v>
      </x:c>
      <x:c r="C2041" s="2" t="str">
        <x:v>RE-112094-1</x:v>
      </x:c>
      <x:c r="D2041" s="2" t="str">
        <x:v>Parque eólico Cordal de Montouto</x:v>
      </x:c>
      <x:c r="E2041" s="4" t="n">
        <x:v>4.257</x:v>
      </x:c>
      <x:c r="F2041" s="4" t="n">
        <x:f>J2041*1.04</x:f>
        <x:v>4.3170399999999995</x:v>
      </x:c>
      <x:c r="G2041" s="4" t="n">
        <x:v>14</x:v>
      </x:c>
      <x:c r="H2041" s="4" t="n">
        <x:v>72.17</x:v>
      </x:c>
      <x:c r="I2041" s="5" t="n">
        <x:f t="shared" si="31">F2041*1000*H2041</x:f>
        <x:v>311560.7768</x:v>
      </x:c>
      <x:c r="J2041" t="n">
        <x:v>4.151</x:v>
      </x:c>
    </x:row>
    <x:row r="2042">
      <x:c r="A2042" s="3" t="n">
        <x:v>2023</x:v>
      </x:c>
      <x:c r="B2042" s="2" t="str">
        <x:v>Enero</x:v>
      </x:c>
      <x:c r="C2042" s="2" t="str">
        <x:v>RE-112442-1</x:v>
      </x:c>
      <x:c r="D2042" s="2" t="str">
        <x:v>Minieólica no Parque Empresarial de Vimianzo</x:v>
      </x:c>
      <x:c r="E2042" s="4" t="n">
        <x:v>0.005</x:v>
      </x:c>
      <x:c r="F2042" s="4" t="n">
        <x:f>J2042*1</x:f>
        <x:v>0.005</x:v>
      </x:c>
      <x:c r="G2042" s="4" t="n">
        <x:v>0.018</x:v>
      </x:c>
      <x:c r="H2042" s="4" t="n">
        <x:v>69.55</x:v>
      </x:c>
      <x:c r="I2042" s="5" t="n">
        <x:f t="shared" si="31">F2042*1000*H2042</x:f>
        <x:v>347.75</x:v>
      </x:c>
      <x:c r="J2042" t="n">
        <x:v>0.005</x:v>
      </x:c>
    </x:row>
    <x:row r="2043">
      <x:c r="A2043" s="3" t="n">
        <x:v>2023</x:v>
      </x:c>
      <x:c r="B2043" s="2" t="str">
        <x:v>Febrero</x:v>
      </x:c>
      <x:c r="C2043" s="2" t="str">
        <x:v>RE-112442-1</x:v>
      </x:c>
      <x:c r="D2043" s="2" t="str">
        <x:v>Minieólica no Parque Empresarial de Vimianzo</x:v>
      </x:c>
      <x:c r="E2043" s="4" t="n">
        <x:v>0.004</x:v>
      </x:c>
      <x:c r="F2043" s="4" t="n">
        <x:f>J2043*0.96</x:f>
        <x:v>0.00384</x:v>
      </x:c>
      <x:c r="G2043" s="4" t="n">
        <x:v>0.018</x:v>
      </x:c>
      <x:c r="H2043" s="4" t="n">
        <x:v>133.47</x:v>
      </x:c>
      <x:c r="I2043" s="5" t="n">
        <x:f t="shared" si="31">F2043*1000*H2043</x:f>
        <x:v>512.5248</x:v>
      </x:c>
      <x:c r="J2043" t="n">
        <x:v>0.004</x:v>
      </x:c>
    </x:row>
    <x:row r="2044">
      <x:c r="A2044" s="3" t="n">
        <x:v>2023</x:v>
      </x:c>
      <x:c r="B2044" s="2" t="str">
        <x:v>Marzo</x:v>
      </x:c>
      <x:c r="C2044" s="2" t="str">
        <x:v>RE-112442-1</x:v>
      </x:c>
      <x:c r="D2044" s="2" t="str">
        <x:v>Minieólica no Parque Empresarial de Vimianzo</x:v>
      </x:c>
      <x:c r="E2044" s="4" t="n">
        <x:v>0.005</x:v>
      </x:c>
      <x:c r="F2044" s="4" t="n">
        <x:f>J2044*1.03</x:f>
        <x:v>0.00515</x:v>
      </x:c>
      <x:c r="G2044" s="4" t="n">
        <x:v>0.018</x:v>
      </x:c>
      <x:c r="H2044" s="4" t="n">
        <x:v>89.61</x:v>
      </x:c>
      <x:c r="I2044" s="5" t="n">
        <x:f t="shared" si="31">F2044*1000*H2044</x:f>
        <x:v>461.49150000000003</x:v>
      </x:c>
      <x:c r="J2044" t="n">
        <x:v>0.005</x:v>
      </x:c>
    </x:row>
    <x:row r="2045">
      <x:c r="A2045" s="3" t="n">
        <x:v>2023</x:v>
      </x:c>
      <x:c r="B2045" s="2" t="str">
        <x:v>Abril</x:v>
      </x:c>
      <x:c r="C2045" s="2" t="str">
        <x:v>RE-112442-1</x:v>
      </x:c>
      <x:c r="D2045" s="2" t="str">
        <x:v>Minieólica no Parque Empresarial de Vimianzo</x:v>
      </x:c>
      <x:c r="E2045" s="4" t="n">
        <x:v>0.004</x:v>
      </x:c>
      <x:c r="F2045" s="4" t="n">
        <x:f>J2045*0.99</x:f>
        <x:v>0.00396</x:v>
      </x:c>
      <x:c r="G2045" s="4" t="n">
        <x:v>0.018</x:v>
      </x:c>
      <x:c r="H2045" s="4" t="n">
        <x:v>73.73</x:v>
      </x:c>
      <x:c r="I2045" s="5" t="n">
        <x:f t="shared" si="31">F2045*1000*H2045</x:f>
        <x:v>291.9708</x:v>
      </x:c>
      <x:c r="J2045" t="n">
        <x:v>0.004</x:v>
      </x:c>
    </x:row>
    <x:row r="2046">
      <x:c r="A2046" s="3" t="n">
        <x:v>2023</x:v>
      </x:c>
      <x:c r="B2046" s="2" t="str">
        <x:v>Mayo</x:v>
      </x:c>
      <x:c r="C2046" s="2" t="str">
        <x:v>RE-112442-1</x:v>
      </x:c>
      <x:c r="D2046" s="2" t="str">
        <x:v>Minieólica no Parque Empresarial de Vimianzo</x:v>
      </x:c>
      <x:c r="E2046" s="4" t="n">
        <x:v>0.003</x:v>
      </x:c>
      <x:c r="F2046" s="4" t="n">
        <x:f>J2046*0.95</x:f>
        <x:v>0.00285</x:v>
      </x:c>
      <x:c r="G2046" s="4" t="n">
        <x:v>0.018</x:v>
      </x:c>
      <x:c r="H2046" s="4" t="n">
        <x:v>74.21</x:v>
      </x:c>
      <x:c r="I2046" s="5" t="n">
        <x:f t="shared" si="31">F2046*1000*H2046</x:f>
        <x:v>211.49849999999998</x:v>
      </x:c>
      <x:c r="J2046" t="n">
        <x:v>0.003</x:v>
      </x:c>
    </x:row>
    <x:row r="2047">
      <x:c r="A2047" s="3" t="n">
        <x:v>2023</x:v>
      </x:c>
      <x:c r="B2047" s="2" t="str">
        <x:v>Junio</x:v>
      </x:c>
      <x:c r="C2047" s="2" t="str">
        <x:v>RE-112442-1</x:v>
      </x:c>
      <x:c r="D2047" s="2" t="str">
        <x:v>Minieólica no Parque Empresarial de Vimianzo</x:v>
      </x:c>
      <x:c r="E2047" s="4" t="n">
        <x:v>0.003</x:v>
      </x:c>
      <x:c r="F2047" s="4" t="n">
        <x:f>J2047*1.02</x:f>
        <x:v>0.0030600000000000002</x:v>
      </x:c>
      <x:c r="G2047" s="4" t="n">
        <x:v>0.018</x:v>
      </x:c>
      <x:c r="H2047" s="4" t="n">
        <x:v>93.02</x:v>
      </x:c>
      <x:c r="I2047" s="5" t="n">
        <x:f t="shared" si="31">F2047*1000*H2047</x:f>
        <x:v>284.64119999999997</x:v>
      </x:c>
      <x:c r="J2047" t="n">
        <x:v>0.003</x:v>
      </x:c>
    </x:row>
    <x:row r="2048">
      <x:c r="A2048" s="3" t="n">
        <x:v>2023</x:v>
      </x:c>
      <x:c r="B2048" s="2" t="str">
        <x:v>Julio</x:v>
      </x:c>
      <x:c r="C2048" s="2" t="str">
        <x:v>RE-112442-1</x:v>
      </x:c>
      <x:c r="D2048" s="2" t="str">
        <x:v>Minieólica no Parque Empresarial de Vimianzo</x:v>
      </x:c>
      <x:c r="E2048" s="4" t="n">
        <x:v>0.003</x:v>
      </x:c>
      <x:c r="F2048" s="4" t="n">
        <x:f>J2048*0.98</x:f>
        <x:v>0.00294</x:v>
      </x:c>
      <x:c r="G2048" s="4" t="n">
        <x:v>0.018</x:v>
      </x:c>
      <x:c r="H2048" s="4" t="n">
        <x:v>90.47</x:v>
      </x:c>
      <x:c r="I2048" s="5" t="n">
        <x:f t="shared" si="31">F2048*1000*H2048</x:f>
        <x:v>265.98179999999996</x:v>
      </x:c>
      <x:c r="J2048" t="n">
        <x:v>0.003</x:v>
      </x:c>
    </x:row>
    <x:row r="2049">
      <x:c r="A2049" s="3" t="n">
        <x:v>2023</x:v>
      </x:c>
      <x:c r="B2049" s="2" t="str">
        <x:v>Agosto</x:v>
      </x:c>
      <x:c r="C2049" s="2" t="str">
        <x:v>RE-112442-1</x:v>
      </x:c>
      <x:c r="D2049" s="2" t="str">
        <x:v>Minieólica no Parque Empresarial de Vimianzo</x:v>
      </x:c>
      <x:c r="E2049" s="4" t="n">
        <x:v>0.003</x:v>
      </x:c>
      <x:c r="F2049" s="4" t="n">
        <x:f>J2049*0.94</x:f>
        <x:v>0.00282</x:v>
      </x:c>
      <x:c r="G2049" s="4" t="n">
        <x:v>0.018</x:v>
      </x:c>
      <x:c r="H2049" s="4" t="n">
        <x:v>96.05</x:v>
      </x:c>
      <x:c r="I2049" s="5" t="n">
        <x:f t="shared" si="31">F2049*1000*H2049</x:f>
        <x:v>270.861</x:v>
      </x:c>
      <x:c r="J2049" t="n">
        <x:v>0.003</x:v>
      </x:c>
    </x:row>
    <x:row r="2050">
      <x:c r="A2050" s="3" t="n">
        <x:v>2023</x:v>
      </x:c>
      <x:c r="B2050" s="2" t="str">
        <x:v>Septiembre</x:v>
      </x:c>
      <x:c r="C2050" s="2" t="str">
        <x:v>RE-112442-1</x:v>
      </x:c>
      <x:c r="D2050" s="2" t="str">
        <x:v>Minieólica no Parque Empresarial de Vimianzo</x:v>
      </x:c>
      <x:c r="E2050" s="4" t="n">
        <x:v>0.003</x:v>
      </x:c>
      <x:c r="F2050" s="4" t="n">
        <x:f>J2050*1.01</x:f>
        <x:v>0.00303</x:v>
      </x:c>
      <x:c r="G2050" s="4" t="n">
        <x:v>0.018</x:v>
      </x:c>
      <x:c r="H2050" s="4" t="n">
        <x:v>103.34</x:v>
      </x:c>
      <x:c r="I2050" s="5" t="n">
        <x:f t="shared" ref="I2050:I2113" si="32">F2050*1000*H2050</x:f>
        <x:v>313.1202</x:v>
      </x:c>
      <x:c r="J2050" t="n">
        <x:v>0.003</x:v>
      </x:c>
    </x:row>
    <x:row r="2051">
      <x:c r="A2051" s="3" t="n">
        <x:v>2023</x:v>
      </x:c>
      <x:c r="B2051" s="2" t="str">
        <x:v>Octubre</x:v>
      </x:c>
      <x:c r="C2051" s="2" t="str">
        <x:v>RE-112442-1</x:v>
      </x:c>
      <x:c r="D2051" s="2" t="str">
        <x:v>Minieólica no Parque Empresarial de Vimianzo</x:v>
      </x:c>
      <x:c r="E2051" s="4" t="n">
        <x:v>0.003</x:v>
      </x:c>
      <x:c r="F2051" s="4" t="n">
        <x:f>J2051*0.97</x:f>
        <x:v>0.00291</x:v>
      </x:c>
      <x:c r="G2051" s="4" t="n">
        <x:v>0.018</x:v>
      </x:c>
      <x:c r="H2051" s="4" t="n">
        <x:v>90.14</x:v>
      </x:c>
      <x:c r="I2051" s="5" t="n">
        <x:f t="shared" si="32">F2051*1000*H2051</x:f>
        <x:v>262.3074</x:v>
      </x:c>
      <x:c r="J2051" t="n">
        <x:v>0.003</x:v>
      </x:c>
    </x:row>
    <x:row r="2052">
      <x:c r="A2052" s="3" t="n">
        <x:v>2023</x:v>
      </x:c>
      <x:c r="B2052" s="2" t="str">
        <x:v>Noviembre</x:v>
      </x:c>
      <x:c r="C2052" s="2" t="str">
        <x:v>RE-112442-1</x:v>
      </x:c>
      <x:c r="D2052" s="2" t="str">
        <x:v>Minieólica no Parque Empresarial de Vimianzo</x:v>
      </x:c>
      <x:c r="E2052" s="4" t="n">
        <x:v>0.005</x:v>
      </x:c>
      <x:c r="F2052" s="4" t="n">
        <x:f>J2052*1.04</x:f>
        <x:v>0.005200000000000001</x:v>
      </x:c>
      <x:c r="G2052" s="4" t="n">
        <x:v>0.018</x:v>
      </x:c>
      <x:c r="H2052" s="4" t="n">
        <x:v>63.45</x:v>
      </x:c>
      <x:c r="I2052" s="5" t="n">
        <x:f t="shared" si="32">F2052*1000*H2052</x:f>
        <x:v>329.94000000000005</x:v>
      </x:c>
      <x:c r="J2052" t="n">
        <x:v>0.005</x:v>
      </x:c>
    </x:row>
    <x:row r="2053">
      <x:c r="A2053" s="3" t="n">
        <x:v>2023</x:v>
      </x:c>
      <x:c r="B2053" s="2" t="str">
        <x:v>Diciembre</x:v>
      </x:c>
      <x:c r="C2053" s="2" t="str">
        <x:v>RE-112442-1</x:v>
      </x:c>
      <x:c r="D2053" s="2" t="str">
        <x:v>Minieólica no Parque Empresarial de Vimianzo</x:v>
      </x:c>
      <x:c r="E2053" s="4" t="n">
        <x:v>0.005</x:v>
      </x:c>
      <x:c r="F2053" s="4" t="n">
        <x:f>J2053*1</x:f>
        <x:v>0.005</x:v>
      </x:c>
      <x:c r="G2053" s="4" t="n">
        <x:v>0.018</x:v>
      </x:c>
      <x:c r="H2053" s="4" t="n">
        <x:v>72.17</x:v>
      </x:c>
      <x:c r="I2053" s="5" t="n">
        <x:f t="shared" si="32">F2053*1000*H2053</x:f>
        <x:v>360.85</x:v>
      </x:c>
      <x:c r="J2053" t="n">
        <x:v>0.005</x:v>
      </x:c>
    </x:row>
    <x:row r="2054">
      <x:c r="A2054" s="3" t="n">
        <x:v>2023</x:v>
      </x:c>
      <x:c r="B2054" s="2" t="str">
        <x:v>Enero</x:v>
      </x:c>
      <x:c r="C2054" s="2" t="str">
        <x:v>RE-112720-1</x:v>
      </x:c>
      <x:c r="D2054" s="2" t="str">
        <x:v>Parque eólico Muxia I</x:v>
      </x:c>
      <x:c r="E2054" s="4" t="n">
        <x:v>12.336</x:v>
      </x:c>
      <x:c r="F2054" s="4" t="n">
        <x:f>J2054*0.96</x:f>
        <x:v>11.54016</x:v>
      </x:c>
      <x:c r="G2054" s="4" t="n">
        <x:v>46</x:v>
      </x:c>
      <x:c r="H2054" s="4" t="n">
        <x:v>69.55</x:v>
      </x:c>
      <x:c r="I2054" s="5" t="n">
        <x:f t="shared" si="32">F2054*1000*H2054</x:f>
        <x:v>802618.1279999999</x:v>
      </x:c>
      <x:c r="J2054" t="n">
        <x:v>12.021</x:v>
      </x:c>
    </x:row>
    <x:row r="2055">
      <x:c r="A2055" s="3" t="n">
        <x:v>2023</x:v>
      </x:c>
      <x:c r="B2055" s="2" t="str">
        <x:v>Febrero</x:v>
      </x:c>
      <x:c r="C2055" s="2" t="str">
        <x:v>RE-112720-1</x:v>
      </x:c>
      <x:c r="D2055" s="2" t="str">
        <x:v>Parque eólico Muxia I</x:v>
      </x:c>
      <x:c r="E2055" s="4" t="n">
        <x:v>11.779</x:v>
      </x:c>
      <x:c r="F2055" s="4" t="n">
        <x:f>J2055*1.03</x:f>
        <x:v>11.765690000000001</x:v>
      </x:c>
      <x:c r="G2055" s="4" t="n">
        <x:v>46</x:v>
      </x:c>
      <x:c r="H2055" s="4" t="n">
        <x:v>133.47</x:v>
      </x:c>
      <x:c r="I2055" s="5" t="n">
        <x:f t="shared" si="32">F2055*1000*H2055</x:f>
        <x:v>1570366.6443</x:v>
      </x:c>
      <x:c r="J2055" t="n">
        <x:v>11.423</x:v>
      </x:c>
    </x:row>
    <x:row r="2056">
      <x:c r="A2056" s="3" t="n">
        <x:v>2023</x:v>
      </x:c>
      <x:c r="B2056" s="2" t="str">
        <x:v>Marzo</x:v>
      </x:c>
      <x:c r="C2056" s="2" t="str">
        <x:v>RE-112720-1</x:v>
      </x:c>
      <x:c r="D2056" s="2" t="str">
        <x:v>Parque eólico Muxia I</x:v>
      </x:c>
      <x:c r="E2056" s="4" t="n">
        <x:v>12.896</x:v>
      </x:c>
      <x:c r="F2056" s="4" t="n">
        <x:f>J2056*0.99</x:f>
        <x:v>12.433409999999999</x:v>
      </x:c>
      <x:c r="G2056" s="4" t="n">
        <x:v>46</x:v>
      </x:c>
      <x:c r="H2056" s="4" t="n">
        <x:v>89.61</x:v>
      </x:c>
      <x:c r="I2056" s="5" t="n">
        <x:f t="shared" si="32">F2056*1000*H2056</x:f>
        <x:v>1114157.8700999997</x:v>
      </x:c>
      <x:c r="J2056" t="n">
        <x:v>12.559</x:v>
      </x:c>
    </x:row>
    <x:row r="2057">
      <x:c r="A2057" s="3" t="n">
        <x:v>2023</x:v>
      </x:c>
      <x:c r="B2057" s="2" t="str">
        <x:v>Abril</x:v>
      </x:c>
      <x:c r="C2057" s="2" t="str">
        <x:v>RE-112720-1</x:v>
      </x:c>
      <x:c r="D2057" s="2" t="str">
        <x:v>Parque eólico Muxia I</x:v>
      </x:c>
      <x:c r="E2057" s="4" t="n">
        <x:v>9.223</x:v>
      </x:c>
      <x:c r="F2057" s="4" t="n">
        <x:f>J2057*0.95</x:f>
        <x:v>8.518650000000001</x:v>
      </x:c>
      <x:c r="G2057" s="4" t="n">
        <x:v>46</x:v>
      </x:c>
      <x:c r="H2057" s="4" t="n">
        <x:v>73.73</x:v>
      </x:c>
      <x:c r="I2057" s="5" t="n">
        <x:f t="shared" si="32">F2057*1000*H2057</x:f>
        <x:v>628080.0645000001</x:v>
      </x:c>
      <x:c r="J2057" t="n">
        <x:v>8.967</x:v>
      </x:c>
    </x:row>
    <x:row r="2058">
      <x:c r="A2058" s="3" t="n">
        <x:v>2023</x:v>
      </x:c>
      <x:c r="B2058" s="2" t="str">
        <x:v>Mayo</x:v>
      </x:c>
      <x:c r="C2058" s="2" t="str">
        <x:v>RE-112720-1</x:v>
      </x:c>
      <x:c r="D2058" s="2" t="str">
        <x:v>Parque eólico Muxia I</x:v>
      </x:c>
      <x:c r="E2058" s="4" t="n">
        <x:v>9.165</x:v>
      </x:c>
      <x:c r="F2058" s="4" t="n">
        <x:f>J2058*1.02</x:f>
        <x:v>9.13104</x:v>
      </x:c>
      <x:c r="G2058" s="4" t="n">
        <x:v>46</x:v>
      </x:c>
      <x:c r="H2058" s="4" t="n">
        <x:v>74.21</x:v>
      </x:c>
      <x:c r="I2058" s="5" t="n">
        <x:f t="shared" si="32">F2058*1000*H2058</x:f>
        <x:v>677614.4784</x:v>
      </x:c>
      <x:c r="J2058" t="n">
        <x:v>8.952</x:v>
      </x:c>
    </x:row>
    <x:row r="2059">
      <x:c r="A2059" s="3" t="n">
        <x:v>2023</x:v>
      </x:c>
      <x:c r="B2059" s="2" t="str">
        <x:v>Junio</x:v>
      </x:c>
      <x:c r="C2059" s="2" t="str">
        <x:v>RE-112720-1</x:v>
      </x:c>
      <x:c r="D2059" s="2" t="str">
        <x:v>Parque eólico Muxia I</x:v>
      </x:c>
      <x:c r="E2059" s="4" t="n">
        <x:v>6.891</x:v>
      </x:c>
      <x:c r="F2059" s="4" t="n">
        <x:f>J2059*0.98</x:f>
        <x:v>6.63558</x:v>
      </x:c>
      <x:c r="G2059" s="4" t="n">
        <x:v>46</x:v>
      </x:c>
      <x:c r="H2059" s="4" t="n">
        <x:v>93.02</x:v>
      </x:c>
      <x:c r="I2059" s="5" t="n">
        <x:f t="shared" si="32">F2059*1000*H2059</x:f>
        <x:v>617241.6516</x:v>
      </x:c>
      <x:c r="J2059" t="n">
        <x:v>6.771</x:v>
      </x:c>
    </x:row>
    <x:row r="2060">
      <x:c r="A2060" s="3" t="n">
        <x:v>2023</x:v>
      </x:c>
      <x:c r="B2060" s="2" t="str">
        <x:v>Julio</x:v>
      </x:c>
      <x:c r="C2060" s="2" t="str">
        <x:v>RE-112720-1</x:v>
      </x:c>
      <x:c r="D2060" s="2" t="str">
        <x:v>Parque eólico Muxia I</x:v>
      </x:c>
      <x:c r="E2060" s="4" t="n">
        <x:v>6.835</x:v>
      </x:c>
      <x:c r="F2060" s="4" t="n">
        <x:f>J2060*0.94</x:f>
        <x:v>6.298939999999999</x:v>
      </x:c>
      <x:c r="G2060" s="4" t="n">
        <x:v>46</x:v>
      </x:c>
      <x:c r="H2060" s="4" t="n">
        <x:v>90.47</x:v>
      </x:c>
      <x:c r="I2060" s="5" t="n">
        <x:f t="shared" si="32">F2060*1000*H2060</x:f>
        <x:v>569865.1017999998</x:v>
      </x:c>
      <x:c r="J2060" t="n">
        <x:v>6.701</x:v>
      </x:c>
    </x:row>
    <x:row r="2061">
      <x:c r="A2061" s="3" t="n">
        <x:v>2023</x:v>
      </x:c>
      <x:c r="B2061" s="2" t="str">
        <x:v>Agosto</x:v>
      </x:c>
      <x:c r="C2061" s="2" t="str">
        <x:v>RE-112720-1</x:v>
      </x:c>
      <x:c r="D2061" s="2" t="str">
        <x:v>Parque eólico Muxia I</x:v>
      </x:c>
      <x:c r="E2061" s="4" t="n">
        <x:v>7.016</x:v>
      </x:c>
      <x:c r="F2061" s="4" t="n">
        <x:f>J2061*1.01</x:f>
        <x:v>6.87103</x:v>
      </x:c>
      <x:c r="G2061" s="4" t="n">
        <x:v>46</x:v>
      </x:c>
      <x:c r="H2061" s="4" t="n">
        <x:v>96.05</x:v>
      </x:c>
      <x:c r="I2061" s="5" t="n">
        <x:f t="shared" si="32">F2061*1000*H2061</x:f>
        <x:v>659962.4315</x:v>
      </x:c>
      <x:c r="J2061" t="n">
        <x:v>6.803</x:v>
      </x:c>
    </x:row>
    <x:row r="2062">
      <x:c r="A2062" s="3" t="n">
        <x:v>2023</x:v>
      </x:c>
      <x:c r="B2062" s="2" t="str">
        <x:v>Septiembre</x:v>
      </x:c>
      <x:c r="C2062" s="2" t="str">
        <x:v>RE-112720-1</x:v>
      </x:c>
      <x:c r="D2062" s="2" t="str">
        <x:v>Parque eólico Muxia I</x:v>
      </x:c>
      <x:c r="E2062" s="4" t="n">
        <x:v>7.595</x:v>
      </x:c>
      <x:c r="F2062" s="4" t="n">
        <x:f>J2062*0.97</x:f>
        <x:v>7.16151</x:v>
      </x:c>
      <x:c r="G2062" s="4" t="n">
        <x:v>46</x:v>
      </x:c>
      <x:c r="H2062" s="4" t="n">
        <x:v>103.34</x:v>
      </x:c>
      <x:c r="I2062" s="5" t="n">
        <x:f t="shared" si="32">F2062*1000*H2062</x:f>
        <x:v>740070.4434</x:v>
      </x:c>
      <x:c r="J2062" t="n">
        <x:v>7.383</x:v>
      </x:c>
    </x:row>
    <x:row r="2063">
      <x:c r="A2063" s="3" t="n">
        <x:v>2023</x:v>
      </x:c>
      <x:c r="B2063" s="2" t="str">
        <x:v>Octubre</x:v>
      </x:c>
      <x:c r="C2063" s="2" t="str">
        <x:v>RE-112720-1</x:v>
      </x:c>
      <x:c r="D2063" s="2" t="str">
        <x:v>Parque eólico Muxia I</x:v>
      </x:c>
      <x:c r="E2063" s="4" t="n">
        <x:v>9.618</x:v>
      </x:c>
      <x:c r="F2063" s="4" t="n">
        <x:f>J2063*1.04</x:f>
        <x:v>9.705280000000002</x:v>
      </x:c>
      <x:c r="G2063" s="4" t="n">
        <x:v>46</x:v>
      </x:c>
      <x:c r="H2063" s="4" t="n">
        <x:v>90.14</x:v>
      </x:c>
      <x:c r="I2063" s="5" t="n">
        <x:f t="shared" si="32">F2063*1000*H2063</x:f>
        <x:v>874833.9392000003</x:v>
      </x:c>
      <x:c r="J2063" t="n">
        <x:v>9.332</x:v>
      </x:c>
    </x:row>
    <x:row r="2064">
      <x:c r="A2064" s="3" t="n">
        <x:v>2023</x:v>
      </x:c>
      <x:c r="B2064" s="2" t="str">
        <x:v>Noviembre</x:v>
      </x:c>
      <x:c r="C2064" s="2" t="str">
        <x:v>RE-112720-1</x:v>
      </x:c>
      <x:c r="D2064" s="2" t="str">
        <x:v>Parque eólico Muxia I</x:v>
      </x:c>
      <x:c r="E2064" s="4" t="n">
        <x:v>13.304</x:v>
      </x:c>
      <x:c r="F2064" s="4" t="n">
        <x:f>J2064*1</x:f>
        <x:v>13.055</x:v>
      </x:c>
      <x:c r="G2064" s="4" t="n">
        <x:v>46</x:v>
      </x:c>
      <x:c r="H2064" s="4" t="n">
        <x:v>63.45</x:v>
      </x:c>
      <x:c r="I2064" s="5" t="n">
        <x:f t="shared" si="32">F2064*1000*H2064</x:f>
        <x:v>828339.75</x:v>
      </x:c>
      <x:c r="J2064" t="n">
        <x:v>13.055</x:v>
      </x:c>
    </x:row>
    <x:row r="2065">
      <x:c r="A2065" s="3" t="n">
        <x:v>2023</x:v>
      </x:c>
      <x:c r="B2065" s="2" t="str">
        <x:v>Diciembre</x:v>
      </x:c>
      <x:c r="C2065" s="2" t="str">
        <x:v>RE-112720-1</x:v>
      </x:c>
      <x:c r="D2065" s="2" t="str">
        <x:v>Parque eólico Muxia I</x:v>
      </x:c>
      <x:c r="E2065" s="4" t="n">
        <x:v>12.687</x:v>
      </x:c>
      <x:c r="F2065" s="4" t="n">
        <x:f>J2065*0.96</x:f>
        <x:v>11.89824</x:v>
      </x:c>
      <x:c r="G2065" s="4" t="n">
        <x:v>46</x:v>
      </x:c>
      <x:c r="H2065" s="4" t="n">
        <x:v>72.17</x:v>
      </x:c>
      <x:c r="I2065" s="5" t="n">
        <x:f t="shared" si="32">F2065*1000*H2065</x:f>
        <x:v>858695.9808</x:v>
      </x:c>
      <x:c r="J2065" t="n">
        <x:v>12.394</x:v>
      </x:c>
    </x:row>
    <x:row r="2066">
      <x:c r="A2066" s="3" t="n">
        <x:v>2023</x:v>
      </x:c>
      <x:c r="B2066" s="2" t="str">
        <x:v>Enero</x:v>
      </x:c>
      <x:c r="C2066" s="2" t="str">
        <x:v>RE-112721-1</x:v>
      </x:c>
      <x:c r="D2066" s="2" t="str">
        <x:v>Parque eólico Muxia II</x:v>
      </x:c>
      <x:c r="E2066" s="4" t="n">
        <x:v>7.209</x:v>
      </x:c>
      <x:c r="F2066" s="4" t="n">
        <x:f>J2066*1.03</x:f>
        <x:v>7.27798</x:v>
      </x:c>
      <x:c r="G2066" s="4" t="n">
        <x:v>22</x:v>
      </x:c>
      <x:c r="H2066" s="4" t="n">
        <x:v>69.55</x:v>
      </x:c>
      <x:c r="I2066" s="5" t="n">
        <x:f t="shared" si="32">F2066*1000*H2066</x:f>
        <x:v>506183.509</x:v>
      </x:c>
      <x:c r="J2066" t="n">
        <x:v>7.066</x:v>
      </x:c>
    </x:row>
    <x:row r="2067">
      <x:c r="A2067" s="3" t="n">
        <x:v>2023</x:v>
      </x:c>
      <x:c r="B2067" s="2" t="str">
        <x:v>Febrero</x:v>
      </x:c>
      <x:c r="C2067" s="2" t="str">
        <x:v>RE-112721-1</x:v>
      </x:c>
      <x:c r="D2067" s="2" t="str">
        <x:v>Parque eólico Muxia II</x:v>
      </x:c>
      <x:c r="E2067" s="4" t="n">
        <x:v>5.262</x:v>
      </x:c>
      <x:c r="F2067" s="4" t="n">
        <x:f>J2067*0.99</x:f>
        <x:v>5.13117</x:v>
      </x:c>
      <x:c r="G2067" s="4" t="n">
        <x:v>22</x:v>
      </x:c>
      <x:c r="H2067" s="4" t="n">
        <x:v>133.47</x:v>
      </x:c>
      <x:c r="I2067" s="5" t="n">
        <x:f t="shared" si="32">F2067*1000*H2067</x:f>
        <x:v>684857.2599</x:v>
      </x:c>
      <x:c r="J2067" t="n">
        <x:v>5.183</x:v>
      </x:c>
    </x:row>
    <x:row r="2068">
      <x:c r="A2068" s="3" t="n">
        <x:v>2023</x:v>
      </x:c>
      <x:c r="B2068" s="2" t="str">
        <x:v>Marzo</x:v>
      </x:c>
      <x:c r="C2068" s="2" t="str">
        <x:v>RE-112721-1</x:v>
      </x:c>
      <x:c r="D2068" s="2" t="str">
        <x:v>Parque eólico Muxia II</x:v>
      </x:c>
      <x:c r="E2068" s="4" t="n">
        <x:v>6.467</x:v>
      </x:c>
      <x:c r="F2068" s="4" t="n">
        <x:f>J2068*0.95</x:f>
        <x:v>5.975499999999999</x:v>
      </x:c>
      <x:c r="G2068" s="4" t="n">
        <x:v>22</x:v>
      </x:c>
      <x:c r="H2068" s="4" t="n">
        <x:v>89.61</x:v>
      </x:c>
      <x:c r="I2068" s="5" t="n">
        <x:f t="shared" si="32">F2068*1000*H2068</x:f>
        <x:v>535464.5549999999</x:v>
      </x:c>
      <x:c r="J2068" t="n">
        <x:v>6.29</x:v>
      </x:c>
    </x:row>
    <x:row r="2069">
      <x:c r="A2069" s="3" t="n">
        <x:v>2023</x:v>
      </x:c>
      <x:c r="B2069" s="2" t="str">
        <x:v>Abril</x:v>
      </x:c>
      <x:c r="C2069" s="2" t="str">
        <x:v>RE-112721-1</x:v>
      </x:c>
      <x:c r="D2069" s="2" t="str">
        <x:v>Parque eólico Muxia II</x:v>
      </x:c>
      <x:c r="E2069" s="4" t="n">
        <x:v>4.606</x:v>
      </x:c>
      <x:c r="F2069" s="4" t="n">
        <x:f>J2069*1.02</x:f>
        <x:v>4.59204</x:v>
      </x:c>
      <x:c r="G2069" s="4" t="n">
        <x:v>22</x:v>
      </x:c>
      <x:c r="H2069" s="4" t="n">
        <x:v>73.73</x:v>
      </x:c>
      <x:c r="I2069" s="5" t="n">
        <x:f t="shared" si="32">F2069*1000*H2069</x:f>
        <x:v>338571.1092</x:v>
      </x:c>
      <x:c r="J2069" t="n">
        <x:v>4.502</x:v>
      </x:c>
    </x:row>
    <x:row r="2070">
      <x:c r="A2070" s="3" t="n">
        <x:v>2023</x:v>
      </x:c>
      <x:c r="B2070" s="2" t="str">
        <x:v>Mayo</x:v>
      </x:c>
      <x:c r="C2070" s="2" t="str">
        <x:v>RE-112721-1</x:v>
      </x:c>
      <x:c r="D2070" s="2" t="str">
        <x:v>Parque eólico Muxia II</x:v>
      </x:c>
      <x:c r="E2070" s="4" t="n">
        <x:v>4.093</x:v>
      </x:c>
      <x:c r="F2070" s="4" t="n">
        <x:f>J2070*0.98</x:f>
        <x:v>3.9278399999999998</x:v>
      </x:c>
      <x:c r="G2070" s="4" t="n">
        <x:v>22</x:v>
      </x:c>
      <x:c r="H2070" s="4" t="n">
        <x:v>74.21</x:v>
      </x:c>
      <x:c r="I2070" s="5" t="n">
        <x:f t="shared" si="32">F2070*1000*H2070</x:f>
        <x:v>291485.00639999995</x:v>
      </x:c>
      <x:c r="J2070" t="n">
        <x:v>4.008</x:v>
      </x:c>
    </x:row>
    <x:row r="2071">
      <x:c r="A2071" s="3" t="n">
        <x:v>2023</x:v>
      </x:c>
      <x:c r="B2071" s="2" t="str">
        <x:v>Junio</x:v>
      </x:c>
      <x:c r="C2071" s="2" t="str">
        <x:v>RE-112721-1</x:v>
      </x:c>
      <x:c r="D2071" s="2" t="str">
        <x:v>Parque eólico Muxia II</x:v>
      </x:c>
      <x:c r="E2071" s="4" t="n">
        <x:v>3.159</x:v>
      </x:c>
      <x:c r="F2071" s="4" t="n">
        <x:f>J2071*0.94</x:f>
        <x:v>2.90178</x:v>
      </x:c>
      <x:c r="G2071" s="4" t="n">
        <x:v>22</x:v>
      </x:c>
      <x:c r="H2071" s="4" t="n">
        <x:v>93.02</x:v>
      </x:c>
      <x:c r="I2071" s="5" t="n">
        <x:f t="shared" si="32">F2071*1000*H2071</x:f>
        <x:v>269923.5756</x:v>
      </x:c>
      <x:c r="J2071" t="n">
        <x:v>3.087</x:v>
      </x:c>
    </x:row>
    <x:row r="2072">
      <x:c r="A2072" s="3" t="n">
        <x:v>2023</x:v>
      </x:c>
      <x:c r="B2072" s="2" t="str">
        <x:v>Julio</x:v>
      </x:c>
      <x:c r="C2072" s="2" t="str">
        <x:v>RE-112721-1</x:v>
      </x:c>
      <x:c r="D2072" s="2" t="str">
        <x:v>Parque eólico Muxia II</x:v>
      </x:c>
      <x:c r="E2072" s="4" t="n">
        <x:v>3.342</x:v>
      </x:c>
      <x:c r="F2072" s="4" t="n">
        <x:f>J2072*1.01</x:f>
        <x:v>3.30371</x:v>
      </x:c>
      <x:c r="G2072" s="4" t="n">
        <x:v>22</x:v>
      </x:c>
      <x:c r="H2072" s="4" t="n">
        <x:v>90.47</x:v>
      </x:c>
      <x:c r="I2072" s="5" t="n">
        <x:f t="shared" si="32">F2072*1000*H2072</x:f>
        <x:v>298886.6437</x:v>
      </x:c>
      <x:c r="J2072" t="n">
        <x:v>3.271</x:v>
      </x:c>
    </x:row>
    <x:row r="2073">
      <x:c r="A2073" s="3" t="n">
        <x:v>2023</x:v>
      </x:c>
      <x:c r="B2073" s="2" t="str">
        <x:v>Agosto</x:v>
      </x:c>
      <x:c r="C2073" s="2" t="str">
        <x:v>RE-112721-1</x:v>
      </x:c>
      <x:c r="D2073" s="2" t="str">
        <x:v>Parque eólico Muxia II</x:v>
      </x:c>
      <x:c r="E2073" s="4" t="n">
        <x:v>3.387</x:v>
      </x:c>
      <x:c r="F2073" s="4" t="n">
        <x:f>J2073*0.97</x:f>
        <x:v>3.22428</x:v>
      </x:c>
      <x:c r="G2073" s="4" t="n">
        <x:v>22</x:v>
      </x:c>
      <x:c r="H2073" s="4" t="n">
        <x:v>96.05</x:v>
      </x:c>
      <x:c r="I2073" s="5" t="n">
        <x:f t="shared" si="32">F2073*1000*H2073</x:f>
        <x:v>309692.094</x:v>
      </x:c>
      <x:c r="J2073" t="n">
        <x:v>3.324</x:v>
      </x:c>
    </x:row>
    <x:row r="2074">
      <x:c r="A2074" s="3" t="n">
        <x:v>2023</x:v>
      </x:c>
      <x:c r="B2074" s="2" t="str">
        <x:v>Septiembre</x:v>
      </x:c>
      <x:c r="C2074" s="2" t="str">
        <x:v>RE-112721-1</x:v>
      </x:c>
      <x:c r="D2074" s="2" t="str">
        <x:v>Parque eólico Muxia II</x:v>
      </x:c>
      <x:c r="E2074" s="4" t="n">
        <x:v>3.658</x:v>
      </x:c>
      <x:c r="F2074" s="4" t="n">
        <x:f>J2074*1.04</x:f>
        <x:v>3.68784</x:v>
      </x:c>
      <x:c r="G2074" s="4" t="n">
        <x:v>22</x:v>
      </x:c>
      <x:c r="H2074" s="4" t="n">
        <x:v>103.34</x:v>
      </x:c>
      <x:c r="I2074" s="5" t="n">
        <x:f t="shared" si="32">F2074*1000*H2074</x:f>
        <x:v>381101.38560000004</x:v>
      </x:c>
      <x:c r="J2074" t="n">
        <x:v>3.546</x:v>
      </x:c>
    </x:row>
    <x:row r="2075">
      <x:c r="A2075" s="3" t="n">
        <x:v>2023</x:v>
      </x:c>
      <x:c r="B2075" s="2" t="str">
        <x:v>Octubre</x:v>
      </x:c>
      <x:c r="C2075" s="2" t="str">
        <x:v>RE-112721-1</x:v>
      </x:c>
      <x:c r="D2075" s="2" t="str">
        <x:v>Parque eólico Muxia II</x:v>
      </x:c>
      <x:c r="E2075" s="4" t="n">
        <x:v>5.569</x:v>
      </x:c>
      <x:c r="F2075" s="4" t="n">
        <x:f>J2075*1</x:f>
        <x:v>5.45</x:v>
      </x:c>
      <x:c r="G2075" s="4" t="n">
        <x:v>22</x:v>
      </x:c>
      <x:c r="H2075" s="4" t="n">
        <x:v>90.14</x:v>
      </x:c>
      <x:c r="I2075" s="5" t="n">
        <x:f t="shared" si="32">F2075*1000*H2075</x:f>
        <x:v>491263</x:v>
      </x:c>
      <x:c r="J2075" t="n">
        <x:v>5.45</x:v>
      </x:c>
    </x:row>
    <x:row r="2076">
      <x:c r="A2076" s="3" t="n">
        <x:v>2023</x:v>
      </x:c>
      <x:c r="B2076" s="2" t="str">
        <x:v>Noviembre</x:v>
      </x:c>
      <x:c r="C2076" s="2" t="str">
        <x:v>RE-112721-1</x:v>
      </x:c>
      <x:c r="D2076" s="2" t="str">
        <x:v>Parque eólico Muxia II</x:v>
      </x:c>
      <x:c r="E2076" s="4" t="n">
        <x:v>5.364</x:v>
      </x:c>
      <x:c r="F2076" s="4" t="n">
        <x:f>J2076*0.96</x:f>
        <x:v>5.0102400000000005</x:v>
      </x:c>
      <x:c r="G2076" s="4" t="n">
        <x:v>22</x:v>
      </x:c>
      <x:c r="H2076" s="4" t="n">
        <x:v>63.45</x:v>
      </x:c>
      <x:c r="I2076" s="5" t="n">
        <x:f t="shared" si="32">F2076*1000*H2076</x:f>
        <x:v>317899.72800000006</x:v>
      </x:c>
      <x:c r="J2076" t="n">
        <x:v>5.219</x:v>
      </x:c>
    </x:row>
    <x:row r="2077">
      <x:c r="A2077" s="3" t="n">
        <x:v>2023</x:v>
      </x:c>
      <x:c r="B2077" s="2" t="str">
        <x:v>Diciembre</x:v>
      </x:c>
      <x:c r="C2077" s="2" t="str">
        <x:v>RE-112721-1</x:v>
      </x:c>
      <x:c r="D2077" s="2" t="str">
        <x:v>Parque eólico Muxia II</x:v>
      </x:c>
      <x:c r="E2077" s="4" t="n">
        <x:v>6.356</x:v>
      </x:c>
      <x:c r="F2077" s="4" t="n">
        <x:f>J2077*1.03</x:f>
        <x:v>6.4375</x:v>
      </x:c>
      <x:c r="G2077" s="4" t="n">
        <x:v>22</x:v>
      </x:c>
      <x:c r="H2077" s="4" t="n">
        <x:v>72.17</x:v>
      </x:c>
      <x:c r="I2077" s="5" t="n">
        <x:f t="shared" si="32">F2077*1000*H2077</x:f>
        <x:v>464594.375</x:v>
      </x:c>
      <x:c r="J2077" t="n">
        <x:v>6.25</x:v>
      </x:c>
    </x:row>
    <x:row r="2078">
      <x:c r="A2078" s="3" t="n">
        <x:v>2023</x:v>
      </x:c>
      <x:c r="B2078" s="2" t="str">
        <x:v>Enero</x:v>
      </x:c>
      <x:c r="C2078" s="2" t="str">
        <x:v>RE-112854-1</x:v>
      </x:c>
      <x:c r="D2078" s="2" t="str">
        <x:v>Parque eólico Montes de Abella</x:v>
      </x:c>
      <x:c r="E2078" s="4" t="n">
        <x:v>3.696</x:v>
      </x:c>
      <x:c r="F2078" s="4" t="n">
        <x:f>J2078*0.99</x:f>
        <x:v>3.564</x:v>
      </x:c>
      <x:c r="G2078" s="4" t="n">
        <x:v>15</x:v>
      </x:c>
      <x:c r="H2078" s="4" t="n">
        <x:v>69.55</x:v>
      </x:c>
      <x:c r="I2078" s="5" t="n">
        <x:f t="shared" si="32">F2078*1000*H2078</x:f>
        <x:v>247876.19999999998</x:v>
      </x:c>
      <x:c r="J2078" t="n">
        <x:v>3.6</x:v>
      </x:c>
    </x:row>
    <x:row r="2079">
      <x:c r="A2079" s="3" t="n">
        <x:v>2023</x:v>
      </x:c>
      <x:c r="B2079" s="2" t="str">
        <x:v>Febrero</x:v>
      </x:c>
      <x:c r="C2079" s="2" t="str">
        <x:v>RE-112854-1</x:v>
      </x:c>
      <x:c r="D2079" s="2" t="str">
        <x:v>Parque eólico Montes de Abella</x:v>
      </x:c>
      <x:c r="E2079" s="4" t="n">
        <x:v>3.485</x:v>
      </x:c>
      <x:c r="F2079" s="4" t="n">
        <x:f>J2079*0.95</x:f>
        <x:v>3.2537499999999997</x:v>
      </x:c>
      <x:c r="G2079" s="4" t="n">
        <x:v>15</x:v>
      </x:c>
      <x:c r="H2079" s="4" t="n">
        <x:v>133.47</x:v>
      </x:c>
      <x:c r="I2079" s="5" t="n">
        <x:f t="shared" si="32">F2079*1000*H2079</x:f>
        <x:v>434278.01249999995</x:v>
      </x:c>
      <x:c r="J2079" t="n">
        <x:v>3.425</x:v>
      </x:c>
    </x:row>
    <x:row r="2080">
      <x:c r="A2080" s="3" t="n">
        <x:v>2023</x:v>
      </x:c>
      <x:c r="B2080" s="2" t="str">
        <x:v>Marzo</x:v>
      </x:c>
      <x:c r="C2080" s="2" t="str">
        <x:v>RE-112854-1</x:v>
      </x:c>
      <x:c r="D2080" s="2" t="str">
        <x:v>Parque eólico Montes de Abella</x:v>
      </x:c>
      <x:c r="E2080" s="4" t="n">
        <x:v>3.267</x:v>
      </x:c>
      <x:c r="F2080" s="4" t="n">
        <x:f>J2080*1.02</x:f>
        <x:v>3.2588999999999997</x:v>
      </x:c>
      <x:c r="G2080" s="4" t="n">
        <x:v>15</x:v>
      </x:c>
      <x:c r="H2080" s="4" t="n">
        <x:v>89.61</x:v>
      </x:c>
      <x:c r="I2080" s="5" t="n">
        <x:f t="shared" si="32">F2080*1000*H2080</x:f>
        <x:v>292030.029</x:v>
      </x:c>
      <x:c r="J2080" t="n">
        <x:v>3.195</x:v>
      </x:c>
    </x:row>
    <x:row r="2081">
      <x:c r="A2081" s="3" t="n">
        <x:v>2023</x:v>
      </x:c>
      <x:c r="B2081" s="2" t="str">
        <x:v>Abril</x:v>
      </x:c>
      <x:c r="C2081" s="2" t="str">
        <x:v>RE-112854-1</x:v>
      </x:c>
      <x:c r="D2081" s="2" t="str">
        <x:v>Parque eólico Montes de Abella</x:v>
      </x:c>
      <x:c r="E2081" s="4" t="n">
        <x:v>3.374</x:v>
      </x:c>
      <x:c r="F2081" s="4" t="n">
        <x:f>J2081*0.98</x:f>
        <x:v>3.24478</x:v>
      </x:c>
      <x:c r="G2081" s="4" t="n">
        <x:v>15</x:v>
      </x:c>
      <x:c r="H2081" s="4" t="n">
        <x:v>73.73</x:v>
      </x:c>
      <x:c r="I2081" s="5" t="n">
        <x:f t="shared" si="32">F2081*1000*H2081</x:f>
        <x:v>239237.62940000003</x:v>
      </x:c>
      <x:c r="J2081" t="n">
        <x:v>3.311</x:v>
      </x:c>
    </x:row>
    <x:row r="2082">
      <x:c r="A2082" s="3" t="n">
        <x:v>2023</x:v>
      </x:c>
      <x:c r="B2082" s="2" t="str">
        <x:v>Mayo</x:v>
      </x:c>
      <x:c r="C2082" s="2" t="str">
        <x:v>RE-112854-1</x:v>
      </x:c>
      <x:c r="D2082" s="2" t="str">
        <x:v>Parque eólico Montes de Abella</x:v>
      </x:c>
      <x:c r="E2082" s="4" t="n">
        <x:v>2.954</x:v>
      </x:c>
      <x:c r="F2082" s="4" t="n">
        <x:f>J2082*0.94</x:f>
        <x:v>2.7344599999999994</x:v>
      </x:c>
      <x:c r="G2082" s="4" t="n">
        <x:v>15</x:v>
      </x:c>
      <x:c r="H2082" s="4" t="n">
        <x:v>74.21</x:v>
      </x:c>
      <x:c r="I2082" s="5" t="n">
        <x:f t="shared" si="32">F2082*1000*H2082</x:f>
        <x:v>202924.27659999995</x:v>
      </x:c>
      <x:c r="J2082" t="n">
        <x:v>2.909</x:v>
      </x:c>
    </x:row>
    <x:row r="2083">
      <x:c r="A2083" s="3" t="n">
        <x:v>2023</x:v>
      </x:c>
      <x:c r="B2083" s="2" t="str">
        <x:v>Junio</x:v>
      </x:c>
      <x:c r="C2083" s="2" t="str">
        <x:v>RE-112854-1</x:v>
      </x:c>
      <x:c r="D2083" s="2" t="str">
        <x:v>Parque eólico Montes de Abella</x:v>
      </x:c>
      <x:c r="E2083" s="4" t="n">
        <x:v>2.296</x:v>
      </x:c>
      <x:c r="F2083" s="4" t="n">
        <x:f>J2083*1.01</x:f>
        <x:v>2.27048</x:v>
      </x:c>
      <x:c r="G2083" s="4" t="n">
        <x:v>15</x:v>
      </x:c>
      <x:c r="H2083" s="4" t="n">
        <x:v>93.02</x:v>
      </x:c>
      <x:c r="I2083" s="5" t="n">
        <x:f t="shared" si="32">F2083*1000*H2083</x:f>
        <x:v>211200.0496</x:v>
      </x:c>
      <x:c r="J2083" t="n">
        <x:v>2.248</x:v>
      </x:c>
    </x:row>
    <x:row r="2084">
      <x:c r="A2084" s="3" t="n">
        <x:v>2023</x:v>
      </x:c>
      <x:c r="B2084" s="2" t="str">
        <x:v>Julio</x:v>
      </x:c>
      <x:c r="C2084" s="2" t="str">
        <x:v>RE-112854-1</x:v>
      </x:c>
      <x:c r="D2084" s="2" t="str">
        <x:v>Parque eólico Montes de Abella</x:v>
      </x:c>
      <x:c r="E2084" s="4" t="n">
        <x:v>2.273</x:v>
      </x:c>
      <x:c r="F2084" s="4" t="n">
        <x:f>J2084*0.97</x:f>
        <x:v>2.15049</x:v>
      </x:c>
      <x:c r="G2084" s="4" t="n">
        <x:v>15</x:v>
      </x:c>
      <x:c r="H2084" s="4" t="n">
        <x:v>90.47</x:v>
      </x:c>
      <x:c r="I2084" s="5" t="n">
        <x:f t="shared" si="32">F2084*1000*H2084</x:f>
        <x:v>194554.83030000003</x:v>
      </x:c>
      <x:c r="J2084" t="n">
        <x:v>2.217</x:v>
      </x:c>
    </x:row>
    <x:row r="2085">
      <x:c r="A2085" s="3" t="n">
        <x:v>2023</x:v>
      </x:c>
      <x:c r="B2085" s="2" t="str">
        <x:v>Agosto</x:v>
      </x:c>
      <x:c r="C2085" s="2" t="str">
        <x:v>RE-112854-1</x:v>
      </x:c>
      <x:c r="D2085" s="2" t="str">
        <x:v>Parque eólico Montes de Abella</x:v>
      </x:c>
      <x:c r="E2085" s="4" t="n">
        <x:v>2.51</x:v>
      </x:c>
      <x:c r="F2085" s="4" t="n">
        <x:f>J2085*1.04</x:f>
        <x:v>2.5272</x:v>
      </x:c>
      <x:c r="G2085" s="4" t="n">
        <x:v>15</x:v>
      </x:c>
      <x:c r="H2085" s="4" t="n">
        <x:v>96.05</x:v>
      </x:c>
      <x:c r="I2085" s="5" t="n">
        <x:f t="shared" si="32">F2085*1000*H2085</x:f>
        <x:v>242737.56000000003</x:v>
      </x:c>
      <x:c r="J2085" t="n">
        <x:v>2.43</x:v>
      </x:c>
    </x:row>
    <x:row r="2086">
      <x:c r="A2086" s="3" t="n">
        <x:v>2023</x:v>
      </x:c>
      <x:c r="B2086" s="2" t="str">
        <x:v>Septiembre</x:v>
      </x:c>
      <x:c r="C2086" s="2" t="str">
        <x:v>RE-112854-1</x:v>
      </x:c>
      <x:c r="D2086" s="2" t="str">
        <x:v>Parque eólico Montes de Abella</x:v>
      </x:c>
      <x:c r="E2086" s="4" t="n">
        <x:v>2.462</x:v>
      </x:c>
      <x:c r="F2086" s="4" t="n">
        <x:f>J2086*1</x:f>
        <x:v>2.419</x:v>
      </x:c>
      <x:c r="G2086" s="4" t="n">
        <x:v>15</x:v>
      </x:c>
      <x:c r="H2086" s="4" t="n">
        <x:v>103.34</x:v>
      </x:c>
      <x:c r="I2086" s="5" t="n">
        <x:f t="shared" si="32">F2086*1000*H2086</x:f>
        <x:v>249979.46000000002</x:v>
      </x:c>
      <x:c r="J2086" t="n">
        <x:v>2.419</x:v>
      </x:c>
    </x:row>
    <x:row r="2087">
      <x:c r="A2087" s="3" t="n">
        <x:v>2023</x:v>
      </x:c>
      <x:c r="B2087" s="2" t="str">
        <x:v>Octubre</x:v>
      </x:c>
      <x:c r="C2087" s="2" t="str">
        <x:v>RE-112854-1</x:v>
      </x:c>
      <x:c r="D2087" s="2" t="str">
        <x:v>Parque eólico Montes de Abella</x:v>
      </x:c>
      <x:c r="E2087" s="4" t="n">
        <x:v>3.692</x:v>
      </x:c>
      <x:c r="F2087" s="4" t="n">
        <x:f>J2087*0.96</x:f>
        <x:v>3.4608</x:v>
      </x:c>
      <x:c r="G2087" s="4" t="n">
        <x:v>15</x:v>
      </x:c>
      <x:c r="H2087" s="4" t="n">
        <x:v>90.14</x:v>
      </x:c>
      <x:c r="I2087" s="5" t="n">
        <x:f t="shared" si="32">F2087*1000*H2087</x:f>
        <x:v>311956.512</x:v>
      </x:c>
      <x:c r="J2087" t="n">
        <x:v>3.605</x:v>
      </x:c>
    </x:row>
    <x:row r="2088">
      <x:c r="A2088" s="3" t="n">
        <x:v>2023</x:v>
      </x:c>
      <x:c r="B2088" s="2" t="str">
        <x:v>Noviembre</x:v>
      </x:c>
      <x:c r="C2088" s="2" t="str">
        <x:v>RE-112854-1</x:v>
      </x:c>
      <x:c r="D2088" s="2" t="str">
        <x:v>Parque eólico Montes de Abella</x:v>
      </x:c>
      <x:c r="E2088" s="4" t="n">
        <x:v>3.821</x:v>
      </x:c>
      <x:c r="F2088" s="4" t="n">
        <x:f>J2088*1.03</x:f>
        <x:v>3.8480800000000004</x:v>
      </x:c>
      <x:c r="G2088" s="4" t="n">
        <x:v>15</x:v>
      </x:c>
      <x:c r="H2088" s="4" t="n">
        <x:v>63.45</x:v>
      </x:c>
      <x:c r="I2088" s="5" t="n">
        <x:f t="shared" si="32">F2088*1000*H2088</x:f>
        <x:v>244160.67600000004</x:v>
      </x:c>
      <x:c r="J2088" t="n">
        <x:v>3.736</x:v>
      </x:c>
    </x:row>
    <x:row r="2089">
      <x:c r="A2089" s="3" t="n">
        <x:v>2023</x:v>
      </x:c>
      <x:c r="B2089" s="2" t="str">
        <x:v>Diciembre</x:v>
      </x:c>
      <x:c r="C2089" s="2" t="str">
        <x:v>RE-112854-1</x:v>
      </x:c>
      <x:c r="D2089" s="2" t="str">
        <x:v>Parque eólico Montes de Abella</x:v>
      </x:c>
      <x:c r="E2089" s="4" t="n">
        <x:v>4.714</x:v>
      </x:c>
      <x:c r="F2089" s="4" t="n">
        <x:f>J2089*0.99</x:f>
        <x:v>4.59657</x:v>
      </x:c>
      <x:c r="G2089" s="4" t="n">
        <x:v>15</x:v>
      </x:c>
      <x:c r="H2089" s="4" t="n">
        <x:v>72.17</x:v>
      </x:c>
      <x:c r="I2089" s="5" t="n">
        <x:f t="shared" si="32">F2089*1000*H2089</x:f>
        <x:v>331734.4569</x:v>
      </x:c>
      <x:c r="J2089" t="n">
        <x:v>4.643</x:v>
      </x:c>
    </x:row>
    <x:row r="2090">
      <x:c r="A2090" s="3" t="n">
        <x:v>2023</x:v>
      </x:c>
      <x:c r="B2090" s="2" t="str">
        <x:v>Enero</x:v>
      </x:c>
      <x:c r="C2090" s="2" t="str">
        <x:v>RE-112891-1</x:v>
      </x:c>
      <x:c r="D2090" s="2" t="str">
        <x:v>Parque eólico Neda</x:v>
      </x:c>
      <x:c r="E2090" s="4" t="n">
        <x:v>9.198</x:v>
      </x:c>
      <x:c r="F2090" s="4" t="n">
        <x:f>J2090*0.95</x:f>
        <x:v>8.565199999999999</x:v>
      </x:c>
      <x:c r="G2090" s="4" t="n">
        <x:v>34.65</x:v>
      </x:c>
      <x:c r="H2090" s="4" t="n">
        <x:v>69.55</x:v>
      </x:c>
      <x:c r="I2090" s="5" t="n">
        <x:f t="shared" si="32">F2090*1000*H2090</x:f>
        <x:v>595709.6599999999</x:v>
      </x:c>
      <x:c r="J2090" t="n">
        <x:v>9.016</x:v>
      </x:c>
    </x:row>
    <x:row r="2091">
      <x:c r="A2091" s="3" t="n">
        <x:v>2023</x:v>
      </x:c>
      <x:c r="B2091" s="2" t="str">
        <x:v>Febrero</x:v>
      </x:c>
      <x:c r="C2091" s="2" t="str">
        <x:v>RE-112891-1</x:v>
      </x:c>
      <x:c r="D2091" s="2" t="str">
        <x:v>Parque eólico Neda</x:v>
      </x:c>
      <x:c r="E2091" s="4" t="n">
        <x:v>7.055</x:v>
      </x:c>
      <x:c r="F2091" s="4" t="n">
        <x:f>J2091*1.02</x:f>
        <x:v>7.00944</x:v>
      </x:c>
      <x:c r="G2091" s="4" t="n">
        <x:v>34.65</x:v>
      </x:c>
      <x:c r="H2091" s="4" t="n">
        <x:v>133.47</x:v>
      </x:c>
      <x:c r="I2091" s="5" t="n">
        <x:f t="shared" si="32">F2091*1000*H2091</x:f>
        <x:v>935549.9567999999</x:v>
      </x:c>
      <x:c r="J2091" t="n">
        <x:v>6.872</x:v>
      </x:c>
    </x:row>
    <x:row r="2092">
      <x:c r="A2092" s="3" t="n">
        <x:v>2023</x:v>
      </x:c>
      <x:c r="B2092" s="2" t="str">
        <x:v>Marzo</x:v>
      </x:c>
      <x:c r="C2092" s="2" t="str">
        <x:v>RE-112891-1</x:v>
      </x:c>
      <x:c r="D2092" s="2" t="str">
        <x:v>Parque eólico Neda</x:v>
      </x:c>
      <x:c r="E2092" s="4" t="n">
        <x:v>9.252</x:v>
      </x:c>
      <x:c r="F2092" s="4" t="n">
        <x:f>J2092*0.98</x:f>
        <x:v>8.87586</x:v>
      </x:c>
      <x:c r="G2092" s="4" t="n">
        <x:v>34.65</x:v>
      </x:c>
      <x:c r="H2092" s="4" t="n">
        <x:v>89.61</x:v>
      </x:c>
      <x:c r="I2092" s="5" t="n">
        <x:f t="shared" si="32">F2092*1000*H2092</x:f>
        <x:v>795365.8145999999</x:v>
      </x:c>
      <x:c r="J2092" t="n">
        <x:v>9.057</x:v>
      </x:c>
    </x:row>
    <x:row r="2093">
      <x:c r="A2093" s="3" t="n">
        <x:v>2023</x:v>
      </x:c>
      <x:c r="B2093" s="2" t="str">
        <x:v>Abril</x:v>
      </x:c>
      <x:c r="C2093" s="2" t="str">
        <x:v>RE-112891-1</x:v>
      </x:c>
      <x:c r="D2093" s="2" t="str">
        <x:v>Parque eólico Neda</x:v>
      </x:c>
      <x:c r="E2093" s="4" t="n">
        <x:v>7.515</x:v>
      </x:c>
      <x:c r="F2093" s="4" t="n">
        <x:f>J2093*0.94</x:f>
        <x:v>6.94566</x:v>
      </x:c>
      <x:c r="G2093" s="4" t="n">
        <x:v>34.65</x:v>
      </x:c>
      <x:c r="H2093" s="4" t="n">
        <x:v>73.73</x:v>
      </x:c>
      <x:c r="I2093" s="5" t="n">
        <x:f t="shared" si="32">F2093*1000*H2093</x:f>
        <x:v>512103.51180000004</x:v>
      </x:c>
      <x:c r="J2093" t="n">
        <x:v>7.389</x:v>
      </x:c>
    </x:row>
    <x:row r="2094">
      <x:c r="A2094" s="3" t="n">
        <x:v>2023</x:v>
      </x:c>
      <x:c r="B2094" s="2" t="str">
        <x:v>Mayo</x:v>
      </x:c>
      <x:c r="C2094" s="2" t="str">
        <x:v>RE-112891-1</x:v>
      </x:c>
      <x:c r="D2094" s="2" t="str">
        <x:v>Parque eólico Neda</x:v>
      </x:c>
      <x:c r="E2094" s="4" t="n">
        <x:v>6.828</x:v>
      </x:c>
      <x:c r="F2094" s="4" t="n">
        <x:f>J2094*1.01</x:f>
        <x:v>6.69327</x:v>
      </x:c>
      <x:c r="G2094" s="4" t="n">
        <x:v>34.65</x:v>
      </x:c>
      <x:c r="H2094" s="4" t="n">
        <x:v>74.21</x:v>
      </x:c>
      <x:c r="I2094" s="5" t="n">
        <x:f t="shared" si="32">F2094*1000*H2094</x:f>
        <x:v>496707.56669999997</x:v>
      </x:c>
      <x:c r="J2094" t="n">
        <x:v>6.627</x:v>
      </x:c>
    </x:row>
    <x:row r="2095">
      <x:c r="A2095" s="3" t="n">
        <x:v>2023</x:v>
      </x:c>
      <x:c r="B2095" s="2" t="str">
        <x:v>Junio</x:v>
      </x:c>
      <x:c r="C2095" s="2" t="str">
        <x:v>RE-112891-1</x:v>
      </x:c>
      <x:c r="D2095" s="2" t="str">
        <x:v>Parque eólico Neda</x:v>
      </x:c>
      <x:c r="E2095" s="4" t="n">
        <x:v>5.277</x:v>
      </x:c>
      <x:c r="F2095" s="4" t="n">
        <x:f>J2095*0.97</x:f>
        <x:v>5.00811</x:v>
      </x:c>
      <x:c r="G2095" s="4" t="n">
        <x:v>34.65</x:v>
      </x:c>
      <x:c r="H2095" s="4" t="n">
        <x:v>93.02</x:v>
      </x:c>
      <x:c r="I2095" s="5" t="n">
        <x:f t="shared" si="32">F2095*1000*H2095</x:f>
        <x:v>465854.39220000006</x:v>
      </x:c>
      <x:c r="J2095" t="n">
        <x:v>5.163</x:v>
      </x:c>
    </x:row>
    <x:row r="2096">
      <x:c r="A2096" s="3" t="n">
        <x:v>2023</x:v>
      </x:c>
      <x:c r="B2096" s="2" t="str">
        <x:v>Julio</x:v>
      </x:c>
      <x:c r="C2096" s="2" t="str">
        <x:v>RE-112891-1</x:v>
      </x:c>
      <x:c r="D2096" s="2" t="str">
        <x:v>Parque eólico Neda</x:v>
      </x:c>
      <x:c r="E2096" s="4" t="n">
        <x:v>4.45</x:v>
      </x:c>
      <x:c r="F2096" s="4" t="n">
        <x:f>J2096*1.04</x:f>
        <x:v>4.528160000000001</x:v>
      </x:c>
      <x:c r="G2096" s="4" t="n">
        <x:v>34.65</x:v>
      </x:c>
      <x:c r="H2096" s="4" t="n">
        <x:v>90.47</x:v>
      </x:c>
      <x:c r="I2096" s="5" t="n">
        <x:f t="shared" si="32">F2096*1000*H2096</x:f>
        <x:v>409662.6352000001</x:v>
      </x:c>
      <x:c r="J2096" t="n">
        <x:v>4.354</x:v>
      </x:c>
    </x:row>
    <x:row r="2097">
      <x:c r="A2097" s="3" t="n">
        <x:v>2023</x:v>
      </x:c>
      <x:c r="B2097" s="2" t="str">
        <x:v>Agosto</x:v>
      </x:c>
      <x:c r="C2097" s="2" t="str">
        <x:v>RE-112891-1</x:v>
      </x:c>
      <x:c r="D2097" s="2" t="str">
        <x:v>Parque eólico Neda</x:v>
      </x:c>
      <x:c r="E2097" s="4" t="n">
        <x:v>5.24</x:v>
      </x:c>
      <x:c r="F2097" s="4" t="n">
        <x:f>J2097*1</x:f>
        <x:v>5.097</x:v>
      </x:c>
      <x:c r="G2097" s="4" t="n">
        <x:v>34.65</x:v>
      </x:c>
      <x:c r="H2097" s="4" t="n">
        <x:v>96.05</x:v>
      </x:c>
      <x:c r="I2097" s="5" t="n">
        <x:f t="shared" si="32">F2097*1000*H2097</x:f>
        <x:v>489566.85</x:v>
      </x:c>
      <x:c r="J2097" t="n">
        <x:v>5.097</x:v>
      </x:c>
    </x:row>
    <x:row r="2098">
      <x:c r="A2098" s="3" t="n">
        <x:v>2023</x:v>
      </x:c>
      <x:c r="B2098" s="2" t="str">
        <x:v>Septiembre</x:v>
      </x:c>
      <x:c r="C2098" s="2" t="str">
        <x:v>RE-112891-1</x:v>
      </x:c>
      <x:c r="D2098" s="2" t="str">
        <x:v>Parque eólico Neda</x:v>
      </x:c>
      <x:c r="E2098" s="4" t="n">
        <x:v>6.286</x:v>
      </x:c>
      <x:c r="F2098" s="4" t="n">
        <x:f>J2098*0.96</x:f>
        <x:v>5.85792</x:v>
      </x:c>
      <x:c r="G2098" s="4" t="n">
        <x:v>34.65</x:v>
      </x:c>
      <x:c r="H2098" s="4" t="n">
        <x:v>103.34</x:v>
      </x:c>
      <x:c r="I2098" s="5" t="n">
        <x:f t="shared" si="32">F2098*1000*H2098</x:f>
        <x:v>605357.4528</x:v>
      </x:c>
      <x:c r="J2098" t="n">
        <x:v>6.102</x:v>
      </x:c>
    </x:row>
    <x:row r="2099">
      <x:c r="A2099" s="3" t="n">
        <x:v>2023</x:v>
      </x:c>
      <x:c r="B2099" s="2" t="str">
        <x:v>Octubre</x:v>
      </x:c>
      <x:c r="C2099" s="2" t="str">
        <x:v>RE-112891-1</x:v>
      </x:c>
      <x:c r="D2099" s="2" t="str">
        <x:v>Parque eólico Neda</x:v>
      </x:c>
      <x:c r="E2099" s="4" t="n">
        <x:v>6.933</x:v>
      </x:c>
      <x:c r="F2099" s="4" t="n">
        <x:f>J2099*1.03</x:f>
        <x:v>6.95662</x:v>
      </x:c>
      <x:c r="G2099" s="4" t="n">
        <x:v>34.65</x:v>
      </x:c>
      <x:c r="H2099" s="4" t="n">
        <x:v>90.14</x:v>
      </x:c>
      <x:c r="I2099" s="5" t="n">
        <x:f t="shared" si="32">F2099*1000*H2099</x:f>
        <x:v>627069.7268</x:v>
      </x:c>
      <x:c r="J2099" t="n">
        <x:v>6.754</x:v>
      </x:c>
    </x:row>
    <x:row r="2100">
      <x:c r="A2100" s="3" t="n">
        <x:v>2023</x:v>
      </x:c>
      <x:c r="B2100" s="2" t="str">
        <x:v>Noviembre</x:v>
      </x:c>
      <x:c r="C2100" s="2" t="str">
        <x:v>RE-112891-1</x:v>
      </x:c>
      <x:c r="D2100" s="2" t="str">
        <x:v>Parque eólico Neda</x:v>
      </x:c>
      <x:c r="E2100" s="4" t="n">
        <x:v>7.749</x:v>
      </x:c>
      <x:c r="F2100" s="4" t="n">
        <x:f>J2100*0.99</x:f>
        <x:v>7.47549</x:v>
      </x:c>
      <x:c r="G2100" s="4" t="n">
        <x:v>34.65</x:v>
      </x:c>
      <x:c r="H2100" s="4" t="n">
        <x:v>63.45</x:v>
      </x:c>
      <x:c r="I2100" s="5" t="n">
        <x:f t="shared" si="32">F2100*1000*H2100</x:f>
        <x:v>474319.8405</x:v>
      </x:c>
      <x:c r="J2100" t="n">
        <x:v>7.551</x:v>
      </x:c>
    </x:row>
    <x:row r="2101">
      <x:c r="A2101" s="3" t="n">
        <x:v>2023</x:v>
      </x:c>
      <x:c r="B2101" s="2" t="str">
        <x:v>Diciembre</x:v>
      </x:c>
      <x:c r="C2101" s="2" t="str">
        <x:v>RE-112891-1</x:v>
      </x:c>
      <x:c r="D2101" s="2" t="str">
        <x:v>Parque eólico Neda</x:v>
      </x:c>
      <x:c r="E2101" s="4" t="n">
        <x:v>10.985</x:v>
      </x:c>
      <x:c r="F2101" s="4" t="n">
        <x:f>J2101*0.95</x:f>
        <x:v>10.21725</x:v>
      </x:c>
      <x:c r="G2101" s="4" t="n">
        <x:v>34.65</x:v>
      </x:c>
      <x:c r="H2101" s="4" t="n">
        <x:v>72.17</x:v>
      </x:c>
      <x:c r="I2101" s="5" t="n">
        <x:f t="shared" si="32">F2101*1000*H2101</x:f>
        <x:v>737378.9325</x:v>
      </x:c>
      <x:c r="J2101" t="n">
        <x:v>10.755</x:v>
      </x:c>
    </x:row>
    <x:row r="2102">
      <x:c r="A2102" s="3" t="n">
        <x:v>2023</x:v>
      </x:c>
      <x:c r="B2102" s="2" t="str">
        <x:v>Enero</x:v>
      </x:c>
      <x:c r="C2102" s="2" t="str">
        <x:v>RE-112892-1</x:v>
      </x:c>
      <x:c r="D2102" s="2" t="str">
        <x:v>Parque eólico Sasdónigas</x:v>
      </x:c>
      <x:c r="E2102" s="4" t="n">
        <x:v>4.926</x:v>
      </x:c>
      <x:c r="F2102" s="4" t="n">
        <x:f>J2102*1.02</x:f>
        <x:v>4.88988</x:v>
      </x:c>
      <x:c r="G2102" s="4" t="n">
        <x:v>18</x:v>
      </x:c>
      <x:c r="H2102" s="4" t="n">
        <x:v>69.55</x:v>
      </x:c>
      <x:c r="I2102" s="5" t="n">
        <x:f t="shared" si="32">F2102*1000*H2102</x:f>
        <x:v>340091.154</x:v>
      </x:c>
      <x:c r="J2102" t="n">
        <x:v>4.794</x:v>
      </x:c>
    </x:row>
    <x:row r="2103">
      <x:c r="A2103" s="3" t="n">
        <x:v>2023</x:v>
      </x:c>
      <x:c r="B2103" s="2" t="str">
        <x:v>Febrero</x:v>
      </x:c>
      <x:c r="C2103" s="2" t="str">
        <x:v>RE-112892-1</x:v>
      </x:c>
      <x:c r="D2103" s="2" t="str">
        <x:v>Parque eólico Sasdónigas</x:v>
      </x:c>
      <x:c r="E2103" s="4" t="n">
        <x:v>5.27</x:v>
      </x:c>
      <x:c r="F2103" s="4" t="n">
        <x:f>J2103*0.98</x:f>
        <x:v>5.07444</x:v>
      </x:c>
      <x:c r="G2103" s="4" t="n">
        <x:v>18</x:v>
      </x:c>
      <x:c r="H2103" s="4" t="n">
        <x:v>133.47</x:v>
      </x:c>
      <x:c r="I2103" s="5" t="n">
        <x:f t="shared" si="32">F2103*1000*H2103</x:f>
        <x:v>677285.5068000001</x:v>
      </x:c>
      <x:c r="J2103" t="n">
        <x:v>5.178</x:v>
      </x:c>
    </x:row>
    <x:row r="2104">
      <x:c r="A2104" s="3" t="n">
        <x:v>2023</x:v>
      </x:c>
      <x:c r="B2104" s="2" t="str">
        <x:v>Marzo</x:v>
      </x:c>
      <x:c r="C2104" s="2" t="str">
        <x:v>RE-112892-1</x:v>
      </x:c>
      <x:c r="D2104" s="2" t="str">
        <x:v>Parque eólico Sasdónigas</x:v>
      </x:c>
      <x:c r="E2104" s="4" t="n">
        <x:v>4.647</x:v>
      </x:c>
      <x:c r="F2104" s="4" t="n">
        <x:f>J2104*0.94</x:f>
        <x:v>4.22812</x:v>
      </x:c>
      <x:c r="G2104" s="4" t="n">
        <x:v>18</x:v>
      </x:c>
      <x:c r="H2104" s="4" t="n">
        <x:v>89.61</x:v>
      </x:c>
      <x:c r="I2104" s="5" t="n">
        <x:f t="shared" si="32">F2104*1000*H2104</x:f>
        <x:v>378881.8332</x:v>
      </x:c>
      <x:c r="J2104" t="n">
        <x:v>4.498</x:v>
      </x:c>
    </x:row>
    <x:row r="2105">
      <x:c r="A2105" s="3" t="n">
        <x:v>2023</x:v>
      </x:c>
      <x:c r="B2105" s="2" t="str">
        <x:v>Abril</x:v>
      </x:c>
      <x:c r="C2105" s="2" t="str">
        <x:v>RE-112892-1</x:v>
      </x:c>
      <x:c r="D2105" s="2" t="str">
        <x:v>Parque eólico Sasdónigas</x:v>
      </x:c>
      <x:c r="E2105" s="4" t="n">
        <x:v>4.022</x:v>
      </x:c>
      <x:c r="F2105" s="4" t="n">
        <x:f>J2105*1.01</x:f>
        <x:v>3.94405</x:v>
      </x:c>
      <x:c r="G2105" s="4" t="n">
        <x:v>18</x:v>
      </x:c>
      <x:c r="H2105" s="4" t="n">
        <x:v>73.73</x:v>
      </x:c>
      <x:c r="I2105" s="5" t="n">
        <x:f t="shared" si="32">F2105*1000*H2105</x:f>
        <x:v>290794.8065</x:v>
      </x:c>
      <x:c r="J2105" t="n">
        <x:v>3.905</x:v>
      </x:c>
    </x:row>
    <x:row r="2106">
      <x:c r="A2106" s="3" t="n">
        <x:v>2023</x:v>
      </x:c>
      <x:c r="B2106" s="2" t="str">
        <x:v>Mayo</x:v>
      </x:c>
      <x:c r="C2106" s="2" t="str">
        <x:v>RE-112892-1</x:v>
      </x:c>
      <x:c r="D2106" s="2" t="str">
        <x:v>Parque eólico Sasdónigas</x:v>
      </x:c>
      <x:c r="E2106" s="4" t="n">
        <x:v>3.911</x:v>
      </x:c>
      <x:c r="F2106" s="4" t="n">
        <x:f>J2106*0.97</x:f>
        <x:v>3.71995</x:v>
      </x:c>
      <x:c r="G2106" s="4" t="n">
        <x:v>18</x:v>
      </x:c>
      <x:c r="H2106" s="4" t="n">
        <x:v>74.21</x:v>
      </x:c>
      <x:c r="I2106" s="5" t="n">
        <x:f t="shared" si="32">F2106*1000*H2106</x:f>
        <x:v>276057.48949999997</x:v>
      </x:c>
      <x:c r="J2106" t="n">
        <x:v>3.835</x:v>
      </x:c>
    </x:row>
    <x:row r="2107">
      <x:c r="A2107" s="3" t="n">
        <x:v>2023</x:v>
      </x:c>
      <x:c r="B2107" s="2" t="str">
        <x:v>Junio</x:v>
      </x:c>
      <x:c r="C2107" s="2" t="str">
        <x:v>RE-112892-1</x:v>
      </x:c>
      <x:c r="D2107" s="2" t="str">
        <x:v>Parque eólico Sasdónigas</x:v>
      </x:c>
      <x:c r="E2107" s="4" t="n">
        <x:v>2.742</x:v>
      </x:c>
      <x:c r="F2107" s="4" t="n">
        <x:f>J2107*1.04</x:f>
        <x:v>2.7861599999999997</x:v>
      </x:c>
      <x:c r="G2107" s="4" t="n">
        <x:v>18</x:v>
      </x:c>
      <x:c r="H2107" s="4" t="n">
        <x:v>93.02</x:v>
      </x:c>
      <x:c r="I2107" s="5" t="n">
        <x:f t="shared" si="32">F2107*1000*H2107</x:f>
        <x:v>259168.60319999998</x:v>
      </x:c>
      <x:c r="J2107" t="n">
        <x:v>2.679</x:v>
      </x:c>
    </x:row>
    <x:row r="2108">
      <x:c r="A2108" s="3" t="n">
        <x:v>2023</x:v>
      </x:c>
      <x:c r="B2108" s="2" t="str">
        <x:v>Julio</x:v>
      </x:c>
      <x:c r="C2108" s="2" t="str">
        <x:v>RE-112892-1</x:v>
      </x:c>
      <x:c r="D2108" s="2" t="str">
        <x:v>Parque eólico Sasdónigas</x:v>
      </x:c>
      <x:c r="E2108" s="4" t="n">
        <x:v>3.081</x:v>
      </x:c>
      <x:c r="F2108" s="4" t="n">
        <x:f>J2108*1</x:f>
        <x:v>3.001</x:v>
      </x:c>
      <x:c r="G2108" s="4" t="n">
        <x:v>18</x:v>
      </x:c>
      <x:c r="H2108" s="4" t="n">
        <x:v>90.47</x:v>
      </x:c>
      <x:c r="I2108" s="5" t="n">
        <x:f t="shared" si="32">F2108*1000*H2108</x:f>
        <x:v>271500.47</x:v>
      </x:c>
      <x:c r="J2108" t="n">
        <x:v>3.001</x:v>
      </x:c>
    </x:row>
    <x:row r="2109">
      <x:c r="A2109" s="3" t="n">
        <x:v>2023</x:v>
      </x:c>
      <x:c r="B2109" s="2" t="str">
        <x:v>Agosto</x:v>
      </x:c>
      <x:c r="C2109" s="2" t="str">
        <x:v>RE-112892-1</x:v>
      </x:c>
      <x:c r="D2109" s="2" t="str">
        <x:v>Parque eólico Sasdónigas</x:v>
      </x:c>
      <x:c r="E2109" s="4" t="n">
        <x:v>2.93</x:v>
      </x:c>
      <x:c r="F2109" s="4" t="n">
        <x:f>J2109*0.96</x:f>
        <x:v>2.72736</x:v>
      </x:c>
      <x:c r="G2109" s="4" t="n">
        <x:v>18</x:v>
      </x:c>
      <x:c r="H2109" s="4" t="n">
        <x:v>96.05</x:v>
      </x:c>
      <x:c r="I2109" s="5" t="n">
        <x:f t="shared" si="32">F2109*1000*H2109</x:f>
        <x:v>261962.928</x:v>
      </x:c>
      <x:c r="J2109" t="n">
        <x:v>2.841</x:v>
      </x:c>
    </x:row>
    <x:row r="2110">
      <x:c r="A2110" s="3" t="n">
        <x:v>2023</x:v>
      </x:c>
      <x:c r="B2110" s="2" t="str">
        <x:v>Septiembre</x:v>
      </x:c>
      <x:c r="C2110" s="2" t="str">
        <x:v>RE-112892-1</x:v>
      </x:c>
      <x:c r="D2110" s="2" t="str">
        <x:v>Parque eólico Sasdónigas</x:v>
      </x:c>
      <x:c r="E2110" s="4" t="n">
        <x:v>3.72</x:v>
      </x:c>
      <x:c r="F2110" s="4" t="n">
        <x:f>J2110*1.03</x:f>
        <x:v>3.7399299999999998</x:v>
      </x:c>
      <x:c r="G2110" s="4" t="n">
        <x:v>18</x:v>
      </x:c>
      <x:c r="H2110" s="4" t="n">
        <x:v>103.34</x:v>
      </x:c>
      <x:c r="I2110" s="5" t="n">
        <x:f t="shared" si="32">F2110*1000*H2110</x:f>
        <x:v>386484.3662</x:v>
      </x:c>
      <x:c r="J2110" t="n">
        <x:v>3.631</x:v>
      </x:c>
    </x:row>
    <x:row r="2111">
      <x:c r="A2111" s="3" t="n">
        <x:v>2023</x:v>
      </x:c>
      <x:c r="B2111" s="2" t="str">
        <x:v>Octubre</x:v>
      </x:c>
      <x:c r="C2111" s="2" t="str">
        <x:v>RE-112892-1</x:v>
      </x:c>
      <x:c r="D2111" s="2" t="str">
        <x:v>Parque eólico Sasdónigas</x:v>
      </x:c>
      <x:c r="E2111" s="4" t="n">
        <x:v>4.06</x:v>
      </x:c>
      <x:c r="F2111" s="4" t="n">
        <x:f>J2111*0.99</x:f>
        <x:v>3.9213899999999997</x:v>
      </x:c>
      <x:c r="G2111" s="4" t="n">
        <x:v>18</x:v>
      </x:c>
      <x:c r="H2111" s="4" t="n">
        <x:v>90.14</x:v>
      </x:c>
      <x:c r="I2111" s="5" t="n">
        <x:f t="shared" si="32">F2111*1000*H2111</x:f>
        <x:v>353474.0946</x:v>
      </x:c>
      <x:c r="J2111" t="n">
        <x:v>3.961</x:v>
      </x:c>
    </x:row>
    <x:row r="2112">
      <x:c r="A2112" s="3" t="n">
        <x:v>2023</x:v>
      </x:c>
      <x:c r="B2112" s="2" t="str">
        <x:v>Noviembre</x:v>
      </x:c>
      <x:c r="C2112" s="2" t="str">
        <x:v>RE-112892-1</x:v>
      </x:c>
      <x:c r="D2112" s="2" t="str">
        <x:v>Parque eólico Sasdónigas</x:v>
      </x:c>
      <x:c r="E2112" s="4" t="n">
        <x:v>5.574</x:v>
      </x:c>
      <x:c r="F2112" s="4" t="n">
        <x:f>J2112*0.95</x:f>
        <x:v>5.1775</x:v>
      </x:c>
      <x:c r="G2112" s="4" t="n">
        <x:v>18</x:v>
      </x:c>
      <x:c r="H2112" s="4" t="n">
        <x:v>63.45</x:v>
      </x:c>
      <x:c r="I2112" s="5" t="n">
        <x:f t="shared" si="32">F2112*1000*H2112</x:f>
        <x:v>328512.375</x:v>
      </x:c>
      <x:c r="J2112" t="n">
        <x:v>5.45</x:v>
      </x:c>
    </x:row>
    <x:row r="2113">
      <x:c r="A2113" s="3" t="n">
        <x:v>2023</x:v>
      </x:c>
      <x:c r="B2113" s="2" t="str">
        <x:v>Diciembre</x:v>
      </x:c>
      <x:c r="C2113" s="2" t="str">
        <x:v>RE-112892-1</x:v>
      </x:c>
      <x:c r="D2113" s="2" t="str">
        <x:v>Parque eólico Sasdónigas</x:v>
      </x:c>
      <x:c r="E2113" s="4" t="n">
        <x:v>5.905</x:v>
      </x:c>
      <x:c r="F2113" s="4" t="n">
        <x:f>J2113*1.02</x:f>
        <x:v>5.86194</x:v>
      </x:c>
      <x:c r="G2113" s="4" t="n">
        <x:v>18</x:v>
      </x:c>
      <x:c r="H2113" s="4" t="n">
        <x:v>72.17</x:v>
      </x:c>
      <x:c r="I2113" s="5" t="n">
        <x:f t="shared" si="32">F2113*1000*H2113</x:f>
        <x:v>423056.20979999995</x:v>
      </x:c>
      <x:c r="J2113" t="n">
        <x:v>5.747</x:v>
      </x:c>
    </x:row>
    <x:row r="2114">
      <x:c r="A2114" s="3" t="n">
        <x:v>2023</x:v>
      </x:c>
      <x:c r="B2114" s="2" t="str">
        <x:v>Enero</x:v>
      </x:c>
      <x:c r="C2114" s="2" t="str">
        <x:v>RE-112901-1</x:v>
      </x:c>
      <x:c r="D2114" s="2" t="str">
        <x:v>Parque eólico Sasdónigas Fase II</x:v>
      </x:c>
      <x:c r="E2114" s="4" t="n">
        <x:v>3.221</x:v>
      </x:c>
      <x:c r="F2114" s="4" t="n">
        <x:f>J2114*0.98</x:f>
        <x:v>3.09582</x:v>
      </x:c>
      <x:c r="G2114" s="4" t="n">
        <x:v>9.9</x:v>
      </x:c>
      <x:c r="H2114" s="4" t="n">
        <x:v>69.55</x:v>
      </x:c>
      <x:c r="I2114" s="5" t="n">
        <x:f t="shared" ref="I2114:I2177" si="33">F2114*1000*H2114</x:f>
        <x:v>215314.28099999996</x:v>
      </x:c>
      <x:c r="J2114" t="n">
        <x:v>3.159</x:v>
      </x:c>
    </x:row>
    <x:row r="2115">
      <x:c r="A2115" s="3" t="n">
        <x:v>2023</x:v>
      </x:c>
      <x:c r="B2115" s="2" t="str">
        <x:v>Febrero</x:v>
      </x:c>
      <x:c r="C2115" s="2" t="str">
        <x:v>RE-112901-1</x:v>
      </x:c>
      <x:c r="D2115" s="2" t="str">
        <x:v>Parque eólico Sasdónigas Fase II</x:v>
      </x:c>
      <x:c r="E2115" s="4" t="n">
        <x:v>2.78</x:v>
      </x:c>
      <x:c r="F2115" s="4" t="n">
        <x:f>J2115*0.94</x:f>
        <x:v>2.55962</x:v>
      </x:c>
      <x:c r="G2115" s="4" t="n">
        <x:v>9.9</x:v>
      </x:c>
      <x:c r="H2115" s="4" t="n">
        <x:v>133.47</x:v>
      </x:c>
      <x:c r="I2115" s="5" t="n">
        <x:f t="shared" si="33">F2115*1000*H2115</x:f>
        <x:v>341632.4814</x:v>
      </x:c>
      <x:c r="J2115" t="n">
        <x:v>2.723</x:v>
      </x:c>
    </x:row>
    <x:row r="2116">
      <x:c r="A2116" s="3" t="n">
        <x:v>2023</x:v>
      </x:c>
      <x:c r="B2116" s="2" t="str">
        <x:v>Marzo</x:v>
      </x:c>
      <x:c r="C2116" s="2" t="str">
        <x:v>RE-112901-1</x:v>
      </x:c>
      <x:c r="D2116" s="2" t="str">
        <x:v>Parque eólico Sasdónigas Fase II</x:v>
      </x:c>
      <x:c r="E2116" s="4" t="n">
        <x:v>2.915</x:v>
      </x:c>
      <x:c r="F2116" s="4" t="n">
        <x:f>J2116*1.01</x:f>
        <x:v>2.87345</x:v>
      </x:c>
      <x:c r="G2116" s="4" t="n">
        <x:v>9.9</x:v>
      </x:c>
      <x:c r="H2116" s="4" t="n">
        <x:v>89.61</x:v>
      </x:c>
      <x:c r="I2116" s="5" t="n">
        <x:f t="shared" si="33">F2116*1000*H2116</x:f>
        <x:v>257489.85450000002</x:v>
      </x:c>
      <x:c r="J2116" t="n">
        <x:v>2.845</x:v>
      </x:c>
    </x:row>
    <x:row r="2117">
      <x:c r="A2117" s="3" t="n">
        <x:v>2023</x:v>
      </x:c>
      <x:c r="B2117" s="2" t="str">
        <x:v>Abril</x:v>
      </x:c>
      <x:c r="C2117" s="2" t="str">
        <x:v>RE-112901-1</x:v>
      </x:c>
      <x:c r="D2117" s="2" t="str">
        <x:v>Parque eólico Sasdónigas Fase II</x:v>
      </x:c>
      <x:c r="E2117" s="4" t="n">
        <x:v>2.37</x:v>
      </x:c>
      <x:c r="F2117" s="4" t="n">
        <x:f>J2117*0.97</x:f>
        <x:v>2.2455499999999997</x:v>
      </x:c>
      <x:c r="G2117" s="4" t="n">
        <x:v>9.9</x:v>
      </x:c>
      <x:c r="H2117" s="4" t="n">
        <x:v>73.73</x:v>
      </x:c>
      <x:c r="I2117" s="5" t="n">
        <x:f t="shared" si="33">F2117*1000*H2117</x:f>
        <x:v>165564.40149999998</x:v>
      </x:c>
      <x:c r="J2117" t="n">
        <x:v>2.315</x:v>
      </x:c>
    </x:row>
    <x:row r="2118">
      <x:c r="A2118" s="3" t="n">
        <x:v>2023</x:v>
      </x:c>
      <x:c r="B2118" s="2" t="str">
        <x:v>Mayo</x:v>
      </x:c>
      <x:c r="C2118" s="2" t="str">
        <x:v>RE-112901-1</x:v>
      </x:c>
      <x:c r="D2118" s="2" t="str">
        <x:v>Parque eólico Sasdónigas Fase II</x:v>
      </x:c>
      <x:c r="E2118" s="4" t="n">
        <x:v>1.822</x:v>
      </x:c>
      <x:c r="F2118" s="4" t="n">
        <x:f>J2118*1.04</x:f>
        <x:v>1.85952</x:v>
      </x:c>
      <x:c r="G2118" s="4" t="n">
        <x:v>9.9</x:v>
      </x:c>
      <x:c r="H2118" s="4" t="n">
        <x:v>74.21</x:v>
      </x:c>
      <x:c r="I2118" s="5" t="n">
        <x:f t="shared" si="33">F2118*1000*H2118</x:f>
        <x:v>137994.97919999997</x:v>
      </x:c>
      <x:c r="J2118" t="n">
        <x:v>1.788</x:v>
      </x:c>
    </x:row>
    <x:row r="2119">
      <x:c r="A2119" s="3" t="n">
        <x:v>2023</x:v>
      </x:c>
      <x:c r="B2119" s="2" t="str">
        <x:v>Junio</x:v>
      </x:c>
      <x:c r="C2119" s="2" t="str">
        <x:v>RE-112901-1</x:v>
      </x:c>
      <x:c r="D2119" s="2" t="str">
        <x:v>Parque eólico Sasdónigas Fase II</x:v>
      </x:c>
      <x:c r="E2119" s="4" t="n">
        <x:v>1.778</x:v>
      </x:c>
      <x:c r="F2119" s="4" t="n">
        <x:f>J2119*1</x:f>
        <x:v>1.725</x:v>
      </x:c>
      <x:c r="G2119" s="4" t="n">
        <x:v>9.9</x:v>
      </x:c>
      <x:c r="H2119" s="4" t="n">
        <x:v>93.02</x:v>
      </x:c>
      <x:c r="I2119" s="5" t="n">
        <x:f t="shared" si="33">F2119*1000*H2119</x:f>
        <x:v>160459.5</x:v>
      </x:c>
      <x:c r="J2119" t="n">
        <x:v>1.725</x:v>
      </x:c>
    </x:row>
    <x:row r="2120">
      <x:c r="A2120" s="3" t="n">
        <x:v>2023</x:v>
      </x:c>
      <x:c r="B2120" s="2" t="str">
        <x:v>Julio</x:v>
      </x:c>
      <x:c r="C2120" s="2" t="str">
        <x:v>RE-112901-1</x:v>
      </x:c>
      <x:c r="D2120" s="2" t="str">
        <x:v>Parque eólico Sasdónigas Fase II</x:v>
      </x:c>
      <x:c r="E2120" s="4" t="n">
        <x:v>1.735</x:v>
      </x:c>
      <x:c r="F2120" s="4" t="n">
        <x:f>J2120*0.96</x:f>
        <x:v>1.6127999999999998</x:v>
      </x:c>
      <x:c r="G2120" s="4" t="n">
        <x:v>9.9</x:v>
      </x:c>
      <x:c r="H2120" s="4" t="n">
        <x:v>90.47</x:v>
      </x:c>
      <x:c r="I2120" s="5" t="n">
        <x:f t="shared" si="33">F2120*1000*H2120</x:f>
        <x:v>145910.01599999997</x:v>
      </x:c>
      <x:c r="J2120" t="n">
        <x:v>1.68</x:v>
      </x:c>
    </x:row>
    <x:row r="2121">
      <x:c r="A2121" s="3" t="n">
        <x:v>2023</x:v>
      </x:c>
      <x:c r="B2121" s="2" t="str">
        <x:v>Agosto</x:v>
      </x:c>
      <x:c r="C2121" s="2" t="str">
        <x:v>RE-112901-1</x:v>
      </x:c>
      <x:c r="D2121" s="2" t="str">
        <x:v>Parque eólico Sasdónigas Fase II</x:v>
      </x:c>
      <x:c r="E2121" s="4" t="n">
        <x:v>1.435</x:v>
      </x:c>
      <x:c r="F2121" s="4" t="n">
        <x:f>J2121*1.03</x:f>
        <x:v>1.4358199999999999</x:v>
      </x:c>
      <x:c r="G2121" s="4" t="n">
        <x:v>9.9</x:v>
      </x:c>
      <x:c r="H2121" s="4" t="n">
        <x:v>96.05</x:v>
      </x:c>
      <x:c r="I2121" s="5" t="n">
        <x:f t="shared" si="33">F2121*1000*H2121</x:f>
        <x:v>137910.511</x:v>
      </x:c>
      <x:c r="J2121" t="n">
        <x:v>1.394</x:v>
      </x:c>
    </x:row>
    <x:row r="2122">
      <x:c r="A2122" s="3" t="n">
        <x:v>2023</x:v>
      </x:c>
      <x:c r="B2122" s="2" t="str">
        <x:v>Septiembre</x:v>
      </x:c>
      <x:c r="C2122" s="2" t="str">
        <x:v>RE-112901-1</x:v>
      </x:c>
      <x:c r="D2122" s="2" t="str">
        <x:v>Parque eólico Sasdónigas Fase II</x:v>
      </x:c>
      <x:c r="E2122" s="4" t="n">
        <x:v>1.82</x:v>
      </x:c>
      <x:c r="F2122" s="4" t="n">
        <x:f>J2122*0.99</x:f>
        <x:v>1.76616</x:v>
      </x:c>
      <x:c r="G2122" s="4" t="n">
        <x:v>9.9</x:v>
      </x:c>
      <x:c r="H2122" s="4" t="n">
        <x:v>103.34</x:v>
      </x:c>
      <x:c r="I2122" s="5" t="n">
        <x:f t="shared" si="33">F2122*1000*H2122</x:f>
        <x:v>182514.97439999998</x:v>
      </x:c>
      <x:c r="J2122" t="n">
        <x:v>1.784</x:v>
      </x:c>
    </x:row>
    <x:row r="2123">
      <x:c r="A2123" s="3" t="n">
        <x:v>2023</x:v>
      </x:c>
      <x:c r="B2123" s="2" t="str">
        <x:v>Octubre</x:v>
      </x:c>
      <x:c r="C2123" s="2" t="str">
        <x:v>RE-112901-1</x:v>
      </x:c>
      <x:c r="D2123" s="2" t="str">
        <x:v>Parque eólico Sasdónigas Fase II</x:v>
      </x:c>
      <x:c r="E2123" s="4" t="n">
        <x:v>2.329</x:v>
      </x:c>
      <x:c r="F2123" s="4" t="n">
        <x:f>J2123*0.95</x:f>
        <x:v>2.1622</x:v>
      </x:c>
      <x:c r="G2123" s="4" t="n">
        <x:v>9.9</x:v>
      </x:c>
      <x:c r="H2123" s="4" t="n">
        <x:v>90.14</x:v>
      </x:c>
      <x:c r="I2123" s="5" t="n">
        <x:f t="shared" si="33">F2123*1000*H2123</x:f>
        <x:v>194900.70799999998</x:v>
      </x:c>
      <x:c r="J2123" t="n">
        <x:v>2.276</x:v>
      </x:c>
    </x:row>
    <x:row r="2124">
      <x:c r="A2124" s="3" t="n">
        <x:v>2023</x:v>
      </x:c>
      <x:c r="B2124" s="2" t="str">
        <x:v>Noviembre</x:v>
      </x:c>
      <x:c r="C2124" s="2" t="str">
        <x:v>RE-112901-1</x:v>
      </x:c>
      <x:c r="D2124" s="2" t="str">
        <x:v>Parque eólico Sasdónigas Fase II</x:v>
      </x:c>
      <x:c r="E2124" s="4" t="n">
        <x:v>2.405</x:v>
      </x:c>
      <x:c r="F2124" s="4" t="n">
        <x:f>J2124*1.02</x:f>
        <x:v>2.38272</x:v>
      </x:c>
      <x:c r="G2124" s="4" t="n">
        <x:v>9.9</x:v>
      </x:c>
      <x:c r="H2124" s="4" t="n">
        <x:v>63.45</x:v>
      </x:c>
      <x:c r="I2124" s="5" t="n">
        <x:f t="shared" si="33">F2124*1000*H2124</x:f>
        <x:v>151183.584</x:v>
      </x:c>
      <x:c r="J2124" t="n">
        <x:v>2.336</x:v>
      </x:c>
    </x:row>
    <x:row r="2125">
      <x:c r="A2125" s="3" t="n">
        <x:v>2023</x:v>
      </x:c>
      <x:c r="B2125" s="2" t="str">
        <x:v>Diciembre</x:v>
      </x:c>
      <x:c r="C2125" s="2" t="str">
        <x:v>RE-112901-1</x:v>
      </x:c>
      <x:c r="D2125" s="2" t="str">
        <x:v>Parque eólico Sasdónigas Fase II</x:v>
      </x:c>
      <x:c r="E2125" s="4" t="n">
        <x:v>3.404</x:v>
      </x:c>
      <x:c r="F2125" s="4" t="n">
        <x:f>J2125*0.98</x:f>
        <x:v>3.2310600000000003</x:v>
      </x:c>
      <x:c r="G2125" s="4" t="n">
        <x:v>9.9</x:v>
      </x:c>
      <x:c r="H2125" s="4" t="n">
        <x:v>72.17</x:v>
      </x:c>
      <x:c r="I2125" s="5" t="n">
        <x:f t="shared" si="33">F2125*1000*H2125</x:f>
        <x:v>233185.60020000004</x:v>
      </x:c>
      <x:c r="J2125" t="n">
        <x:v>3.297</x:v>
      </x:c>
    </x:row>
    <x:row r="2126">
      <x:c r="A2126" s="3" t="n">
        <x:v>2023</x:v>
      </x:c>
      <x:c r="B2126" s="2" t="str">
        <x:v>Enero</x:v>
      </x:c>
      <x:c r="C2126" s="2" t="str">
        <x:v>RE-112911-1</x:v>
      </x:c>
      <x:c r="D2126" s="2" t="str">
        <x:v>Parque eólico Mouriños</x:v>
      </x:c>
      <x:c r="E2126" s="4" t="n">
        <x:v>2.514</x:v>
      </x:c>
      <x:c r="F2126" s="4" t="n">
        <x:f>J2126*0.94</x:f>
        <x:v>2.3274399999999997</x:v>
      </x:c>
      <x:c r="G2126" s="4" t="n">
        <x:v>9.61</x:v>
      </x:c>
      <x:c r="H2126" s="4" t="n">
        <x:v>69.55</x:v>
      </x:c>
      <x:c r="I2126" s="5" t="n">
        <x:f t="shared" si="33">F2126*1000*H2126</x:f>
        <x:v>161873.45199999996</x:v>
      </x:c>
      <x:c r="J2126" t="n">
        <x:v>2.476</x:v>
      </x:c>
    </x:row>
    <x:row r="2127">
      <x:c r="A2127" s="3" t="n">
        <x:v>2023</x:v>
      </x:c>
      <x:c r="B2127" s="2" t="str">
        <x:v>Febrero</x:v>
      </x:c>
      <x:c r="C2127" s="2" t="str">
        <x:v>RE-112911-1</x:v>
      </x:c>
      <x:c r="D2127" s="2" t="str">
        <x:v>Parque eólico Mouriños</x:v>
      </x:c>
      <x:c r="E2127" s="4" t="n">
        <x:v>2.503</x:v>
      </x:c>
      <x:c r="F2127" s="4" t="n">
        <x:f>J2127*1.01</x:f>
        <x:v>2.45228</x:v>
      </x:c>
      <x:c r="G2127" s="4" t="n">
        <x:v>9.61</x:v>
      </x:c>
      <x:c r="H2127" s="4" t="n">
        <x:v>133.47</x:v>
      </x:c>
      <x:c r="I2127" s="5" t="n">
        <x:f t="shared" si="33">F2127*1000*H2127</x:f>
        <x:v>327305.8116</x:v>
      </x:c>
      <x:c r="J2127" t="n">
        <x:v>2.428</x:v>
      </x:c>
    </x:row>
    <x:row r="2128">
      <x:c r="A2128" s="3" t="n">
        <x:v>2023</x:v>
      </x:c>
      <x:c r="B2128" s="2" t="str">
        <x:v>Marzo</x:v>
      </x:c>
      <x:c r="C2128" s="2" t="str">
        <x:v>RE-112911-1</x:v>
      </x:c>
      <x:c r="D2128" s="2" t="str">
        <x:v>Parque eólico Mouriños</x:v>
      </x:c>
      <x:c r="E2128" s="4" t="n">
        <x:v>2.169</x:v>
      </x:c>
      <x:c r="F2128" s="4" t="n">
        <x:f>J2128*0.97</x:f>
        <x:v>2.05834</x:v>
      </x:c>
      <x:c r="G2128" s="4" t="n">
        <x:v>9.61</x:v>
      </x:c>
      <x:c r="H2128" s="4" t="n">
        <x:v>89.61</x:v>
      </x:c>
      <x:c r="I2128" s="5" t="n">
        <x:f t="shared" si="33">F2128*1000*H2128</x:f>
        <x:v>184447.84739999997</x:v>
      </x:c>
      <x:c r="J2128" t="n">
        <x:v>2.122</x:v>
      </x:c>
    </x:row>
    <x:row r="2129">
      <x:c r="A2129" s="3" t="n">
        <x:v>2023</x:v>
      </x:c>
      <x:c r="B2129" s="2" t="str">
        <x:v>Abril</x:v>
      </x:c>
      <x:c r="C2129" s="2" t="str">
        <x:v>RE-112911-1</x:v>
      </x:c>
      <x:c r="D2129" s="2" t="str">
        <x:v>Parque eólico Mouriños</x:v>
      </x:c>
      <x:c r="E2129" s="4" t="n">
        <x:v>1.786</x:v>
      </x:c>
      <x:c r="F2129" s="4" t="n">
        <x:f>J2129*1.04</x:f>
        <x:v>1.8106400000000002</x:v>
      </x:c>
      <x:c r="G2129" s="4" t="n">
        <x:v>9.61</x:v>
      </x:c>
      <x:c r="H2129" s="4" t="n">
        <x:v>73.73</x:v>
      </x:c>
      <x:c r="I2129" s="5" t="n">
        <x:f t="shared" si="33">F2129*1000*H2129</x:f>
        <x:v>133498.48720000003</x:v>
      </x:c>
      <x:c r="J2129" t="n">
        <x:v>1.741</x:v>
      </x:c>
    </x:row>
    <x:row r="2130">
      <x:c r="A2130" s="3" t="n">
        <x:v>2023</x:v>
      </x:c>
      <x:c r="B2130" s="2" t="str">
        <x:v>Mayo</x:v>
      </x:c>
      <x:c r="C2130" s="2" t="str">
        <x:v>RE-112911-1</x:v>
      </x:c>
      <x:c r="D2130" s="2" t="str">
        <x:v>Parque eólico Mouriños</x:v>
      </x:c>
      <x:c r="E2130" s="4" t="n">
        <x:v>1.599</x:v>
      </x:c>
      <x:c r="F2130" s="4" t="n">
        <x:f>J2130*1</x:f>
        <x:v>1.562</x:v>
      </x:c>
      <x:c r="G2130" s="4" t="n">
        <x:v>9.61</x:v>
      </x:c>
      <x:c r="H2130" s="4" t="n">
        <x:v>74.21</x:v>
      </x:c>
      <x:c r="I2130" s="5" t="n">
        <x:f t="shared" si="33">F2130*1000*H2130</x:f>
        <x:v>115916.01999999999</x:v>
      </x:c>
      <x:c r="J2130" t="n">
        <x:v>1.562</x:v>
      </x:c>
    </x:row>
    <x:row r="2131">
      <x:c r="A2131" s="3" t="n">
        <x:v>2023</x:v>
      </x:c>
      <x:c r="B2131" s="2" t="str">
        <x:v>Junio</x:v>
      </x:c>
      <x:c r="C2131" s="2" t="str">
        <x:v>RE-112911-1</x:v>
      </x:c>
      <x:c r="D2131" s="2" t="str">
        <x:v>Parque eólico Mouriños</x:v>
      </x:c>
      <x:c r="E2131" s="4" t="n">
        <x:v>1.305</x:v>
      </x:c>
      <x:c r="F2131" s="4" t="n">
        <x:f>J2131*0.96</x:f>
        <x:v>1.23072</x:v>
      </x:c>
      <x:c r="G2131" s="4" t="n">
        <x:v>9.61</x:v>
      </x:c>
      <x:c r="H2131" s="4" t="n">
        <x:v>93.02</x:v>
      </x:c>
      <x:c r="I2131" s="5" t="n">
        <x:f t="shared" si="33">F2131*1000*H2131</x:f>
        <x:v>114481.5744</x:v>
      </x:c>
      <x:c r="J2131" t="n">
        <x:v>1.282</x:v>
      </x:c>
    </x:row>
    <x:row r="2132">
      <x:c r="A2132" s="3" t="n">
        <x:v>2023</x:v>
      </x:c>
      <x:c r="B2132" s="2" t="str">
        <x:v>Julio</x:v>
      </x:c>
      <x:c r="C2132" s="2" t="str">
        <x:v>RE-112911-1</x:v>
      </x:c>
      <x:c r="D2132" s="2" t="str">
        <x:v>Parque eólico Mouriños</x:v>
      </x:c>
      <x:c r="E2132" s="4" t="n">
        <x:v>1.257</x:v>
      </x:c>
      <x:c r="F2132" s="4" t="n">
        <x:f>J2132*1.03</x:f>
        <x:v>1.2679300000000002</x:v>
      </x:c>
      <x:c r="G2132" s="4" t="n">
        <x:v>9.61</x:v>
      </x:c>
      <x:c r="H2132" s="4" t="n">
        <x:v>90.47</x:v>
      </x:c>
      <x:c r="I2132" s="5" t="n">
        <x:f t="shared" si="33">F2132*1000*H2132</x:f>
        <x:v>114709.62710000003</x:v>
      </x:c>
      <x:c r="J2132" t="n">
        <x:v>1.231</x:v>
      </x:c>
    </x:row>
    <x:row r="2133">
      <x:c r="A2133" s="3" t="n">
        <x:v>2023</x:v>
      </x:c>
      <x:c r="B2133" s="2" t="str">
        <x:v>Agosto</x:v>
      </x:c>
      <x:c r="C2133" s="2" t="str">
        <x:v>RE-112911-1</x:v>
      </x:c>
      <x:c r="D2133" s="2" t="str">
        <x:v>Parque eólico Mouriños</x:v>
      </x:c>
      <x:c r="E2133" s="4" t="n">
        <x:v>1.537</x:v>
      </x:c>
      <x:c r="F2133" s="4" t="n">
        <x:f>J2133*0.99</x:f>
        <x:v>1.49589</x:v>
      </x:c>
      <x:c r="G2133" s="4" t="n">
        <x:v>9.61</x:v>
      </x:c>
      <x:c r="H2133" s="4" t="n">
        <x:v>96.05</x:v>
      </x:c>
      <x:c r="I2133" s="5" t="n">
        <x:f t="shared" si="33">F2133*1000*H2133</x:f>
        <x:v>143680.2345</x:v>
      </x:c>
      <x:c r="J2133" t="n">
        <x:v>1.511</x:v>
      </x:c>
    </x:row>
    <x:row r="2134">
      <x:c r="A2134" s="3" t="n">
        <x:v>2023</x:v>
      </x:c>
      <x:c r="B2134" s="2" t="str">
        <x:v>Septiembre</x:v>
      </x:c>
      <x:c r="C2134" s="2" t="str">
        <x:v>RE-112911-1</x:v>
      </x:c>
      <x:c r="D2134" s="2" t="str">
        <x:v>Parque eólico Mouriños</x:v>
      </x:c>
      <x:c r="E2134" s="4" t="n">
        <x:v>1.692</x:v>
      </x:c>
      <x:c r="F2134" s="4" t="n">
        <x:f>J2134*0.95</x:f>
        <x:v>1.5788999999999997</x:v>
      </x:c>
      <x:c r="G2134" s="4" t="n">
        <x:v>9.61</x:v>
      </x:c>
      <x:c r="H2134" s="4" t="n">
        <x:v>103.34</x:v>
      </x:c>
      <x:c r="I2134" s="5" t="n">
        <x:f t="shared" si="33">F2134*1000*H2134</x:f>
        <x:v>163163.52599999995</x:v>
      </x:c>
      <x:c r="J2134" t="n">
        <x:v>1.662</x:v>
      </x:c>
    </x:row>
    <x:row r="2135">
      <x:c r="A2135" s="3" t="n">
        <x:v>2023</x:v>
      </x:c>
      <x:c r="B2135" s="2" t="str">
        <x:v>Octubre</x:v>
      </x:c>
      <x:c r="C2135" s="2" t="str">
        <x:v>RE-112911-1</x:v>
      </x:c>
      <x:c r="D2135" s="2" t="str">
        <x:v>Parque eólico Mouriños</x:v>
      </x:c>
      <x:c r="E2135" s="4" t="n">
        <x:v>2.068</x:v>
      </x:c>
      <x:c r="F2135" s="4" t="n">
        <x:f>J2135*1.02</x:f>
        <x:v>2.0512200000000003</x:v>
      </x:c>
      <x:c r="G2135" s="4" t="n">
        <x:v>9.61</x:v>
      </x:c>
      <x:c r="H2135" s="4" t="n">
        <x:v>90.14</x:v>
      </x:c>
      <x:c r="I2135" s="5" t="n">
        <x:f t="shared" si="33">F2135*1000*H2135</x:f>
        <x:v>184896.9708</x:v>
      </x:c>
      <x:c r="J2135" t="n">
        <x:v>2.011</x:v>
      </x:c>
    </x:row>
    <x:row r="2136">
      <x:c r="A2136" s="3" t="n">
        <x:v>2023</x:v>
      </x:c>
      <x:c r="B2136" s="2" t="str">
        <x:v>Noviembre</x:v>
      </x:c>
      <x:c r="C2136" s="2" t="str">
        <x:v>RE-112911-1</x:v>
      </x:c>
      <x:c r="D2136" s="2" t="str">
        <x:v>Parque eólico Mouriños</x:v>
      </x:c>
      <x:c r="E2136" s="4" t="n">
        <x:v>2.257</x:v>
      </x:c>
      <x:c r="F2136" s="4" t="n">
        <x:f>J2136*0.98</x:f>
        <x:v>2.1775599999999997</x:v>
      </x:c>
      <x:c r="G2136" s="4" t="n">
        <x:v>9.61</x:v>
      </x:c>
      <x:c r="H2136" s="4" t="n">
        <x:v>63.45</x:v>
      </x:c>
      <x:c r="I2136" s="5" t="n">
        <x:f t="shared" si="33">F2136*1000*H2136</x:f>
        <x:v>138166.18199999997</x:v>
      </x:c>
      <x:c r="J2136" t="n">
        <x:v>2.222</x:v>
      </x:c>
    </x:row>
    <x:row r="2137">
      <x:c r="A2137" s="3" t="n">
        <x:v>2023</x:v>
      </x:c>
      <x:c r="B2137" s="2" t="str">
        <x:v>Diciembre</x:v>
      </x:c>
      <x:c r="C2137" s="2" t="str">
        <x:v>RE-112911-1</x:v>
      </x:c>
      <x:c r="D2137" s="2" t="str">
        <x:v>Parque eólico Mouriños</x:v>
      </x:c>
      <x:c r="E2137" s="4" t="n">
        <x:v>2.478</x:v>
      </x:c>
      <x:c r="F2137" s="4" t="n">
        <x:f>J2137*0.94</x:f>
        <x:v>2.27386</x:v>
      </x:c>
      <x:c r="G2137" s="4" t="n">
        <x:v>9.61</x:v>
      </x:c>
      <x:c r="H2137" s="4" t="n">
        <x:v>72.17</x:v>
      </x:c>
      <x:c r="I2137" s="5" t="n">
        <x:f t="shared" si="33">F2137*1000*H2137</x:f>
        <x:v>164104.4762</x:v>
      </x:c>
      <x:c r="J2137" t="n">
        <x:v>2.419</x:v>
      </x:c>
    </x:row>
    <x:row r="2138">
      <x:c r="A2138" s="3" t="n">
        <x:v>2023</x:v>
      </x:c>
      <x:c r="B2138" s="2" t="str">
        <x:v>Enero</x:v>
      </x:c>
      <x:c r="C2138" s="2" t="str">
        <x:v>RE-112912-1</x:v>
      </x:c>
      <x:c r="D2138" s="2" t="str">
        <x:v>Parque eólico Pena Forcada-Catasol II</x:v>
      </x:c>
      <x:c r="E2138" s="4" t="n">
        <x:v>2.266</x:v>
      </x:c>
      <x:c r="F2138" s="4" t="n">
        <x:f>J2138*1.01</x:f>
        <x:v>2.22503</x:v>
      </x:c>
      <x:c r="G2138" s="4" t="n">
        <x:v>7.2</x:v>
      </x:c>
      <x:c r="H2138" s="4" t="n">
        <x:v>69.55</x:v>
      </x:c>
      <x:c r="I2138" s="5" t="n">
        <x:f t="shared" si="33">F2138*1000*H2138</x:f>
        <x:v>154750.83649999998</x:v>
      </x:c>
      <x:c r="J2138" t="n">
        <x:v>2.203</x:v>
      </x:c>
    </x:row>
    <x:row r="2139">
      <x:c r="A2139" s="3" t="n">
        <x:v>2023</x:v>
      </x:c>
      <x:c r="B2139" s="2" t="str">
        <x:v>Febrero</x:v>
      </x:c>
      <x:c r="C2139" s="2" t="str">
        <x:v>RE-112912-1</x:v>
      </x:c>
      <x:c r="D2139" s="2" t="str">
        <x:v>Parque eólico Pena Forcada-Catasol II</x:v>
      </x:c>
      <x:c r="E2139" s="4" t="n">
        <x:v>1.764</x:v>
      </x:c>
      <x:c r="F2139" s="4" t="n">
        <x:f>J2139*0.97</x:f>
        <x:v>1.6732500000000001</x:v>
      </x:c>
      <x:c r="G2139" s="4" t="n">
        <x:v>7.2</x:v>
      </x:c>
      <x:c r="H2139" s="4" t="n">
        <x:v>133.47</x:v>
      </x:c>
      <x:c r="I2139" s="5" t="n">
        <x:f t="shared" si="33">F2139*1000*H2139</x:f>
        <x:v>223328.67750000002</x:v>
      </x:c>
      <x:c r="J2139" t="n">
        <x:v>1.725</x:v>
      </x:c>
    </x:row>
    <x:row r="2140">
      <x:c r="A2140" s="3" t="n">
        <x:v>2023</x:v>
      </x:c>
      <x:c r="B2140" s="2" t="str">
        <x:v>Marzo</x:v>
      </x:c>
      <x:c r="C2140" s="2" t="str">
        <x:v>RE-112912-1</x:v>
      </x:c>
      <x:c r="D2140" s="2" t="str">
        <x:v>Parque eólico Pena Forcada-Catasol II</x:v>
      </x:c>
      <x:c r="E2140" s="4" t="n">
        <x:v>2.039</x:v>
      </x:c>
      <x:c r="F2140" s="4" t="n">
        <x:f>J2140*1.04</x:f>
        <x:v>2.0592</x:v>
      </x:c>
      <x:c r="G2140" s="4" t="n">
        <x:v>7.2</x:v>
      </x:c>
      <x:c r="H2140" s="4" t="n">
        <x:v>89.61</x:v>
      </x:c>
      <x:c r="I2140" s="5" t="n">
        <x:f t="shared" si="33">F2140*1000*H2140</x:f>
        <x:v>184524.912</x:v>
      </x:c>
      <x:c r="J2140" t="n">
        <x:v>1.98</x:v>
      </x:c>
    </x:row>
    <x:row r="2141">
      <x:c r="A2141" s="3" t="n">
        <x:v>2023</x:v>
      </x:c>
      <x:c r="B2141" s="2" t="str">
        <x:v>Abril</x:v>
      </x:c>
      <x:c r="C2141" s="2" t="str">
        <x:v>RE-112912-1</x:v>
      </x:c>
      <x:c r="D2141" s="2" t="str">
        <x:v>Parque eólico Pena Forcada-Catasol II</x:v>
      </x:c>
      <x:c r="E2141" s="4" t="n">
        <x:v>1.337</x:v>
      </x:c>
      <x:c r="F2141" s="4" t="n">
        <x:f>J2141*1</x:f>
        <x:v>1.297</x:v>
      </x:c>
      <x:c r="G2141" s="4" t="n">
        <x:v>7.2</x:v>
      </x:c>
      <x:c r="H2141" s="4" t="n">
        <x:v>73.73</x:v>
      </x:c>
      <x:c r="I2141" s="5" t="n">
        <x:f t="shared" si="33">F2141*1000*H2141</x:f>
        <x:v>95627.81000000001</x:v>
      </x:c>
      <x:c r="J2141" t="n">
        <x:v>1.297</x:v>
      </x:c>
    </x:row>
    <x:row r="2142">
      <x:c r="A2142" s="3" t="n">
        <x:v>2023</x:v>
      </x:c>
      <x:c r="B2142" s="2" t="str">
        <x:v>Mayo</x:v>
      </x:c>
      <x:c r="C2142" s="2" t="str">
        <x:v>RE-112912-1</x:v>
      </x:c>
      <x:c r="D2142" s="2" t="str">
        <x:v>Parque eólico Pena Forcada-Catasol II</x:v>
      </x:c>
      <x:c r="E2142" s="4" t="n">
        <x:v>1.397</x:v>
      </x:c>
      <x:c r="F2142" s="4" t="n">
        <x:f>J2142*0.96</x:f>
        <x:v>1.30368</x:v>
      </x:c>
      <x:c r="G2142" s="4" t="n">
        <x:v>7.2</x:v>
      </x:c>
      <x:c r="H2142" s="4" t="n">
        <x:v>74.21</x:v>
      </x:c>
      <x:c r="I2142" s="5" t="n">
        <x:f t="shared" si="33">F2142*1000*H2142</x:f>
        <x:v>96746.09279999998</x:v>
      </x:c>
      <x:c r="J2142" t="n">
        <x:v>1.358</x:v>
      </x:c>
    </x:row>
    <x:row r="2143">
      <x:c r="A2143" s="3" t="n">
        <x:v>2023</x:v>
      </x:c>
      <x:c r="B2143" s="2" t="str">
        <x:v>Junio</x:v>
      </x:c>
      <x:c r="C2143" s="2" t="str">
        <x:v>RE-112912-1</x:v>
      </x:c>
      <x:c r="D2143" s="2" t="str">
        <x:v>Parque eólico Pena Forcada-Catasol II</x:v>
      </x:c>
      <x:c r="E2143" s="4" t="n">
        <x:v>1.289</x:v>
      </x:c>
      <x:c r="F2143" s="4" t="n">
        <x:f>J2143*1.03</x:f>
        <x:v>1.30707</x:v>
      </x:c>
      <x:c r="G2143" s="4" t="n">
        <x:v>7.2</x:v>
      </x:c>
      <x:c r="H2143" s="4" t="n">
        <x:v>93.02</x:v>
      </x:c>
      <x:c r="I2143" s="5" t="n">
        <x:f t="shared" si="33">F2143*1000*H2143</x:f>
        <x:v>121583.65139999999</x:v>
      </x:c>
      <x:c r="J2143" t="n">
        <x:v>1.269</x:v>
      </x:c>
    </x:row>
    <x:row r="2144">
      <x:c r="A2144" s="3" t="n">
        <x:v>2023</x:v>
      </x:c>
      <x:c r="B2144" s="2" t="str">
        <x:v>Julio</x:v>
      </x:c>
      <x:c r="C2144" s="2" t="str">
        <x:v>RE-112912-1</x:v>
      </x:c>
      <x:c r="D2144" s="2" t="str">
        <x:v>Parque eólico Pena Forcada-Catasol II</x:v>
      </x:c>
      <x:c r="E2144" s="4" t="n">
        <x:v>0.974</x:v>
      </x:c>
      <x:c r="F2144" s="4" t="n">
        <x:f>J2144*0.99</x:f>
        <x:v>0.94743</x:v>
      </x:c>
      <x:c r="G2144" s="4" t="n">
        <x:v>7.2</x:v>
      </x:c>
      <x:c r="H2144" s="4" t="n">
        <x:v>90.47</x:v>
      </x:c>
      <x:c r="I2144" s="5" t="n">
        <x:f t="shared" si="33">F2144*1000*H2144</x:f>
        <x:v>85713.99209999999</x:v>
      </x:c>
      <x:c r="J2144" t="n">
        <x:v>0.957</x:v>
      </x:c>
    </x:row>
    <x:row r="2145">
      <x:c r="A2145" s="3" t="n">
        <x:v>2023</x:v>
      </x:c>
      <x:c r="B2145" s="2" t="str">
        <x:v>Agosto</x:v>
      </x:c>
      <x:c r="C2145" s="2" t="str">
        <x:v>RE-112912-1</x:v>
      </x:c>
      <x:c r="D2145" s="2" t="str">
        <x:v>Parque eólico Pena Forcada-Catasol II</x:v>
      </x:c>
      <x:c r="E2145" s="4" t="n">
        <x:v>1.28</x:v>
      </x:c>
      <x:c r="F2145" s="4" t="n">
        <x:f>J2145*0.95</x:f>
        <x:v>1.1922499999999998</x:v>
      </x:c>
      <x:c r="G2145" s="4" t="n">
        <x:v>7.2</x:v>
      </x:c>
      <x:c r="H2145" s="4" t="n">
        <x:v>96.05</x:v>
      </x:c>
      <x:c r="I2145" s="5" t="n">
        <x:f t="shared" si="33">F2145*1000*H2145</x:f>
        <x:v>114515.61249999997</x:v>
      </x:c>
      <x:c r="J2145" t="n">
        <x:v>1.255</x:v>
      </x:c>
    </x:row>
    <x:row r="2146">
      <x:c r="A2146" s="3" t="n">
        <x:v>2023</x:v>
      </x:c>
      <x:c r="B2146" s="2" t="str">
        <x:v>Septiembre</x:v>
      </x:c>
      <x:c r="C2146" s="2" t="str">
        <x:v>RE-112912-1</x:v>
      </x:c>
      <x:c r="D2146" s="2" t="str">
        <x:v>Parque eólico Pena Forcada-Catasol II</x:v>
      </x:c>
      <x:c r="E2146" s="4" t="n">
        <x:v>1.214</x:v>
      </x:c>
      <x:c r="F2146" s="4" t="n">
        <x:f>J2146*1.02</x:f>
        <x:v>1.2107400000000001</x:v>
      </x:c>
      <x:c r="G2146" s="4" t="n">
        <x:v>7.2</x:v>
      </x:c>
      <x:c r="H2146" s="4" t="n">
        <x:v>103.34</x:v>
      </x:c>
      <x:c r="I2146" s="5" t="n">
        <x:f t="shared" si="33">F2146*1000*H2146</x:f>
        <x:v>125117.87160000003</x:v>
      </x:c>
      <x:c r="J2146" t="n">
        <x:v>1.187</x:v>
      </x:c>
    </x:row>
    <x:row r="2147">
      <x:c r="A2147" s="3" t="n">
        <x:v>2023</x:v>
      </x:c>
      <x:c r="B2147" s="2" t="str">
        <x:v>Octubre</x:v>
      </x:c>
      <x:c r="C2147" s="2" t="str">
        <x:v>RE-112912-1</x:v>
      </x:c>
      <x:c r="D2147" s="2" t="str">
        <x:v>Parque eólico Pena Forcada-Catasol II</x:v>
      </x:c>
      <x:c r="E2147" s="4" t="n">
        <x:v>1.565</x:v>
      </x:c>
      <x:c r="F2147" s="4" t="n">
        <x:f>J2147*0.98</x:f>
        <x:v>1.50626</x:v>
      </x:c>
      <x:c r="G2147" s="4" t="n">
        <x:v>7.2</x:v>
      </x:c>
      <x:c r="H2147" s="4" t="n">
        <x:v>90.14</x:v>
      </x:c>
      <x:c r="I2147" s="5" t="n">
        <x:f t="shared" si="33">F2147*1000*H2147</x:f>
        <x:v>135774.2764</x:v>
      </x:c>
      <x:c r="J2147" t="n">
        <x:v>1.537</x:v>
      </x:c>
    </x:row>
    <x:row r="2148">
      <x:c r="A2148" s="3" t="n">
        <x:v>2023</x:v>
      </x:c>
      <x:c r="B2148" s="2" t="str">
        <x:v>Noviembre</x:v>
      </x:c>
      <x:c r="C2148" s="2" t="str">
        <x:v>RE-112912-1</x:v>
      </x:c>
      <x:c r="D2148" s="2" t="str">
        <x:v>Parque eólico Pena Forcada-Catasol II</x:v>
      </x:c>
      <x:c r="E2148" s="4" t="n">
        <x:v>1.648</x:v>
      </x:c>
      <x:c r="F2148" s="4" t="n">
        <x:f>J2148*0.94</x:f>
        <x:v>1.50588</x:v>
      </x:c>
      <x:c r="G2148" s="4" t="n">
        <x:v>7.2</x:v>
      </x:c>
      <x:c r="H2148" s="4" t="n">
        <x:v>63.45</x:v>
      </x:c>
      <x:c r="I2148" s="5" t="n">
        <x:f t="shared" si="33">F2148*1000*H2148</x:f>
        <x:v>95548.08600000001</x:v>
      </x:c>
      <x:c r="J2148" t="n">
        <x:v>1.602</x:v>
      </x:c>
    </x:row>
    <x:row r="2149">
      <x:c r="A2149" s="3" t="n">
        <x:v>2023</x:v>
      </x:c>
      <x:c r="B2149" s="2" t="str">
        <x:v>Diciembre</x:v>
      </x:c>
      <x:c r="C2149" s="2" t="str">
        <x:v>RE-112912-1</x:v>
      </x:c>
      <x:c r="D2149" s="2" t="str">
        <x:v>Parque eólico Pena Forcada-Catasol II</x:v>
      </x:c>
      <x:c r="E2149" s="4" t="n">
        <x:v>2.186</x:v>
      </x:c>
      <x:c r="F2149" s="4" t="n">
        <x:f>J2149*1.01</x:f>
        <x:v>2.13716</x:v>
      </x:c>
      <x:c r="G2149" s="4" t="n">
        <x:v>7.2</x:v>
      </x:c>
      <x:c r="H2149" s="4" t="n">
        <x:v>72.17</x:v>
      </x:c>
      <x:c r="I2149" s="5" t="n">
        <x:f t="shared" si="33">F2149*1000*H2149</x:f>
        <x:v>154238.83720000004</x:v>
      </x:c>
      <x:c r="J2149" t="n">
        <x:v>2.116</x:v>
      </x:c>
    </x:row>
    <x:row r="2150">
      <x:c r="A2150" s="3" t="n">
        <x:v>2023</x:v>
      </x:c>
      <x:c r="B2150" s="2" t="str">
        <x:v>Enero</x:v>
      </x:c>
      <x:c r="C2150" s="2" t="str">
        <x:v>RE-112921-1</x:v>
      </x:c>
      <x:c r="D2150" s="2" t="str">
        <x:v>Parque eólico A Pastoriza</x:v>
      </x:c>
      <x:c r="E2150" s="4" t="n">
        <x:v>9.927</x:v>
      </x:c>
      <x:c r="F2150" s="4" t="n">
        <x:f>J2150*0.97</x:f>
        <x:v>9.38572</x:v>
      </x:c>
      <x:c r="G2150" s="4" t="n">
        <x:v>36</x:v>
      </x:c>
      <x:c r="H2150" s="4" t="n">
        <x:v>69.55</x:v>
      </x:c>
      <x:c r="I2150" s="5" t="n">
        <x:f t="shared" si="33">F2150*1000*H2150</x:f>
        <x:v>652776.8259999999</x:v>
      </x:c>
      <x:c r="J2150" t="n">
        <x:v>9.676</x:v>
      </x:c>
    </x:row>
    <x:row r="2151">
      <x:c r="A2151" s="3" t="n">
        <x:v>2023</x:v>
      </x:c>
      <x:c r="B2151" s="2" t="str">
        <x:v>Febrero</x:v>
      </x:c>
      <x:c r="C2151" s="2" t="str">
        <x:v>RE-112921-1</x:v>
      </x:c>
      <x:c r="D2151" s="2" t="str">
        <x:v>Parque eólico A Pastoriza</x:v>
      </x:c>
      <x:c r="E2151" s="4" t="n">
        <x:v>8.881</x:v>
      </x:c>
      <x:c r="F2151" s="4" t="n">
        <x:f>J2151*1.04</x:f>
        <x:v>9.048</x:v>
      </x:c>
      <x:c r="G2151" s="4" t="n">
        <x:v>36</x:v>
      </x:c>
      <x:c r="H2151" s="4" t="n">
        <x:v>133.47</x:v>
      </x:c>
      <x:c r="I2151" s="5" t="n">
        <x:f t="shared" si="33">F2151*1000*H2151</x:f>
        <x:v>1207636.56</x:v>
      </x:c>
      <x:c r="J2151" t="n">
        <x:v>8.7</x:v>
      </x:c>
    </x:row>
    <x:row r="2152">
      <x:c r="A2152" s="3" t="n">
        <x:v>2023</x:v>
      </x:c>
      <x:c r="B2152" s="2" t="str">
        <x:v>Marzo</x:v>
      </x:c>
      <x:c r="C2152" s="2" t="str">
        <x:v>RE-112921-1</x:v>
      </x:c>
      <x:c r="D2152" s="2" t="str">
        <x:v>Parque eólico A Pastoriza</x:v>
      </x:c>
      <x:c r="E2152" s="4" t="n">
        <x:v>8.618</x:v>
      </x:c>
      <x:c r="F2152" s="4" t="n">
        <x:f>J2152*1</x:f>
        <x:v>8.392</x:v>
      </x:c>
      <x:c r="G2152" s="4" t="n">
        <x:v>36</x:v>
      </x:c>
      <x:c r="H2152" s="4" t="n">
        <x:v>89.61</x:v>
      </x:c>
      <x:c r="I2152" s="5" t="n">
        <x:f t="shared" si="33">F2152*1000*H2152</x:f>
        <x:v>752007.12</x:v>
      </x:c>
      <x:c r="J2152" t="n">
        <x:v>8.392</x:v>
      </x:c>
    </x:row>
    <x:row r="2153">
      <x:c r="A2153" s="3" t="n">
        <x:v>2023</x:v>
      </x:c>
      <x:c r="B2153" s="2" t="str">
        <x:v>Abril</x:v>
      </x:c>
      <x:c r="C2153" s="2" t="str">
        <x:v>RE-112921-1</x:v>
      </x:c>
      <x:c r="D2153" s="2" t="str">
        <x:v>Parque eólico A Pastoriza</x:v>
      </x:c>
      <x:c r="E2153" s="4" t="n">
        <x:v>8.077</x:v>
      </x:c>
      <x:c r="F2153" s="4" t="n">
        <x:f>J2153*0.96</x:f>
        <x:v>7.55328</x:v>
      </x:c>
      <x:c r="G2153" s="4" t="n">
        <x:v>36</x:v>
      </x:c>
      <x:c r="H2153" s="4" t="n">
        <x:v>73.73</x:v>
      </x:c>
      <x:c r="I2153" s="5" t="n">
        <x:f t="shared" si="33">F2153*1000*H2153</x:f>
        <x:v>556903.3344</x:v>
      </x:c>
      <x:c r="J2153" t="n">
        <x:v>7.868</x:v>
      </x:c>
    </x:row>
    <x:row r="2154">
      <x:c r="A2154" s="3" t="n">
        <x:v>2023</x:v>
      </x:c>
      <x:c r="B2154" s="2" t="str">
        <x:v>Mayo</x:v>
      </x:c>
      <x:c r="C2154" s="2" t="str">
        <x:v>RE-112921-1</x:v>
      </x:c>
      <x:c r="D2154" s="2" t="str">
        <x:v>Parque eólico A Pastoriza</x:v>
      </x:c>
      <x:c r="E2154" s="4" t="n">
        <x:v>7.204</x:v>
      </x:c>
      <x:c r="F2154" s="4" t="n">
        <x:f>J2154*1.03</x:f>
        <x:v>7.21824</x:v>
      </x:c>
      <x:c r="G2154" s="4" t="n">
        <x:v>36</x:v>
      </x:c>
      <x:c r="H2154" s="4" t="n">
        <x:v>74.21</x:v>
      </x:c>
      <x:c r="I2154" s="5" t="n">
        <x:f t="shared" si="33">F2154*1000*H2154</x:f>
        <x:v>535665.5904</x:v>
      </x:c>
      <x:c r="J2154" t="n">
        <x:v>7.008</x:v>
      </x:c>
    </x:row>
    <x:row r="2155">
      <x:c r="A2155" s="3" t="n">
        <x:v>2023</x:v>
      </x:c>
      <x:c r="B2155" s="2" t="str">
        <x:v>Junio</x:v>
      </x:c>
      <x:c r="C2155" s="2" t="str">
        <x:v>RE-112921-1</x:v>
      </x:c>
      <x:c r="D2155" s="2" t="str">
        <x:v>Parque eólico A Pastoriza</x:v>
      </x:c>
      <x:c r="E2155" s="4" t="n">
        <x:v>6.198</x:v>
      </x:c>
      <x:c r="F2155" s="4" t="n">
        <x:f>J2155*0.99</x:f>
        <x:v>5.96772</x:v>
      </x:c>
      <x:c r="G2155" s="4" t="n">
        <x:v>36</x:v>
      </x:c>
      <x:c r="H2155" s="4" t="n">
        <x:v>93.02</x:v>
      </x:c>
      <x:c r="I2155" s="5" t="n">
        <x:f t="shared" si="33">F2155*1000*H2155</x:f>
        <x:v>555117.3144</x:v>
      </x:c>
      <x:c r="J2155" t="n">
        <x:v>6.028</x:v>
      </x:c>
    </x:row>
    <x:row r="2156">
      <x:c r="A2156" s="3" t="n">
        <x:v>2023</x:v>
      </x:c>
      <x:c r="B2156" s="2" t="str">
        <x:v>Julio</x:v>
      </x:c>
      <x:c r="C2156" s="2" t="str">
        <x:v>RE-112921-1</x:v>
      </x:c>
      <x:c r="D2156" s="2" t="str">
        <x:v>Parque eólico A Pastoriza</x:v>
      </x:c>
      <x:c r="E2156" s="4" t="n">
        <x:v>5.058</x:v>
      </x:c>
      <x:c r="F2156" s="4" t="n">
        <x:f>J2156*0.95</x:f>
        <x:v>4.731</x:v>
      </x:c>
      <x:c r="G2156" s="4" t="n">
        <x:v>36</x:v>
      </x:c>
      <x:c r="H2156" s="4" t="n">
        <x:v>90.47</x:v>
      </x:c>
      <x:c r="I2156" s="5" t="n">
        <x:f t="shared" si="33">F2156*1000*H2156</x:f>
        <x:v>428013.57</x:v>
      </x:c>
      <x:c r="J2156" t="n">
        <x:v>4.98</x:v>
      </x:c>
    </x:row>
    <x:row r="2157">
      <x:c r="A2157" s="3" t="n">
        <x:v>2023</x:v>
      </x:c>
      <x:c r="B2157" s="2" t="str">
        <x:v>Agosto</x:v>
      </x:c>
      <x:c r="C2157" s="2" t="str">
        <x:v>RE-112921-1</x:v>
      </x:c>
      <x:c r="D2157" s="2" t="str">
        <x:v>Parque eólico A Pastoriza</x:v>
      </x:c>
      <x:c r="E2157" s="4" t="n">
        <x:v>5.01</x:v>
      </x:c>
      <x:c r="F2157" s="4" t="n">
        <x:f>J2157*1.02</x:f>
        <x:v>4.976579999999999</x:v>
      </x:c>
      <x:c r="G2157" s="4" t="n">
        <x:v>36</x:v>
      </x:c>
      <x:c r="H2157" s="4" t="n">
        <x:v>96.05</x:v>
      </x:c>
      <x:c r="I2157" s="5" t="n">
        <x:f t="shared" si="33">F2157*1000*H2157</x:f>
        <x:v>478000.5089999999</x:v>
      </x:c>
      <x:c r="J2157" t="n">
        <x:v>4.879</x:v>
      </x:c>
    </x:row>
    <x:row r="2158">
      <x:c r="A2158" s="3" t="n">
        <x:v>2023</x:v>
      </x:c>
      <x:c r="B2158" s="2" t="str">
        <x:v>Septiembre</x:v>
      </x:c>
      <x:c r="C2158" s="2" t="str">
        <x:v>RE-112921-1</x:v>
      </x:c>
      <x:c r="D2158" s="2" t="str">
        <x:v>Parque eólico A Pastoriza</x:v>
      </x:c>
      <x:c r="E2158" s="4" t="n">
        <x:v>6.877</x:v>
      </x:c>
      <x:c r="F2158" s="4" t="n">
        <x:f>J2158*0.98</x:f>
        <x:v>6.6375399999999996</x:v>
      </x:c>
      <x:c r="G2158" s="4" t="n">
        <x:v>36</x:v>
      </x:c>
      <x:c r="H2158" s="4" t="n">
        <x:v>103.34</x:v>
      </x:c>
      <x:c r="I2158" s="5" t="n">
        <x:f t="shared" si="33">F2158*1000*H2158</x:f>
        <x:v>685923.3836000001</x:v>
      </x:c>
      <x:c r="J2158" t="n">
        <x:v>6.773</x:v>
      </x:c>
    </x:row>
    <x:row r="2159">
      <x:c r="A2159" s="3" t="n">
        <x:v>2023</x:v>
      </x:c>
      <x:c r="B2159" s="2" t="str">
        <x:v>Octubre</x:v>
      </x:c>
      <x:c r="C2159" s="2" t="str">
        <x:v>RE-112921-1</x:v>
      </x:c>
      <x:c r="D2159" s="2" t="str">
        <x:v>Parque eólico A Pastoriza</x:v>
      </x:c>
      <x:c r="E2159" s="4" t="n">
        <x:v>7.27</x:v>
      </x:c>
      <x:c r="F2159" s="4" t="n">
        <x:f>J2159*0.94</x:f>
        <x:v>6.731339999999999</x:v>
      </x:c>
      <x:c r="G2159" s="4" t="n">
        <x:v>36</x:v>
      </x:c>
      <x:c r="H2159" s="4" t="n">
        <x:v>90.14</x:v>
      </x:c>
      <x:c r="I2159" s="5" t="n">
        <x:f t="shared" si="33">F2159*1000*H2159</x:f>
        <x:v>606762.9876</x:v>
      </x:c>
      <x:c r="J2159" t="n">
        <x:v>7.161</x:v>
      </x:c>
    </x:row>
    <x:row r="2160">
      <x:c r="A2160" s="3" t="n">
        <x:v>2023</x:v>
      </x:c>
      <x:c r="B2160" s="2" t="str">
        <x:v>Noviembre</x:v>
      </x:c>
      <x:c r="C2160" s="2" t="str">
        <x:v>RE-112921-1</x:v>
      </x:c>
      <x:c r="D2160" s="2" t="str">
        <x:v>Parque eólico A Pastoriza</x:v>
      </x:c>
      <x:c r="E2160" s="4" t="n">
        <x:v>8.113</x:v>
      </x:c>
      <x:c r="F2160" s="4" t="n">
        <x:f>J2160*1.01</x:f>
        <x:v>7.95072</x:v>
      </x:c>
      <x:c r="G2160" s="4" t="n">
        <x:v>36</x:v>
      </x:c>
      <x:c r="H2160" s="4" t="n">
        <x:v>63.45</x:v>
      </x:c>
      <x:c r="I2160" s="5" t="n">
        <x:f t="shared" si="33">F2160*1000*H2160</x:f>
        <x:v>504473.184</x:v>
      </x:c>
      <x:c r="J2160" t="n">
        <x:v>7.872</x:v>
      </x:c>
    </x:row>
    <x:row r="2161">
      <x:c r="A2161" s="3" t="n">
        <x:v>2023</x:v>
      </x:c>
      <x:c r="B2161" s="2" t="str">
        <x:v>Diciembre</x:v>
      </x:c>
      <x:c r="C2161" s="2" t="str">
        <x:v>RE-112921-1</x:v>
      </x:c>
      <x:c r="D2161" s="2" t="str">
        <x:v>Parque eólico A Pastoriza</x:v>
      </x:c>
      <x:c r="E2161" s="4" t="n">
        <x:v>11.381</x:v>
      </x:c>
      <x:c r="F2161" s="4" t="n">
        <x:f>J2161*0.97</x:f>
        <x:v>10.74178</x:v>
      </x:c>
      <x:c r="G2161" s="4" t="n">
        <x:v>36</x:v>
      </x:c>
      <x:c r="H2161" s="4" t="n">
        <x:v>72.17</x:v>
      </x:c>
      <x:c r="I2161" s="5" t="n">
        <x:f t="shared" si="33">F2161*1000*H2161</x:f>
        <x:v>775234.2626</x:v>
      </x:c>
      <x:c r="J2161" t="n">
        <x:v>11.074</x:v>
      </x:c>
    </x:row>
    <x:row r="2162">
      <x:c r="A2162" s="3" t="n">
        <x:v>2023</x:v>
      </x:c>
      <x:c r="B2162" s="2" t="str">
        <x:v>Enero</x:v>
      </x:c>
      <x:c r="C2162" s="2" t="str">
        <x:v>RE-112922-1</x:v>
      </x:c>
      <x:c r="D2162" s="2" t="str">
        <x:v>Parque eólico Cadeira</x:v>
      </x:c>
      <x:c r="E2162" s="4" t="n">
        <x:v>4.944</x:v>
      </x:c>
      <x:c r="F2162" s="4" t="n">
        <x:f>J2162*1.04</x:f>
        <x:v>4.9816</x:v>
      </x:c>
      <x:c r="G2162" s="4" t="n">
        <x:v>19.8</x:v>
      </x:c>
      <x:c r="H2162" s="4" t="n">
        <x:v>69.55</x:v>
      </x:c>
      <x:c r="I2162" s="5" t="n">
        <x:f t="shared" si="33">F2162*1000*H2162</x:f>
        <x:v>346470.28</x:v>
      </x:c>
      <x:c r="J2162" t="n">
        <x:v>4.79</x:v>
      </x:c>
    </x:row>
    <x:row r="2163">
      <x:c r="A2163" s="3" t="n">
        <x:v>2023</x:v>
      </x:c>
      <x:c r="B2163" s="2" t="str">
        <x:v>Febrero</x:v>
      </x:c>
      <x:c r="C2163" s="2" t="str">
        <x:v>RE-112922-1</x:v>
      </x:c>
      <x:c r="D2163" s="2" t="str">
        <x:v>Parque eólico Cadeira</x:v>
      </x:c>
      <x:c r="E2163" s="4" t="n">
        <x:v>5.115</x:v>
      </x:c>
      <x:c r="F2163" s="4" t="n">
        <x:f>J2163*1</x:f>
        <x:v>4.997</x:v>
      </x:c>
      <x:c r="G2163" s="4" t="n">
        <x:v>19.8</x:v>
      </x:c>
      <x:c r="H2163" s="4" t="n">
        <x:v>133.47</x:v>
      </x:c>
      <x:c r="I2163" s="5" t="n">
        <x:f t="shared" si="33">F2163*1000*H2163</x:f>
        <x:v>666949.59</x:v>
      </x:c>
      <x:c r="J2163" t="n">
        <x:v>4.997</x:v>
      </x:c>
    </x:row>
    <x:row r="2164">
      <x:c r="A2164" s="3" t="n">
        <x:v>2023</x:v>
      </x:c>
      <x:c r="B2164" s="2" t="str">
        <x:v>Marzo</x:v>
      </x:c>
      <x:c r="C2164" s="2" t="str">
        <x:v>RE-112922-1</x:v>
      </x:c>
      <x:c r="D2164" s="2" t="str">
        <x:v>Parque eólico Cadeira</x:v>
      </x:c>
      <x:c r="E2164" s="4" t="n">
        <x:v>4.133</x:v>
      </x:c>
      <x:c r="F2164" s="4" t="n">
        <x:f>J2164*0.96</x:f>
        <x:v>3.8543999999999996</x:v>
      </x:c>
      <x:c r="G2164" s="4" t="n">
        <x:v>19.8</x:v>
      </x:c>
      <x:c r="H2164" s="4" t="n">
        <x:v>89.61</x:v>
      </x:c>
      <x:c r="I2164" s="5" t="n">
        <x:f t="shared" si="33">F2164*1000*H2164</x:f>
        <x:v>345392.784</x:v>
      </x:c>
      <x:c r="J2164" t="n">
        <x:v>4.015</x:v>
      </x:c>
    </x:row>
    <x:row r="2165">
      <x:c r="A2165" s="3" t="n">
        <x:v>2023</x:v>
      </x:c>
      <x:c r="B2165" s="2" t="str">
        <x:v>Abril</x:v>
      </x:c>
      <x:c r="C2165" s="2" t="str">
        <x:v>RE-112922-1</x:v>
      </x:c>
      <x:c r="D2165" s="2" t="str">
        <x:v>Parque eólico Cadeira</x:v>
      </x:c>
      <x:c r="E2165" s="4" t="n">
        <x:v>3.886</x:v>
      </x:c>
      <x:c r="F2165" s="4" t="n">
        <x:f>J2165*1.03</x:f>
        <x:v>3.9366600000000003</x:v>
      </x:c>
      <x:c r="G2165" s="4" t="n">
        <x:v>19.8</x:v>
      </x:c>
      <x:c r="H2165" s="4" t="n">
        <x:v>73.73</x:v>
      </x:c>
      <x:c r="I2165" s="5" t="n">
        <x:f t="shared" si="33">F2165*1000*H2165</x:f>
        <x:v>290249.94180000003</x:v>
      </x:c>
      <x:c r="J2165" t="n">
        <x:v>3.822</x:v>
      </x:c>
    </x:row>
    <x:row r="2166">
      <x:c r="A2166" s="3" t="n">
        <x:v>2023</x:v>
      </x:c>
      <x:c r="B2166" s="2" t="str">
        <x:v>Mayo</x:v>
      </x:c>
      <x:c r="C2166" s="2" t="str">
        <x:v>RE-112922-1</x:v>
      </x:c>
      <x:c r="D2166" s="2" t="str">
        <x:v>Parque eólico Cadeira</x:v>
      </x:c>
      <x:c r="E2166" s="4" t="n">
        <x:v>3.272</x:v>
      </x:c>
      <x:c r="F2166" s="4" t="n">
        <x:f>J2166*0.99</x:f>
        <x:v>3.18087</x:v>
      </x:c>
      <x:c r="G2166" s="4" t="n">
        <x:v>19.8</x:v>
      </x:c>
      <x:c r="H2166" s="4" t="n">
        <x:v>74.21</x:v>
      </x:c>
      <x:c r="I2166" s="5" t="n">
        <x:f t="shared" si="33">F2166*1000*H2166</x:f>
        <x:v>236052.36269999997</x:v>
      </x:c>
      <x:c r="J2166" t="n">
        <x:v>3.213</x:v>
      </x:c>
    </x:row>
    <x:row r="2167">
      <x:c r="A2167" s="3" t="n">
        <x:v>2023</x:v>
      </x:c>
      <x:c r="B2167" s="2" t="str">
        <x:v>Junio</x:v>
      </x:c>
      <x:c r="C2167" s="2" t="str">
        <x:v>RE-112922-1</x:v>
      </x:c>
      <x:c r="D2167" s="2" t="str">
        <x:v>Parque eólico Cadeira</x:v>
      </x:c>
      <x:c r="E2167" s="4" t="n">
        <x:v>3.204</x:v>
      </x:c>
      <x:c r="F2167" s="4" t="n">
        <x:f>J2167*0.95</x:f>
        <x:v>2.98015</x:v>
      </x:c>
      <x:c r="G2167" s="4" t="n">
        <x:v>19.8</x:v>
      </x:c>
      <x:c r="H2167" s="4" t="n">
        <x:v>93.02</x:v>
      </x:c>
      <x:c r="I2167" s="5" t="n">
        <x:f t="shared" si="33">F2167*1000*H2167</x:f>
        <x:v>277213.553</x:v>
      </x:c>
      <x:c r="J2167" t="n">
        <x:v>3.137</x:v>
      </x:c>
    </x:row>
    <x:row r="2168">
      <x:c r="A2168" s="3" t="n">
        <x:v>2023</x:v>
      </x:c>
      <x:c r="B2168" s="2" t="str">
        <x:v>Julio</x:v>
      </x:c>
      <x:c r="C2168" s="2" t="str">
        <x:v>RE-112922-1</x:v>
      </x:c>
      <x:c r="D2168" s="2" t="str">
        <x:v>Parque eólico Cadeira</x:v>
      </x:c>
      <x:c r="E2168" s="4" t="n">
        <x:v>3.03</x:v>
      </x:c>
      <x:c r="F2168" s="4" t="n">
        <x:f>J2168*1.02</x:f>
        <x:v>3.0253200000000002</x:v>
      </x:c>
      <x:c r="G2168" s="4" t="n">
        <x:v>19.8</x:v>
      </x:c>
      <x:c r="H2168" s="4" t="n">
        <x:v>90.47</x:v>
      </x:c>
      <x:c r="I2168" s="5" t="n">
        <x:f t="shared" si="33">F2168*1000*H2168</x:f>
        <x:v>273700.70040000003</x:v>
      </x:c>
      <x:c r="J2168" t="n">
        <x:v>2.966</x:v>
      </x:c>
    </x:row>
    <x:row r="2169">
      <x:c r="A2169" s="3" t="n">
        <x:v>2023</x:v>
      </x:c>
      <x:c r="B2169" s="2" t="str">
        <x:v>Agosto</x:v>
      </x:c>
      <x:c r="C2169" s="2" t="str">
        <x:v>RE-112922-1</x:v>
      </x:c>
      <x:c r="D2169" s="2" t="str">
        <x:v>Parque eólico Cadeira</x:v>
      </x:c>
      <x:c r="E2169" s="4" t="n">
        <x:v>2.911</x:v>
      </x:c>
      <x:c r="F2169" s="4" t="n">
        <x:f>J2169*0.98</x:f>
        <x:v>2.7724200000000003</x:v>
      </x:c>
      <x:c r="G2169" s="4" t="n">
        <x:v>19.8</x:v>
      </x:c>
      <x:c r="H2169" s="4" t="n">
        <x:v>96.05</x:v>
      </x:c>
      <x:c r="I2169" s="5" t="n">
        <x:f t="shared" si="33">F2169*1000*H2169</x:f>
        <x:v>266290.94100000005</x:v>
      </x:c>
      <x:c r="J2169" t="n">
        <x:v>2.829</x:v>
      </x:c>
    </x:row>
    <x:row r="2170">
      <x:c r="A2170" s="3" t="n">
        <x:v>2023</x:v>
      </x:c>
      <x:c r="B2170" s="2" t="str">
        <x:v>Septiembre</x:v>
      </x:c>
      <x:c r="C2170" s="2" t="str">
        <x:v>RE-112922-1</x:v>
      </x:c>
      <x:c r="D2170" s="2" t="str">
        <x:v>Parque eólico Cadeira</x:v>
      </x:c>
      <x:c r="E2170" s="4" t="n">
        <x:v>3.351</x:v>
      </x:c>
      <x:c r="F2170" s="4" t="n">
        <x:f>J2170*0.94</x:f>
        <x:v>3.0794399999999995</x:v>
      </x:c>
      <x:c r="G2170" s="4" t="n">
        <x:v>19.8</x:v>
      </x:c>
      <x:c r="H2170" s="4" t="n">
        <x:v>103.34</x:v>
      </x:c>
      <x:c r="I2170" s="5" t="n">
        <x:f t="shared" si="33">F2170*1000*H2170</x:f>
        <x:v>318229.3296</x:v>
      </x:c>
      <x:c r="J2170" t="n">
        <x:v>3.276</x:v>
      </x:c>
    </x:row>
    <x:row r="2171">
      <x:c r="A2171" s="3" t="n">
        <x:v>2023</x:v>
      </x:c>
      <x:c r="B2171" s="2" t="str">
        <x:v>Octubre</x:v>
      </x:c>
      <x:c r="C2171" s="2" t="str">
        <x:v>RE-112922-1</x:v>
      </x:c>
      <x:c r="D2171" s="2" t="str">
        <x:v>Parque eólico Cadeira</x:v>
      </x:c>
      <x:c r="E2171" s="4" t="n">
        <x:v>4.152</x:v>
      </x:c>
      <x:c r="F2171" s="4" t="n">
        <x:f>J2171*1.01</x:f>
        <x:v>4.09151</x:v>
      </x:c>
      <x:c r="G2171" s="4" t="n">
        <x:v>19.8</x:v>
      </x:c>
      <x:c r="H2171" s="4" t="n">
        <x:v>90.14</x:v>
      </x:c>
      <x:c r="I2171" s="5" t="n">
        <x:f t="shared" si="33">F2171*1000*H2171</x:f>
        <x:v>368808.71140000003</x:v>
      </x:c>
      <x:c r="J2171" t="n">
        <x:v>4.051</x:v>
      </x:c>
    </x:row>
    <x:row r="2172">
      <x:c r="A2172" s="3" t="n">
        <x:v>2023</x:v>
      </x:c>
      <x:c r="B2172" s="2" t="str">
        <x:v>Noviembre</x:v>
      </x:c>
      <x:c r="C2172" s="2" t="str">
        <x:v>RE-112922-1</x:v>
      </x:c>
      <x:c r="D2172" s="2" t="str">
        <x:v>Parque eólico Cadeira</x:v>
      </x:c>
      <x:c r="E2172" s="4" t="n">
        <x:v>4.794</x:v>
      </x:c>
      <x:c r="F2172" s="4" t="n">
        <x:f>J2172*0.97</x:f>
        <x:v>4.5134099999999995</x:v>
      </x:c>
      <x:c r="G2172" s="4" t="n">
        <x:v>19.8</x:v>
      </x:c>
      <x:c r="H2172" s="4" t="n">
        <x:v>63.45</x:v>
      </x:c>
      <x:c r="I2172" s="5" t="n">
        <x:f t="shared" si="33">F2172*1000*H2172</x:f>
        <x:v>286375.8645</x:v>
      </x:c>
      <x:c r="J2172" t="n">
        <x:v>4.653</x:v>
      </x:c>
    </x:row>
    <x:row r="2173">
      <x:c r="A2173" s="3" t="n">
        <x:v>2023</x:v>
      </x:c>
      <x:c r="B2173" s="2" t="str">
        <x:v>Diciembre</x:v>
      </x:c>
      <x:c r="C2173" s="2" t="str">
        <x:v>RE-112922-1</x:v>
      </x:c>
      <x:c r="D2173" s="2" t="str">
        <x:v>Parque eólico Cadeira</x:v>
      </x:c>
      <x:c r="E2173" s="4" t="n">
        <x:v>4.849</x:v>
      </x:c>
      <x:c r="F2173" s="4" t="n">
        <x:f>J2173*1.04</x:f>
        <x:v>4.957680000000001</x:v>
      </x:c>
      <x:c r="G2173" s="4" t="n">
        <x:v>19.8</x:v>
      </x:c>
      <x:c r="H2173" s="4" t="n">
        <x:v>72.17</x:v>
      </x:c>
      <x:c r="I2173" s="5" t="n">
        <x:f t="shared" si="33">F2173*1000*H2173</x:f>
        <x:v>357795.7656000001</x:v>
      </x:c>
      <x:c r="J2173" t="n">
        <x:v>4.767</x:v>
      </x:c>
    </x:row>
    <x:row r="2174">
      <x:c r="A2174" s="3" t="n">
        <x:v>2023</x:v>
      </x:c>
      <x:c r="B2174" s="2" t="str">
        <x:v>Enero</x:v>
      </x:c>
      <x:c r="C2174" s="2" t="str">
        <x:v>RE-112923-1</x:v>
      </x:c>
      <x:c r="D2174" s="2" t="str">
        <x:v>Parque eólico Pastoriza-Rodeiro</x:v>
      </x:c>
      <x:c r="E2174" s="4" t="n">
        <x:v>13.495</x:v>
      </x:c>
      <x:c r="F2174" s="4" t="n">
        <x:f>J2174*1</x:f>
        <x:v>13.21</x:v>
      </x:c>
      <x:c r="G2174" s="4" t="n">
        <x:v>48.5</x:v>
      </x:c>
      <x:c r="H2174" s="4" t="n">
        <x:v>69.55</x:v>
      </x:c>
      <x:c r="I2174" s="5" t="n">
        <x:f t="shared" si="33">F2174*1000*H2174</x:f>
        <x:v>918755.5</x:v>
      </x:c>
      <x:c r="J2174" t="n">
        <x:v>13.21</x:v>
      </x:c>
    </x:row>
    <x:row r="2175">
      <x:c r="A2175" s="3" t="n">
        <x:v>2023</x:v>
      </x:c>
      <x:c r="B2175" s="2" t="str">
        <x:v>Febrero</x:v>
      </x:c>
      <x:c r="C2175" s="2" t="str">
        <x:v>RE-112923-1</x:v>
      </x:c>
      <x:c r="D2175" s="2" t="str">
        <x:v>Parque eólico Pastoriza-Rodeiro</x:v>
      </x:c>
      <x:c r="E2175" s="4" t="n">
        <x:v>10.994</x:v>
      </x:c>
      <x:c r="F2175" s="4" t="n">
        <x:f>J2175*0.96</x:f>
        <x:v>10.224</x:v>
      </x:c>
      <x:c r="G2175" s="4" t="n">
        <x:v>48.5</x:v>
      </x:c>
      <x:c r="H2175" s="4" t="n">
        <x:v>133.47</x:v>
      </x:c>
      <x:c r="I2175" s="5" t="n">
        <x:f t="shared" si="33">F2175*1000*H2175</x:f>
        <x:v>1364597.28</x:v>
      </x:c>
      <x:c r="J2175" t="n">
        <x:v>10.65</x:v>
      </x:c>
    </x:row>
    <x:row r="2176">
      <x:c r="A2176" s="3" t="n">
        <x:v>2023</x:v>
      </x:c>
      <x:c r="B2176" s="2" t="str">
        <x:v>Marzo</x:v>
      </x:c>
      <x:c r="C2176" s="2" t="str">
        <x:v>RE-112923-1</x:v>
      </x:c>
      <x:c r="D2176" s="2" t="str">
        <x:v>Parque eólico Pastoriza-Rodeiro</x:v>
      </x:c>
      <x:c r="E2176" s="4" t="n">
        <x:v>12.065</x:v>
      </x:c>
      <x:c r="F2176" s="4" t="n">
        <x:f>J2176*1.03</x:f>
        <x:v>12.15812</x:v>
      </x:c>
      <x:c r="G2176" s="4" t="n">
        <x:v>48.5</x:v>
      </x:c>
      <x:c r="H2176" s="4" t="n">
        <x:v>89.61</x:v>
      </x:c>
      <x:c r="I2176" s="5" t="n">
        <x:f t="shared" si="33">F2176*1000*H2176</x:f>
        <x:v>1089489.1332</x:v>
      </x:c>
      <x:c r="J2176" t="n">
        <x:v>11.804</x:v>
      </x:c>
    </x:row>
    <x:row r="2177">
      <x:c r="A2177" s="3" t="n">
        <x:v>2023</x:v>
      </x:c>
      <x:c r="B2177" s="2" t="str">
        <x:v>Abril</x:v>
      </x:c>
      <x:c r="C2177" s="2" t="str">
        <x:v>RE-112923-1</x:v>
      </x:c>
      <x:c r="D2177" s="2" t="str">
        <x:v>Parque eólico Pastoriza-Rodeiro</x:v>
      </x:c>
      <x:c r="E2177" s="4" t="n">
        <x:v>9.617</x:v>
      </x:c>
      <x:c r="F2177" s="4" t="n">
        <x:f>J2177*0.99</x:f>
        <x:v>9.22383</x:v>
      </x:c>
      <x:c r="G2177" s="4" t="n">
        <x:v>48.5</x:v>
      </x:c>
      <x:c r="H2177" s="4" t="n">
        <x:v>73.73</x:v>
      </x:c>
      <x:c r="I2177" s="5" t="n">
        <x:f t="shared" si="33">F2177*1000*H2177</x:f>
        <x:v>680072.9859000001</x:v>
      </x:c>
      <x:c r="J2177" t="n">
        <x:v>9.317</x:v>
      </x:c>
    </x:row>
    <x:row r="2178">
      <x:c r="A2178" s="3" t="n">
        <x:v>2023</x:v>
      </x:c>
      <x:c r="B2178" s="2" t="str">
        <x:v>Mayo</x:v>
      </x:c>
      <x:c r="C2178" s="2" t="str">
        <x:v>RE-112923-1</x:v>
      </x:c>
      <x:c r="D2178" s="2" t="str">
        <x:v>Parque eólico Pastoriza-Rodeiro</x:v>
      </x:c>
      <x:c r="E2178" s="4" t="n">
        <x:v>7.951</x:v>
      </x:c>
      <x:c r="F2178" s="4" t="n">
        <x:f>J2178*0.95</x:f>
        <x:v>7.39765</x:v>
      </x:c>
      <x:c r="G2178" s="4" t="n">
        <x:v>48.5</x:v>
      </x:c>
      <x:c r="H2178" s="4" t="n">
        <x:v>74.21</x:v>
      </x:c>
      <x:c r="I2178" s="5" t="n">
        <x:f t="shared" ref="I2178:I2197" si="34">F2178*1000*H2178</x:f>
        <x:v>548979.6064999999</x:v>
      </x:c>
      <x:c r="J2178" t="n">
        <x:v>7.787</x:v>
      </x:c>
    </x:row>
    <x:row r="2179">
      <x:c r="A2179" s="3" t="n">
        <x:v>2023</x:v>
      </x:c>
      <x:c r="B2179" s="2" t="str">
        <x:v>Junio</x:v>
      </x:c>
      <x:c r="C2179" s="2" t="str">
        <x:v>RE-112923-1</x:v>
      </x:c>
      <x:c r="D2179" s="2" t="str">
        <x:v>Parque eólico Pastoriza-Rodeiro</x:v>
      </x:c>
      <x:c r="E2179" s="4" t="n">
        <x:v>6.192</x:v>
      </x:c>
      <x:c r="F2179" s="4" t="n">
        <x:f>J2179*1.02</x:f>
        <x:v>6.18222</x:v>
      </x:c>
      <x:c r="G2179" s="4" t="n">
        <x:v>48.5</x:v>
      </x:c>
      <x:c r="H2179" s="4" t="n">
        <x:v>93.02</x:v>
      </x:c>
      <x:c r="I2179" s="5" t="n">
        <x:f t="shared" si="34">F2179*1000*H2179</x:f>
        <x:v>575070.1044</x:v>
      </x:c>
      <x:c r="J2179" t="n">
        <x:v>6.061</x:v>
      </x:c>
    </x:row>
    <x:row r="2180">
      <x:c r="A2180" s="3" t="n">
        <x:v>2023</x:v>
      </x:c>
      <x:c r="B2180" s="2" t="str">
        <x:v>Julio</x:v>
      </x:c>
      <x:c r="C2180" s="2" t="str">
        <x:v>RE-112923-1</x:v>
      </x:c>
      <x:c r="D2180" s="2" t="str">
        <x:v>Parque eólico Pastoriza-Rodeiro</x:v>
      </x:c>
      <x:c r="E2180" s="4" t="n">
        <x:v>7.204</x:v>
      </x:c>
      <x:c r="F2180" s="4" t="n">
        <x:f>J2180*0.98</x:f>
        <x:v>6.859019999999999</x:v>
      </x:c>
      <x:c r="G2180" s="4" t="n">
        <x:v>48.5</x:v>
      </x:c>
      <x:c r="H2180" s="4" t="n">
        <x:v>90.47</x:v>
      </x:c>
      <x:c r="I2180" s="5" t="n">
        <x:f t="shared" si="34">F2180*1000*H2180</x:f>
        <x:v>620535.5393999999</x:v>
      </x:c>
      <x:c r="J2180" t="n">
        <x:v>6.999</x:v>
      </x:c>
    </x:row>
    <x:row r="2181">
      <x:c r="A2181" s="3" t="n">
        <x:v>2023</x:v>
      </x:c>
      <x:c r="B2181" s="2" t="str">
        <x:v>Agosto</x:v>
      </x:c>
      <x:c r="C2181" s="2" t="str">
        <x:v>RE-112923-1</x:v>
      </x:c>
      <x:c r="D2181" s="2" t="str">
        <x:v>Parque eólico Pastoriza-Rodeiro</x:v>
      </x:c>
      <x:c r="E2181" s="4" t="n">
        <x:v>6.749</x:v>
      </x:c>
      <x:c r="F2181" s="4" t="n">
        <x:f>J2181*0.94</x:f>
        <x:v>6.18332</x:v>
      </x:c>
      <x:c r="G2181" s="4" t="n">
        <x:v>48.5</x:v>
      </x:c>
      <x:c r="H2181" s="4" t="n">
        <x:v>96.05</x:v>
      </x:c>
      <x:c r="I2181" s="5" t="n">
        <x:f t="shared" si="34">F2181*1000*H2181</x:f>
        <x:v>593907.8859999999</x:v>
      </x:c>
      <x:c r="J2181" t="n">
        <x:v>6.578</x:v>
      </x:c>
    </x:row>
    <x:row r="2182">
      <x:c r="A2182" s="3" t="n">
        <x:v>2023</x:v>
      </x:c>
      <x:c r="B2182" s="2" t="str">
        <x:v>Septiembre</x:v>
      </x:c>
      <x:c r="C2182" s="2" t="str">
        <x:v>RE-112923-1</x:v>
      </x:c>
      <x:c r="D2182" s="2" t="str">
        <x:v>Parque eólico Pastoriza-Rodeiro</x:v>
      </x:c>
      <x:c r="E2182" s="4" t="n">
        <x:v>7.189</x:v>
      </x:c>
      <x:c r="F2182" s="4" t="n">
        <x:f>J2182*1.01</x:f>
        <x:v>7.10434</x:v>
      </x:c>
      <x:c r="G2182" s="4" t="n">
        <x:v>48.5</x:v>
      </x:c>
      <x:c r="H2182" s="4" t="n">
        <x:v>103.34</x:v>
      </x:c>
      <x:c r="I2182" s="5" t="n">
        <x:f t="shared" si="34">F2182*1000*H2182</x:f>
        <x:v>734162.4955999999</x:v>
      </x:c>
      <x:c r="J2182" t="n">
        <x:v>7.034</x:v>
      </x:c>
    </x:row>
    <x:row r="2183">
      <x:c r="A2183" s="3" t="n">
        <x:v>2023</x:v>
      </x:c>
      <x:c r="B2183" s="2" t="str">
        <x:v>Octubre</x:v>
      </x:c>
      <x:c r="C2183" s="2" t="str">
        <x:v>RE-112923-1</x:v>
      </x:c>
      <x:c r="D2183" s="2" t="str">
        <x:v>Parque eólico Pastoriza-Rodeiro</x:v>
      </x:c>
      <x:c r="E2183" s="4" t="n">
        <x:v>9.109</x:v>
      </x:c>
      <x:c r="F2183" s="4" t="n">
        <x:f>J2183*0.97</x:f>
        <x:v>8.6815</x:v>
      </x:c>
      <x:c r="G2183" s="4" t="n">
        <x:v>48.5</x:v>
      </x:c>
      <x:c r="H2183" s="4" t="n">
        <x:v>90.14</x:v>
      </x:c>
      <x:c r="I2183" s="5" t="n">
        <x:f t="shared" si="34">F2183*1000*H2183</x:f>
        <x:v>782550.41</x:v>
      </x:c>
      <x:c r="J2183" t="n">
        <x:v>8.95</x:v>
      </x:c>
    </x:row>
    <x:row r="2184">
      <x:c r="A2184" s="3" t="n">
        <x:v>2023</x:v>
      </x:c>
      <x:c r="B2184" s="2" t="str">
        <x:v>Noviembre</x:v>
      </x:c>
      <x:c r="C2184" s="2" t="str">
        <x:v>RE-112923-1</x:v>
      </x:c>
      <x:c r="D2184" s="2" t="str">
        <x:v>Parque eólico Pastoriza-Rodeiro</x:v>
      </x:c>
      <x:c r="E2184" s="4" t="n">
        <x:v>9.825</x:v>
      </x:c>
      <x:c r="F2184" s="4" t="n">
        <x:f>J2184*1.04</x:f>
        <x:v>9.96736</x:v>
      </x:c>
      <x:c r="G2184" s="4" t="n">
        <x:v>48.5</x:v>
      </x:c>
      <x:c r="H2184" s="4" t="n">
        <x:v>63.45</x:v>
      </x:c>
      <x:c r="I2184" s="5" t="n">
        <x:f t="shared" si="34">F2184*1000*H2184</x:f>
        <x:v>632428.992</x:v>
      </x:c>
      <x:c r="J2184" t="n">
        <x:v>9.584</x:v>
      </x:c>
    </x:row>
    <x:row r="2185">
      <x:c r="A2185" s="3" t="n">
        <x:v>2023</x:v>
      </x:c>
      <x:c r="B2185" s="2" t="str">
        <x:v>Diciembre</x:v>
      </x:c>
      <x:c r="C2185" s="2" t="str">
        <x:v>RE-112923-1</x:v>
      </x:c>
      <x:c r="D2185" s="2" t="str">
        <x:v>Parque eólico Pastoriza-Rodeiro</x:v>
      </x:c>
      <x:c r="E2185" s="4" t="n">
        <x:v>11.864</x:v>
      </x:c>
      <x:c r="F2185" s="4" t="n">
        <x:f>J2185*1</x:f>
        <x:v>11.529</x:v>
      </x:c>
      <x:c r="G2185" s="4" t="n">
        <x:v>48.5</x:v>
      </x:c>
      <x:c r="H2185" s="4" t="n">
        <x:v>72.17</x:v>
      </x:c>
      <x:c r="I2185" s="5" t="n">
        <x:f t="shared" si="34">F2185*1000*H2185</x:f>
        <x:v>832047.93</x:v>
      </x:c>
      <x:c r="J2185" t="n">
        <x:v>11.529</x:v>
      </x:c>
    </x:row>
    <x:row r="2186">
      <x:c r="A2186" s="3" t="n">
        <x:v>2023</x:v>
      </x:c>
      <x:c r="B2186" s="2" t="str">
        <x:v>Enero</x:v>
      </x:c>
      <x:c r="C2186" s="2" t="str">
        <x:v>RE-112924-1</x:v>
      </x:c>
      <x:c r="D2186" s="2" t="str">
        <x:v>Parque eólico Monciro</x:v>
      </x:c>
      <x:c r="E2186" s="4" t="n">
        <x:v>8.3055</x:v>
      </x:c>
      <x:c r="F2186" s="4" t="n">
        <x:f>J2186*0.96</x:f>
        <x:v>7.79688</x:v>
      </x:c>
      <x:c r="G2186" s="4" t="n">
        <x:v>31.185</x:v>
      </x:c>
      <x:c r="H2186" s="4" t="n">
        <x:v>69.55</x:v>
      </x:c>
      <x:c r="I2186" s="5" t="n">
        <x:f t="shared" si="34">F2186*1000*H2186</x:f>
        <x:v>542273.004</x:v>
      </x:c>
      <x:c r="J2186" t="n">
        <x:v>8.12175</x:v>
      </x:c>
    </x:row>
    <x:row r="2187">
      <x:c r="A2187" s="3" t="n">
        <x:v>2023</x:v>
      </x:c>
      <x:c r="B2187" s="2" t="str">
        <x:v>Enero</x:v>
      </x:c>
      <x:c r="C2187" s="2" t="str">
        <x:v>RE-112924-2</x:v>
      </x:c>
      <x:c r="D2187" s="2" t="str">
        <x:v>Parque eólico Monciro</x:v>
      </x:c>
      <x:c r="E2187" s="4" t="n">
        <x:v>2.7684999999999995</x:v>
      </x:c>
      <x:c r="F2187" s="4" t="n">
        <x:f>J2187*0.96</x:f>
        <x:v>2.59896</x:v>
      </x:c>
      <x:c r="G2187" s="4" t="n">
        <x:v>10.395</x:v>
      </x:c>
      <x:c r="H2187" s="4" t="n">
        <x:v>69.55</x:v>
      </x:c>
      <x:c r="I2187" s="5" t="n">
        <x:f t="shared" si="34">F2187*1000*H2187</x:f>
        <x:v>180757.668</x:v>
      </x:c>
      <x:c r="J2187" t="n">
        <x:v>2.70725</x:v>
      </x:c>
    </x:row>
    <x:row r="2188">
      <x:c r="A2188" s="3" t="n">
        <x:v>2023</x:v>
      </x:c>
      <x:c r="B2188" s="2" t="str">
        <x:v>Febrero</x:v>
      </x:c>
      <x:c r="C2188" s="2" t="str">
        <x:v>RE-112924-1</x:v>
      </x:c>
      <x:c r="D2188" s="2" t="str">
        <x:v>Parque eólico Monciro</x:v>
      </x:c>
      <x:c r="E2188" s="4" t="n">
        <x:v>7.46925</x:v>
      </x:c>
      <x:c r="F2188" s="4" t="n">
        <x:f>J2188*1.03</x:f>
        <x:v>7.507155</x:v>
      </x:c>
      <x:c r="G2188" s="4" t="n">
        <x:v>31.185</x:v>
      </x:c>
      <x:c r="H2188" s="4" t="n">
        <x:v>133.47</x:v>
      </x:c>
      <x:c r="I2188" s="5" t="n">
        <x:f t="shared" si="34">F2188*1000*H2188</x:f>
        <x:v>1001979.9778499999</x:v>
      </x:c>
      <x:c r="J2188" t="n">
        <x:v>7.2885</x:v>
      </x:c>
    </x:row>
    <x:row r="2189">
      <x:c r="A2189" s="3" t="n">
        <x:v>2023</x:v>
      </x:c>
      <x:c r="B2189" s="2" t="str">
        <x:v>Febrero</x:v>
      </x:c>
      <x:c r="C2189" s="2" t="str">
        <x:v>RE-112924-2</x:v>
      </x:c>
      <x:c r="D2189" s="2" t="str">
        <x:v>Parque eólico Monciro</x:v>
      </x:c>
      <x:c r="E2189" s="4" t="n">
        <x:v>2.48975</x:v>
      </x:c>
      <x:c r="F2189" s="4" t="n">
        <x:f>J2189*1.03</x:f>
        <x:v>2.502385</x:v>
      </x:c>
      <x:c r="G2189" s="4" t="n">
        <x:v>10.395</x:v>
      </x:c>
      <x:c r="H2189" s="4" t="n">
        <x:v>133.47</x:v>
      </x:c>
      <x:c r="I2189" s="5" t="n">
        <x:f t="shared" si="34">F2189*1000*H2189</x:f>
        <x:v>333993.32594999997</x:v>
      </x:c>
      <x:c r="J2189" t="n">
        <x:v>2.4295</x:v>
      </x:c>
    </x:row>
    <x:row r="2190">
      <x:c r="A2190" s="3" t="n">
        <x:v>2023</x:v>
      </x:c>
      <x:c r="B2190" s="2" t="str">
        <x:v>Marzo</x:v>
      </x:c>
      <x:c r="C2190" s="2" t="str">
        <x:v>RE-112924-1</x:v>
      </x:c>
      <x:c r="D2190" s="2" t="str">
        <x:v>Parque eólico Monciro</x:v>
      </x:c>
      <x:c r="E2190" s="4" t="n">
        <x:v>7.5435</x:v>
      </x:c>
      <x:c r="F2190" s="4" t="n">
        <x:f>J2190*0.99</x:f>
        <x:v>7.2683325</x:v>
      </x:c>
      <x:c r="G2190" s="4" t="n">
        <x:v>31.185</x:v>
      </x:c>
      <x:c r="H2190" s="4" t="n">
        <x:v>89.61</x:v>
      </x:c>
      <x:c r="I2190" s="5" t="n">
        <x:f t="shared" si="34">F2190*1000*H2190</x:f>
        <x:v>651315.2753249999</x:v>
      </x:c>
      <x:c r="J2190" t="n">
        <x:v>7.341749999999999</x:v>
      </x:c>
    </x:row>
    <x:row r="2191">
      <x:c r="A2191" s="3" t="n">
        <x:v>2023</x:v>
      </x:c>
      <x:c r="B2191" s="2" t="str">
        <x:v>Marzo</x:v>
      </x:c>
      <x:c r="C2191" s="2" t="str">
        <x:v>RE-112924-2</x:v>
      </x:c>
      <x:c r="D2191" s="2" t="str">
        <x:v>Parque eólico Monciro</x:v>
      </x:c>
      <x:c r="E2191" s="4" t="n">
        <x:v>2.5145</x:v>
      </x:c>
      <x:c r="F2191" s="4" t="n">
        <x:f>J2191*0.99</x:f>
        <x:v>2.4227775000000005</x:v>
      </x:c>
      <x:c r="G2191" s="4" t="n">
        <x:v>10.395</x:v>
      </x:c>
      <x:c r="H2191" s="4" t="n">
        <x:v>89.61</x:v>
      </x:c>
      <x:c r="I2191" s="5" t="n">
        <x:f t="shared" si="34">F2191*1000*H2191</x:f>
        <x:v>217105.09177500007</x:v>
      </x:c>
      <x:c r="J2191" t="n">
        <x:v>2.4472500000000004</x:v>
      </x:c>
    </x:row>
    <x:row r="2192">
      <x:c r="A2192" s="3" t="n">
        <x:v>2023</x:v>
      </x:c>
      <x:c r="B2192" s="2" t="str">
        <x:v>Abril</x:v>
      </x:c>
      <x:c r="C2192" s="2" t="str">
        <x:v>RE-112924-1</x:v>
      </x:c>
      <x:c r="D2192" s="2" t="str">
        <x:v>Parque eólico Monciro</x:v>
      </x:c>
      <x:c r="E2192" s="4" t="n">
        <x:v>5.607</x:v>
      </x:c>
      <x:c r="F2192" s="4" t="n">
        <x:f>J2192*0.95</x:f>
        <x:v>5.208374999999998</x:v>
      </x:c>
      <x:c r="G2192" s="4" t="n">
        <x:v>31.185</x:v>
      </x:c>
      <x:c r="H2192" s="4" t="n">
        <x:v>73.73</x:v>
      </x:c>
      <x:c r="I2192" s="5" t="n">
        <x:f t="shared" si="34">F2192*1000*H2192</x:f>
        <x:v>384013.4887499999</x:v>
      </x:c>
      <x:c r="J2192" t="n">
        <x:v>5.482499999999999</x:v>
      </x:c>
    </x:row>
    <x:row r="2193">
      <x:c r="A2193" s="3" t="n">
        <x:v>2023</x:v>
      </x:c>
      <x:c r="B2193" s="2" t="str">
        <x:v>Abril</x:v>
      </x:c>
      <x:c r="C2193" s="2" t="str">
        <x:v>RE-112924-2</x:v>
      </x:c>
      <x:c r="D2193" s="2" t="str">
        <x:v>Parque eólico Monciro</x:v>
      </x:c>
      <x:c r="E2193" s="4" t="n">
        <x:v>1.8689999999999998</x:v>
      </x:c>
      <x:c r="F2193" s="4" t="n">
        <x:f>J2193*0.95</x:f>
        <x:v>1.7361250000000004</x:v>
      </x:c>
      <x:c r="G2193" s="4" t="n">
        <x:v>10.395</x:v>
      </x:c>
      <x:c r="H2193" s="4" t="n">
        <x:v>73.73</x:v>
      </x:c>
      <x:c r="I2193" s="5" t="n">
        <x:f t="shared" si="34">F2193*1000*H2193</x:f>
        <x:v>128004.49625000004</x:v>
      </x:c>
      <x:c r="J2193" t="n">
        <x:v>1.8275000000000006</x:v>
      </x:c>
    </x:row>
    <x:row r="2194">
      <x:c r="A2194" s="3" t="n">
        <x:v>2023</x:v>
      </x:c>
      <x:c r="B2194" s="2" t="str">
        <x:v>Mayo</x:v>
      </x:c>
      <x:c r="C2194" s="2" t="str">
        <x:v>RE-112924-1</x:v>
      </x:c>
      <x:c r="D2194" s="2" t="str">
        <x:v>Parque eólico Monciro</x:v>
      </x:c>
      <x:c r="E2194" s="4" t="n">
        <x:v>5.32275</x:v>
      </x:c>
      <x:c r="F2194" s="4" t="n">
        <x:f>J2194*1.02</x:f>
        <x:v>5.2693200000000004</x:v>
      </x:c>
      <x:c r="G2194" s="4" t="n">
        <x:v>31.185</x:v>
      </x:c>
      <x:c r="H2194" s="4" t="n">
        <x:v>74.21</x:v>
      </x:c>
      <x:c r="I2194" s="5" t="n">
        <x:f t="shared" si="34">F2194*1000*H2194</x:f>
        <x:v>391036.23720000003</x:v>
      </x:c>
      <x:c r="J2194" t="n">
        <x:v>5.166</x:v>
      </x:c>
    </x:row>
    <x:row r="2195">
      <x:c r="A2195" s="3" t="n">
        <x:v>2023</x:v>
      </x:c>
      <x:c r="B2195" s="2" t="str">
        <x:v>Mayo</x:v>
      </x:c>
      <x:c r="C2195" s="2" t="str">
        <x:v>RE-112924-2</x:v>
      </x:c>
      <x:c r="D2195" s="2" t="str">
        <x:v>Parque eólico Monciro</x:v>
      </x:c>
      <x:c r="E2195" s="4" t="n">
        <x:v>1.7742500000000003</x:v>
      </x:c>
      <x:c r="F2195" s="4" t="n">
        <x:f>J2195*1.02</x:f>
        <x:v>1.7564399999999996</x:v>
      </x:c>
      <x:c r="G2195" s="4" t="n">
        <x:v>10.395</x:v>
      </x:c>
      <x:c r="H2195" s="4" t="n">
        <x:v>74.21</x:v>
      </x:c>
      <x:c r="I2195" s="5" t="n">
        <x:f t="shared" si="34">F2195*1000*H2195</x:f>
        <x:v>130345.41239999996</x:v>
      </x:c>
      <x:c r="J2195" t="n">
        <x:v>1.7219999999999995</x:v>
      </x:c>
    </x:row>
    <x:row r="2196">
      <x:c r="A2196" s="3" t="n">
        <x:v>2023</x:v>
      </x:c>
      <x:c r="B2196" s="2" t="str">
        <x:v>Junio</x:v>
      </x:c>
      <x:c r="C2196" s="2" t="str">
        <x:v>RE-112924-1</x:v>
      </x:c>
      <x:c r="D2196" s="2" t="str">
        <x:v>Parque eólico Monciro</x:v>
      </x:c>
      <x:c r="E2196" s="4" t="n">
        <x:v>4.91925</x:v>
      </x:c>
      <x:c r="F2196" s="4" t="n">
        <x:f>J2196*0.98</x:f>
        <x:v>4.719435000000001</x:v>
      </x:c>
      <x:c r="G2196" s="4" t="n">
        <x:v>31.185</x:v>
      </x:c>
      <x:c r="H2196" s="4" t="n">
        <x:v>93.02</x:v>
      </x:c>
      <x:c r="I2196" s="5" t="n">
        <x:f t="shared" si="34">F2196*1000*H2196</x:f>
        <x:v>439001.8437</x:v>
      </x:c>
      <x:c r="J2196" t="n">
        <x:v>4.81575</x:v>
      </x:c>
    </x:row>
    <x:row r="2197">
      <x:c r="A2197" s="3" t="n">
        <x:v>2023</x:v>
      </x:c>
      <x:c r="B2197" s="2" t="str">
        <x:v>Junio</x:v>
      </x:c>
      <x:c r="C2197" s="2" t="str">
        <x:v>RE-112924-2</x:v>
      </x:c>
      <x:c r="D2197" s="2" t="str">
        <x:v>Parque eólico Monciro</x:v>
      </x:c>
      <x:c r="E2197" s="4" t="n">
        <x:v>1.6397500000000003</x:v>
      </x:c>
      <x:c r="F2197" s="4" t="n">
        <x:f>J2197*0.98</x:f>
        <x:v>1.5731449999999998</x:v>
      </x:c>
      <x:c r="G2197" s="4" t="n">
        <x:v>10.395</x:v>
      </x:c>
      <x:c r="H2197" s="4" t="n">
        <x:v>93.02</x:v>
      </x:c>
      <x:c r="I2197" s="5" t="n">
        <x:f t="shared" si="34">F2197*1000*H2197</x:f>
        <x:v>146333.94789999997</x:v>
      </x:c>
      <x:c r="J2197" t="n">
        <x:v>1.6052499999999998</x:v>
      </x:c>
    </x:row>
    <x:row r="2198">
      <x:c r="A2198" t="n">
        <x:v>2023</x:v>
      </x:c>
      <x:c r="B2198" t="str">
        <x:v>Julio</x:v>
      </x:c>
      <x:c r="C2198" t="str">
        <x:v>RE-112924-1</x:v>
      </x:c>
      <x:c r="D2198" t="str">
        <x:v>Parque eólico Monciro</x:v>
      </x:c>
      <x:c r="E2198" t="n">
        <x:v>4.0815</x:v>
      </x:c>
      <x:c r="F2198" t="n">
        <x:f>J2198*0.94</x:f>
        <x:v>3.7209899999999996</x:v>
      </x:c>
      <x:c r="G2198" t="n">
        <x:v>31.185</x:v>
      </x:c>
      <x:c r="H2198" t="n">
        <x:v>90.47</x:v>
      </x:c>
      <x:c r="I2198" t="n">
        <x:f>F2198*1000*H2198</x:f>
        <x:v>336637.9653</x:v>
      </x:c>
      <x:c r="J2198" t="n">
        <x:v>3.9585</x:v>
      </x:c>
    </x:row>
    <x:row r="2199">
      <x:c r="A2199" t="n">
        <x:v>2023</x:v>
      </x:c>
      <x:c r="B2199" t="str">
        <x:v>Julio</x:v>
      </x:c>
      <x:c r="C2199" t="str">
        <x:v>RE-112924-2</x:v>
      </x:c>
      <x:c r="D2199" t="str">
        <x:v>Parque eólico Monciro</x:v>
      </x:c>
      <x:c r="E2199" t="n">
        <x:v>1.3605</x:v>
      </x:c>
      <x:c r="F2199" t="n">
        <x:f>J2199*0.94</x:f>
        <x:v>1.2403299999999997</x:v>
      </x:c>
      <x:c r="G2199" t="n">
        <x:v>10.395</x:v>
      </x:c>
      <x:c r="H2199" t="n">
        <x:v>90.47</x:v>
      </x:c>
      <x:c r="I2199" t="n">
        <x:f>F2199*1000*H2199</x:f>
        <x:v>112212.65509999997</x:v>
      </x:c>
      <x:c r="J2199" t="n">
        <x:v>1.3194999999999997</x:v>
      </x:c>
    </x:row>
    <x:row r="2200">
      <x:c r="A2200" t="n">
        <x:v>2023</x:v>
      </x:c>
      <x:c r="B2200" t="str">
        <x:v>Agosto</x:v>
      </x:c>
      <x:c r="C2200" t="str">
        <x:v>RE-112924-1</x:v>
      </x:c>
      <x:c r="D2200" t="str">
        <x:v>Parque eólico Monciro</x:v>
      </x:c>
      <x:c r="E2200" t="n">
        <x:v>4.6545000000000005</x:v>
      </x:c>
      <x:c r="F2200" t="n">
        <x:f>J2200*1.01</x:f>
        <x:v>4.60863</x:v>
      </x:c>
      <x:c r="G2200" t="n">
        <x:v>31.185</x:v>
      </x:c>
      <x:c r="H2200" t="n">
        <x:v>96.05</x:v>
      </x:c>
      <x:c r="I2200" t="n">
        <x:f>F2200*1000*H2200</x:f>
        <x:v>442658.9115</x:v>
      </x:c>
      <x:c r="J2200" t="n">
        <x:v>4.563</x:v>
      </x:c>
    </x:row>
    <x:row r="2201">
      <x:c r="A2201" t="n">
        <x:v>2023</x:v>
      </x:c>
      <x:c r="B2201" t="str">
        <x:v>Agosto</x:v>
      </x:c>
      <x:c r="C2201" t="str">
        <x:v>RE-112924-2</x:v>
      </x:c>
      <x:c r="D2201" t="str">
        <x:v>Parque eólico Monciro</x:v>
      </x:c>
      <x:c r="E2201" t="n">
        <x:v>1.5514999999999999</x:v>
      </x:c>
      <x:c r="F2201" t="n">
        <x:f>J2201*1.01</x:f>
        <x:v>1.5362099999999999</x:v>
      </x:c>
      <x:c r="G2201" t="n">
        <x:v>10.395</x:v>
      </x:c>
      <x:c r="H2201" t="n">
        <x:v>96.05</x:v>
      </x:c>
      <x:c r="I2201" t="n">
        <x:f>F2201*1000*H2201</x:f>
        <x:v>147552.97049999997</x:v>
      </x:c>
      <x:c r="J2201" t="n">
        <x:v>1.521</x:v>
      </x:c>
    </x:row>
    <x:row r="2202">
      <x:c r="A2202" t="n">
        <x:v>2023</x:v>
      </x:c>
      <x:c r="B2202" t="str">
        <x:v>Septiembre</x:v>
      </x:c>
      <x:c r="C2202" t="str">
        <x:v>RE-112924-1</x:v>
      </x:c>
      <x:c r="D2202" t="str">
        <x:v>Parque eólico Monciro</x:v>
      </x:c>
      <x:c r="E2202" t="n">
        <x:v>4.848000000000001</x:v>
      </x:c>
      <x:c r="F2202" t="n">
        <x:f>J2202*0.97</x:f>
        <x:v>4.6058025</x:v>
      </x:c>
      <x:c r="G2202" t="n">
        <x:v>31.185</x:v>
      </x:c>
      <x:c r="H2202" t="n">
        <x:v>103.34</x:v>
      </x:c>
      <x:c r="I2202" t="n">
        <x:f>F2202*1000*H2202</x:f>
        <x:v>475963.6303500001</x:v>
      </x:c>
      <x:c r="J2202" t="n">
        <x:v>4.7482500000000005</x:v>
      </x:c>
    </x:row>
    <x:row r="2203">
      <x:c r="A2203" t="n">
        <x:v>2023</x:v>
      </x:c>
      <x:c r="B2203" t="str">
        <x:v>Septiembre</x:v>
      </x:c>
      <x:c r="C2203" t="str">
        <x:v>RE-112924-2</x:v>
      </x:c>
      <x:c r="D2203" t="str">
        <x:v>Parque eólico Monciro</x:v>
      </x:c>
      <x:c r="E2203" t="n">
        <x:v>1.6159999999999997</x:v>
      </x:c>
      <x:c r="F2203" t="n">
        <x:f>J2203*0.97</x:f>
        <x:v>1.5352674999999998</x:v>
      </x:c>
      <x:c r="G2203" t="n">
        <x:v>10.395</x:v>
      </x:c>
      <x:c r="H2203" t="n">
        <x:v>103.34</x:v>
      </x:c>
      <x:c r="I2203" t="n">
        <x:f>F2203*1000*H2203</x:f>
        <x:v>158654.54344999997</x:v>
      </x:c>
      <x:c r="J2203" t="n">
        <x:v>1.5827499999999999</x:v>
      </x:c>
    </x:row>
    <x:row r="2204">
      <x:c r="A2204" t="n">
        <x:v>2023</x:v>
      </x:c>
      <x:c r="B2204" t="str">
        <x:v>Octubre</x:v>
      </x:c>
      <x:c r="C2204" t="str">
        <x:v>RE-112924-1</x:v>
      </x:c>
      <x:c r="D2204" t="str">
        <x:v>Parque eólico Monciro</x:v>
      </x:c>
      <x:c r="E2204" t="n">
        <x:v>7.0409999999999995</x:v>
      </x:c>
      <x:c r="F2204" t="n">
        <x:f>J2204*1.04</x:f>
        <x:v>7.10346</x:v>
      </x:c>
      <x:c r="G2204" t="n">
        <x:v>31.185</x:v>
      </x:c>
      <x:c r="H2204" t="n">
        <x:v>90.14</x:v>
      </x:c>
      <x:c r="I2204" t="n">
        <x:f>F2204*1000*H2204</x:f>
        <x:v>640305.8844</x:v>
      </x:c>
      <x:c r="J2204" t="n">
        <x:v>6.8302499999999995</x:v>
      </x:c>
    </x:row>
    <x:row r="2205">
      <x:c r="A2205" t="n">
        <x:v>2023</x:v>
      </x:c>
      <x:c r="B2205" t="str">
        <x:v>Octubre</x:v>
      </x:c>
      <x:c r="C2205" t="str">
        <x:v>RE-112924-2</x:v>
      </x:c>
      <x:c r="D2205" t="str">
        <x:v>Parque eólico Monciro</x:v>
      </x:c>
      <x:c r="E2205" t="n">
        <x:v>2.3470000000000004</x:v>
      </x:c>
      <x:c r="F2205" t="n">
        <x:f>J2205*1.04</x:f>
        <x:v>2.36782</x:v>
      </x:c>
      <x:c r="G2205" t="n">
        <x:v>10.395</x:v>
      </x:c>
      <x:c r="H2205" t="n">
        <x:v>90.14</x:v>
      </x:c>
      <x:c r="I2205" t="n">
        <x:f>F2205*1000*H2205</x:f>
        <x:v>213435.2948</x:v>
      </x:c>
      <x:c r="J2205" t="n">
        <x:v>2.27675</x:v>
      </x:c>
    </x:row>
    <x:row r="2206">
      <x:c r="A2206" t="n">
        <x:v>2023</x:v>
      </x:c>
      <x:c r="B2206" t="str">
        <x:v>Noviembre</x:v>
      </x:c>
      <x:c r="C2206" t="str">
        <x:v>RE-112924-1</x:v>
      </x:c>
      <x:c r="D2206" t="str">
        <x:v>Parque eólico Monciro</x:v>
      </x:c>
      <x:c r="E2206" t="n">
        <x:v>6.686249999999999</x:v>
      </x:c>
      <x:c r="F2206" t="n">
        <x:f>J2206*1</x:f>
        <x:v>6.52575</x:v>
      </x:c>
      <x:c r="G2206" t="n">
        <x:v>31.185</x:v>
      </x:c>
      <x:c r="H2206" t="n">
        <x:v>63.45</x:v>
      </x:c>
      <x:c r="I2206" t="n">
        <x:f>F2206*1000*H2206</x:f>
        <x:v>414058.8375</x:v>
      </x:c>
      <x:c r="J2206" t="n">
        <x:v>6.52575</x:v>
      </x:c>
    </x:row>
    <x:row r="2207">
      <x:c r="A2207" t="n">
        <x:v>2023</x:v>
      </x:c>
      <x:c r="B2207" t="str">
        <x:v>Noviembre</x:v>
      </x:c>
      <x:c r="C2207" t="str">
        <x:v>RE-112924-2</x:v>
      </x:c>
      <x:c r="D2207" t="str">
        <x:v>Parque eólico Monciro</x:v>
      </x:c>
      <x:c r="E2207" t="n">
        <x:v>2.22875</x:v>
      </x:c>
      <x:c r="F2207" t="n">
        <x:f>J2207*1</x:f>
        <x:v>2.17525</x:v>
      </x:c>
      <x:c r="G2207" t="n">
        <x:v>10.395</x:v>
      </x:c>
      <x:c r="H2207" t="n">
        <x:v>63.45</x:v>
      </x:c>
      <x:c r="I2207" t="n">
        <x:f>F2207*1000*H2207</x:f>
        <x:v>138019.61250000002</x:v>
      </x:c>
      <x:c r="J2207" t="n">
        <x:v>2.17525</x:v>
      </x:c>
    </x:row>
    <x:row r="2208">
      <x:c r="A2208" t="n">
        <x:v>2023</x:v>
      </x:c>
      <x:c r="B2208" t="str">
        <x:v>Diciembre</x:v>
      </x:c>
      <x:c r="C2208" t="str">
        <x:v>RE-112924-1</x:v>
      </x:c>
      <x:c r="D2208" t="str">
        <x:v>Parque eólico Monciro</x:v>
      </x:c>
      <x:c r="E2208" t="n">
        <x:v>8.81475</x:v>
      </x:c>
      <x:c r="F2208" t="n">
        <x:f>J2208*0.96</x:f>
        <x:v>8.257679999999999</x:v>
      </x:c>
      <x:c r="G2208" t="n">
        <x:v>31.185</x:v>
      </x:c>
      <x:c r="H2208" t="n">
        <x:v>72.17</x:v>
      </x:c>
      <x:c r="I2208" t="n">
        <x:f>F2208*1000*H2208</x:f>
        <x:v>595956.7655999999</x:v>
      </x:c>
      <x:c r="J2208" t="n">
        <x:v>8.60175</x:v>
      </x:c>
    </x:row>
    <x:row r="2209">
      <x:c r="A2209" t="n">
        <x:v>2023</x:v>
      </x:c>
      <x:c r="B2209" t="str">
        <x:v>Diciembre</x:v>
      </x:c>
      <x:c r="C2209" t="str">
        <x:v>RE-112924-2</x:v>
      </x:c>
      <x:c r="D2209" t="str">
        <x:v>Parque eólico Monciro</x:v>
      </x:c>
      <x:c r="E2209" t="n">
        <x:v>2.93825</x:v>
      </x:c>
      <x:c r="F2209" t="n">
        <x:f>J2209*0.96</x:f>
        <x:v>2.7525600000000003</x:v>
      </x:c>
      <x:c r="G2209" t="n">
        <x:v>10.395</x:v>
      </x:c>
      <x:c r="H2209" t="n">
        <x:v>72.17</x:v>
      </x:c>
      <x:c r="I2209" t="n">
        <x:f>F2209*1000*H2209</x:f>
        <x:v>198652.25520000004</x:v>
      </x:c>
      <x:c r="J2209" t="n">
        <x:v>2.8672500000000003</x:v>
      </x:c>
    </x:row>
    <x:row r="2210">
      <x:c r="A2210" t="n">
        <x:v>2023</x:v>
      </x:c>
      <x:c r="B2210" t="str">
        <x:v>Enero</x:v>
      </x:c>
      <x:c r="C2210" t="str">
        <x:v>RE-112931-1</x:v>
      </x:c>
      <x:c r="D2210" t="str">
        <x:v>Parque Serra do Punago-Vacariza</x:v>
      </x:c>
      <x:c r="E2210" t="n">
        <x:v>6.835929113924051</x:v>
      </x:c>
      <x:c r="F2210" t="n">
        <x:f>J2210*1.03</x:f>
        <x:v>6.915028860759493</x:v>
      </x:c>
      <x:c r="G2210" t="n">
        <x:v>26.4</x:v>
      </x:c>
      <x:c r="H2210" t="n">
        <x:v>69.55</x:v>
      </x:c>
      <x:c r="I2210" t="n">
        <x:f>F2210*1000*H2210</x:f>
        <x:v>480940.2572658227</x:v>
      </x:c>
      <x:c r="J2210" t="n">
        <x:v>6.713620253164557</x:v>
      </x:c>
    </x:row>
    <x:row r="2211">
      <x:c r="A2211" t="n">
        <x:v>2023</x:v>
      </x:c>
      <x:c r="B2211" t="str">
        <x:v>Enero</x:v>
      </x:c>
      <x:c r="C2211" t="str">
        <x:v>RE-112931-2</x:v>
      </x:c>
      <x:c r="D2211" t="str">
        <x:v>Parque Serra do Punago-Vacariza</x:v>
      </x:c>
      <x:c r="E2211" t="n">
        <x:v>3.392070886075949</x:v>
      </x:c>
      <x:c r="F2211" t="n">
        <x:f>J2211*1.03</x:f>
        <x:v>3.4313211392405067</x:v>
      </x:c>
      <x:c r="G2211" t="n">
        <x:v>13.1</x:v>
      </x:c>
      <x:c r="H2211" t="n">
        <x:v>69.55</x:v>
      </x:c>
      <x:c r="I2211" t="n">
        <x:f>F2211*1000*H2211</x:f>
        <x:v>238648.38523417726</x:v>
      </x:c>
      <x:c r="J2211" t="n">
        <x:v>3.3313797468354434</x:v>
      </x:c>
    </x:row>
    <x:row r="2212">
      <x:c r="A2212" t="n">
        <x:v>2023</x:v>
      </x:c>
      <x:c r="B2212" t="str">
        <x:v>Febrero</x:v>
      </x:c>
      <x:c r="C2212" t="str">
        <x:v>RE-112931-1</x:v>
      </x:c>
      <x:c r="D2212" t="str">
        <x:v>Parque Serra do Punago-Vacariza</x:v>
      </x:c>
      <x:c r="E2212" t="n">
        <x:v>6.948881012658227</x:v>
      </x:c>
      <x:c r="F2212" t="n">
        <x:f>J2212*0.99</x:f>
        <x:v>6.661040810126582</x:v>
      </x:c>
      <x:c r="G2212" t="n">
        <x:v>26.4</x:v>
      </x:c>
      <x:c r="H2212" t="n">
        <x:v>133.47</x:v>
      </x:c>
      <x:c r="I2212" t="n">
        <x:f>F2212*1000*H2212</x:f>
        <x:v>889049.1169275949</x:v>
      </x:c>
      <x:c r="J2212" t="n">
        <x:v>6.728324050632911</x:v>
      </x:c>
    </x:row>
    <x:row r="2213">
      <x:c r="A2213" t="n">
        <x:v>2023</x:v>
      </x:c>
      <x:c r="B2213" t="str">
        <x:v>Febrero</x:v>
      </x:c>
      <x:c r="C2213" t="str">
        <x:v>RE-112931-2</x:v>
      </x:c>
      <x:c r="D2213" t="str">
        <x:v>Parque Serra do Punago-Vacariza</x:v>
      </x:c>
      <x:c r="E2213" t="n">
        <x:v>3.448118987341773</x:v>
      </x:c>
      <x:c r="F2213" t="n">
        <x:f>J2213*0.99</x:f>
        <x:v>3.3052891898734185</x:v>
      </x:c>
      <x:c r="G2213" t="n">
        <x:v>13.1</x:v>
      </x:c>
      <x:c r="H2213" t="n">
        <x:v>133.47</x:v>
      </x:c>
      <x:c r="I2213" t="n">
        <x:f>F2213*1000*H2213</x:f>
        <x:v>441156.94817240513</x:v>
      </x:c>
      <x:c r="J2213" t="n">
        <x:v>3.3386759493670892</x:v>
      </x:c>
    </x:row>
    <x:row r="2214">
      <x:c r="A2214" t="n">
        <x:v>2023</x:v>
      </x:c>
      <x:c r="B2214" t="str">
        <x:v>Marzo</x:v>
      </x:c>
      <x:c r="C2214" t="str">
        <x:v>RE-112931-1</x:v>
      </x:c>
      <x:c r="D2214" t="str">
        <x:v>Parque Serra do Punago-Vacariza</x:v>
      </x:c>
      <x:c r="E2214" t="n">
        <x:v>7.588496202531645</x:v>
      </x:c>
      <x:c r="F2214" t="n">
        <x:f>J2214*0.95</x:f>
        <x:v>7.033193924050632</x:v>
      </x:c>
      <x:c r="G2214" t="n">
        <x:v>26.4</x:v>
      </x:c>
      <x:c r="H2214" t="n">
        <x:v>89.61</x:v>
      </x:c>
      <x:c r="I2214" t="n">
        <x:f>F2214*1000*H2214</x:f>
        <x:v>630244.5075341772</x:v>
      </x:c>
      <x:c r="J2214" t="n">
        <x:v>7.403362025316455</x:v>
      </x:c>
    </x:row>
    <x:row r="2215">
      <x:c r="A2215" t="n">
        <x:v>2023</x:v>
      </x:c>
      <x:c r="B2215" t="str">
        <x:v>Marzo</x:v>
      </x:c>
      <x:c r="C2215" t="str">
        <x:v>RE-112931-2</x:v>
      </x:c>
      <x:c r="D2215" t="str">
        <x:v>Parque Serra do Punago-Vacariza</x:v>
      </x:c>
      <x:c r="E2215" t="n">
        <x:v>3.7655037974683543</x:v>
      </x:c>
      <x:c r="F2215" t="n">
        <x:f>J2215*0.95</x:f>
        <x:v>3.4899560759493675</x:v>
      </x:c>
      <x:c r="G2215" t="n">
        <x:v>13.1</x:v>
      </x:c>
      <x:c r="H2215" t="n">
        <x:v>89.61</x:v>
      </x:c>
      <x:c r="I2215" t="n">
        <x:f>F2215*1000*H2215</x:f>
        <x:v>312734.9639658228</x:v>
      </x:c>
      <x:c r="J2215" t="n">
        <x:v>3.673637974683545</x:v>
      </x:c>
    </x:row>
    <x:row r="2216">
      <x:c r="A2216" t="n">
        <x:v>2023</x:v>
      </x:c>
      <x:c r="B2216" t="str">
        <x:v>Abril</x:v>
      </x:c>
      <x:c r="C2216" t="str">
        <x:v>RE-112931-1</x:v>
      </x:c>
      <x:c r="D2216" t="str">
        <x:v>Parque Serra do Punago-Vacariza</x:v>
      </x:c>
      <x:c r="E2216" t="n">
        <x:v>5.919615189873418</x:v>
      </x:c>
      <x:c r="F2216" t="n">
        <x:f>J2216*1.02</x:f>
        <x:v>5.899618025316457</x:v>
      </x:c>
      <x:c r="G2216" t="n">
        <x:v>26.4</x:v>
      </x:c>
      <x:c r="H2216" t="n">
        <x:v>73.73</x:v>
      </x:c>
      <x:c r="I2216" t="n">
        <x:f>F2216*1000*H2216</x:f>
        <x:v>434978.83700658235</x:v>
      </x:c>
      <x:c r="J2216" t="n">
        <x:v>5.78393924050633</x:v>
      </x:c>
    </x:row>
    <x:row r="2217">
      <x:c r="A2217" t="n">
        <x:v>2023</x:v>
      </x:c>
      <x:c r="B2217" t="str">
        <x:v>Abril</x:v>
      </x:c>
      <x:c r="C2217" t="str">
        <x:v>RE-112931-2</x:v>
      </x:c>
      <x:c r="D2217" t="str">
        <x:v>Parque Serra do Punago-Vacariza</x:v>
      </x:c>
      <x:c r="E2217" t="n">
        <x:v>2.9373848101265816</x:v>
      </x:c>
      <x:c r="F2217" t="n">
        <x:f>J2217*1.02</x:f>
        <x:v>2.9274619746835437</x:v>
      </x:c>
      <x:c r="G2217" t="n">
        <x:v>13.1</x:v>
      </x:c>
      <x:c r="H2217" t="n">
        <x:v>73.73</x:v>
      </x:c>
      <x:c r="I2217" t="n">
        <x:f>F2217*1000*H2217</x:f>
        <x:v>215841.7713934177</x:v>
      </x:c>
      <x:c r="J2217" t="n">
        <x:v>2.8700607594936702</x:v>
      </x:c>
    </x:row>
    <x:row r="2218">
      <x:c r="A2218" t="n">
        <x:v>2023</x:v>
      </x:c>
      <x:c r="B2218" t="str">
        <x:v>Mayo</x:v>
      </x:c>
      <x:c r="C2218" t="str">
        <x:v>RE-112931-1</x:v>
      </x:c>
      <x:c r="D2218" t="str">
        <x:v>Parque Serra do Punago-Vacariza</x:v>
      </x:c>
      <x:c r="E2218" t="n">
        <x:v>4.887007594936709</x:v>
      </x:c>
      <x:c r="F2218" t="n">
        <x:f>J2218*0.98</x:f>
        <x:v>4.703464101265823</x:v>
      </x:c>
      <x:c r="G2218" t="n">
        <x:v>26.4</x:v>
      </x:c>
      <x:c r="H2218" t="n">
        <x:v>74.21</x:v>
      </x:c>
      <x:c r="I2218" t="n">
        <x:f>F2218*1000*H2218</x:f>
        <x:v>349044.0709549367</x:v>
      </x:c>
      <x:c r="J2218" t="n">
        <x:v>4.799453164556962</x:v>
      </x:c>
    </x:row>
    <x:row r="2219">
      <x:c r="A2219" t="n">
        <x:v>2023</x:v>
      </x:c>
      <x:c r="B2219" t="str">
        <x:v>Mayo</x:v>
      </x:c>
      <x:c r="C2219" t="str">
        <x:v>RE-112931-2</x:v>
      </x:c>
      <x:c r="D2219" t="str">
        <x:v>Parque Serra do Punago-Vacariza</x:v>
      </x:c>
      <x:c r="E2219" t="n">
        <x:v>2.424992405063291</x:v>
      </x:c>
      <x:c r="F2219" t="n">
        <x:f>J2219*0.98</x:f>
        <x:v>2.3339158987341775</x:v>
      </x:c>
      <x:c r="G2219" t="n">
        <x:v>13.1</x:v>
      </x:c>
      <x:c r="H2219" t="n">
        <x:v>74.21</x:v>
      </x:c>
      <x:c r="I2219" t="n">
        <x:f>F2219*1000*H2219</x:f>
        <x:v>173199.8988450633</x:v>
      </x:c>
      <x:c r="J2219" t="n">
        <x:v>2.3815468354430385</x:v>
      </x:c>
    </x:row>
    <x:row r="2220">
      <x:c r="A2220" t="n">
        <x:v>2023</x:v>
      </x:c>
      <x:c r="B2220" t="str">
        <x:v>Junio</x:v>
      </x:c>
      <x:c r="C2220" t="str">
        <x:v>RE-112931-1</x:v>
      </x:c>
      <x:c r="D2220" t="str">
        <x:v>Parque Serra do Punago-Vacariza</x:v>
      </x:c>
      <x:c r="E2220" t="n">
        <x:v>4.121741772151898</x:v>
      </x:c>
      <x:c r="F2220" t="n">
        <x:f>J2220*0.94</x:f>
        <x:v>3.7927643544303793</x:v>
      </x:c>
      <x:c r="G2220" t="n">
        <x:v>26.4</x:v>
      </x:c>
      <x:c r="H2220" t="n">
        <x:v>93.02</x:v>
      </x:c>
      <x:c r="I2220" t="n">
        <x:f>F2220*1000*H2220</x:f>
        <x:v>352802.94024911383</x:v>
      </x:c>
      <x:c r="J2220" t="n">
        <x:v>4.0348556962025315</x:v>
      </x:c>
    </x:row>
    <x:row r="2221">
      <x:c r="A2221" t="n">
        <x:v>2023</x:v>
      </x:c>
      <x:c r="B2221" t="str">
        <x:v>Junio</x:v>
      </x:c>
      <x:c r="C2221" t="str">
        <x:v>RE-112931-2</x:v>
      </x:c>
      <x:c r="D2221" t="str">
        <x:v>Parque Serra do Punago-Vacariza</x:v>
      </x:c>
      <x:c r="E2221" t="n">
        <x:v>2.0452582278481017</x:v>
      </x:c>
      <x:c r="F2221" t="n">
        <x:f>J2221*0.94</x:f>
        <x:v>1.8820156455696202</x:v>
      </x:c>
      <x:c r="G2221" t="n">
        <x:v>13.1</x:v>
      </x:c>
      <x:c r="H2221" t="n">
        <x:v>93.02</x:v>
      </x:c>
      <x:c r="I2221" t="n">
        <x:f>F2221*1000*H2221</x:f>
        <x:v>175065.09535088605</x:v>
      </x:c>
      <x:c r="J2221" t="n">
        <x:v>2.0021443037974684</x:v>
      </x:c>
    </x:row>
    <x:row r="2222">
      <x:c r="A2222" t="n">
        <x:v>2023</x:v>
      </x:c>
      <x:c r="B2222" t="str">
        <x:v>Julio</x:v>
      </x:c>
      <x:c r="C2222" t="str">
        <x:v>RE-112931-1</x:v>
      </x:c>
      <x:c r="D2222" t="str">
        <x:v>Parque Serra do Punago-Vacariza</x:v>
      </x:c>
      <x:c r="E2222" t="n">
        <x:v>3.9646784810126587</x:v>
      </x:c>
      <x:c r="F2222" t="n">
        <x:f>J2222*1.01</x:f>
        <x:v>3.9435718481012656</x:v>
      </x:c>
      <x:c r="G2222" t="n">
        <x:v>26.4</x:v>
      </x:c>
      <x:c r="H2222" t="n">
        <x:v>90.47</x:v>
      </x:c>
      <x:c r="I2222" t="n">
        <x:f>F2222*1000*H2222</x:f>
        <x:v>356774.9450977215</x:v>
      </x:c>
      <x:c r="J2222" t="n">
        <x:v>3.9045265822784807</x:v>
      </x:c>
    </x:row>
    <x:row r="2223">
      <x:c r="A2223" t="n">
        <x:v>2023</x:v>
      </x:c>
      <x:c r="B2223" t="str">
        <x:v>Julio</x:v>
      </x:c>
      <x:c r="C2223" t="str">
        <x:v>RE-112931-2</x:v>
      </x:c>
      <x:c r="D2223" t="str">
        <x:v>Parque Serra do Punago-Vacariza</x:v>
      </x:c>
      <x:c r="E2223" t="n">
        <x:v>1.9673215189873416</x:v>
      </x:c>
      <x:c r="F2223" t="n">
        <x:f>J2223*1.01</x:f>
        <x:v>1.9568481518987342</x:v>
      </x:c>
      <x:c r="G2223" t="n">
        <x:v>13.1</x:v>
      </x:c>
      <x:c r="H2223" t="n">
        <x:v>90.47</x:v>
      </x:c>
      <x:c r="I2223" t="n">
        <x:f>F2223*1000*H2223</x:f>
        <x:v>177036.0523022785</x:v>
      </x:c>
      <x:c r="J2223" t="n">
        <x:v>1.937473417721519</x:v>
      </x:c>
    </x:row>
    <x:row r="2224">
      <x:c r="A2224" t="n">
        <x:v>2023</x:v>
      </x:c>
      <x:c r="B2224" t="str">
        <x:v>Agosto</x:v>
      </x:c>
      <x:c r="C2224" t="str">
        <x:v>RE-112931-1</x:v>
      </x:c>
      <x:c r="D2224" t="str">
        <x:v>Parque Serra do Punago-Vacariza</x:v>
      </x:c>
      <x:c r="E2224" t="n">
        <x:v>4.799453164556962</x:v>
      </x:c>
      <x:c r="F2224" t="n">
        <x:f>J2224*0.97</x:f>
        <x:v>4.549147746835443</x:v>
      </x:c>
      <x:c r="G2224" t="n">
        <x:v>26.4</x:v>
      </x:c>
      <x:c r="H2224" t="n">
        <x:v>96.05</x:v>
      </x:c>
      <x:c r="I2224" t="n">
        <x:f>F2224*1000*H2224</x:f>
        <x:v>436945.6410835443</x:v>
      </x:c>
      <x:c r="J2224" t="n">
        <x:v>4.689843037974684</x:v>
      </x:c>
    </x:row>
    <x:row r="2225">
      <x:c r="A2225" t="n">
        <x:v>2023</x:v>
      </x:c>
      <x:c r="B2225" t="str">
        <x:v>Agosto</x:v>
      </x:c>
      <x:c r="C2225" t="str">
        <x:v>RE-112931-2</x:v>
      </x:c>
      <x:c r="D2225" t="str">
        <x:v>Parque Serra do Punago-Vacariza</x:v>
      </x:c>
      <x:c r="E2225" t="n">
        <x:v>2.3815468354430385</x:v>
      </x:c>
      <x:c r="F2225" t="n">
        <x:f>J2225*0.97</x:f>
        <x:v>2.2573422531645573</x:v>
      </x:c>
      <x:c r="G2225" t="n">
        <x:v>13.1</x:v>
      </x:c>
      <x:c r="H2225" t="n">
        <x:v>96.05</x:v>
      </x:c>
      <x:c r="I2225" t="n">
        <x:f>F2225*1000*H2225</x:f>
        <x:v>216817.72341645573</x:v>
      </x:c>
      <x:c r="J2225" t="n">
        <x:v>2.3271569620253167</x:v>
      </x:c>
    </x:row>
    <x:row r="2226">
      <x:c r="A2226" t="n">
        <x:v>2023</x:v>
      </x:c>
      <x:c r="B2226" t="str">
        <x:v>Septiembre</x:v>
      </x:c>
      <x:c r="C2226" t="str">
        <x:v>RE-112931-1</x:v>
      </x:c>
      <x:c r="D2226" t="str">
        <x:v>Parque Serra do Punago-Vacariza</x:v>
      </x:c>
      <x:c r="E2226" t="n">
        <x:v>5.193782278481012</x:v>
      </x:c>
      <x:c r="F2226" t="n">
        <x:f>J2226*1.04</x:f>
        <x:v>5.286843949367088</x:v>
      </x:c>
      <x:c r="G2226" t="n">
        <x:v>26.4</x:v>
      </x:c>
      <x:c r="H2226" t="n">
        <x:v>103.34</x:v>
      </x:c>
      <x:c r="I2226" t="n">
        <x:f>F2226*1000*H2226</x:f>
        <x:v>546342.4537275949</x:v>
      </x:c>
      <x:c r="J2226" t="n">
        <x:v>5.083503797468354</x:v>
      </x:c>
    </x:row>
    <x:row r="2227">
      <x:c r="A2227" t="n">
        <x:v>2023</x:v>
      </x:c>
      <x:c r="B2227" t="str">
        <x:v>Septiembre</x:v>
      </x:c>
      <x:c r="C2227" t="str">
        <x:v>RE-112931-2</x:v>
      </x:c>
      <x:c r="D2227" t="str">
        <x:v>Parque Serra do Punago-Vacariza</x:v>
      </x:c>
      <x:c r="E2227" t="n">
        <x:v>2.5772177215189878</x:v>
      </x:c>
      <x:c r="F2227" t="n">
        <x:f>J2227*1.04</x:f>
        <x:v>2.6233960506329117</x:v>
      </x:c>
      <x:c r="G2227" t="n">
        <x:v>13.1</x:v>
      </x:c>
      <x:c r="H2227" t="n">
        <x:v>103.34</x:v>
      </x:c>
      <x:c r="I2227" t="n">
        <x:f>F2227*1000*H2227</x:f>
        <x:v>271101.7478724051</x:v>
      </x:c>
      <x:c r="J2227" t="n">
        <x:v>2.522496202531646</x:v>
      </x:c>
    </x:row>
    <x:row r="2228">
      <x:c r="A2228" t="n">
        <x:v>2023</x:v>
      </x:c>
      <x:c r="B2228" t="str">
        <x:v>Octubre</x:v>
      </x:c>
      <x:c r="C2228" t="str">
        <x:v>RE-112931-1</x:v>
      </x:c>
      <x:c r="D2228" t="str">
        <x:v>Parque Serra do Punago-Vacariza</x:v>
      </x:c>
      <x:c r="E2228" t="n">
        <x:v>5.54266329113924</x:v>
      </x:c>
      <x:c r="F2228" t="n">
        <x:f>J2228*1</x:f>
        <x:v>5.419017721518988</x:v>
      </x:c>
      <x:c r="G2228" t="n">
        <x:v>26.4</x:v>
      </x:c>
      <x:c r="H2228" t="n">
        <x:v>90.14</x:v>
      </x:c>
      <x:c r="I2228" t="n">
        <x:f>F2228*1000*H2228</x:f>
        <x:v>488470.25741772156</x:v>
      </x:c>
      <x:c r="J2228" t="n">
        <x:v>5.419017721518988</x:v>
      </x:c>
    </x:row>
    <x:row r="2229">
      <x:c r="A2229" t="n">
        <x:v>2023</x:v>
      </x:c>
      <x:c r="B2229" t="str">
        <x:v>Octubre</x:v>
      </x:c>
      <x:c r="C2229" t="str">
        <x:v>RE-112931-2</x:v>
      </x:c>
      <x:c r="D2229" t="str">
        <x:v>Parque Serra do Punago-Vacariza</x:v>
      </x:c>
      <x:c r="E2229" t="n">
        <x:v>2.7503367088607593</x:v>
      </x:c>
      <x:c r="F2229" t="n">
        <x:f>J2229*1</x:f>
        <x:v>2.6889822784810127</x:v>
      </x:c>
      <x:c r="G2229" t="n">
        <x:v>13.1</x:v>
      </x:c>
      <x:c r="H2229" t="n">
        <x:v>90.14</x:v>
      </x:c>
      <x:c r="I2229" t="n">
        <x:f>F2229*1000*H2229</x:f>
        <x:v>242384.86258227847</x:v>
      </x:c>
      <x:c r="J2229" t="n">
        <x:v>2.6889822784810127</x:v>
      </x:c>
    </x:row>
    <x:row r="2230">
      <x:c r="A2230" t="n">
        <x:v>2023</x:v>
      </x:c>
      <x:c r="B2230" t="str">
        <x:v>Noviembre</x:v>
      </x:c>
      <x:c r="C2230" t="str">
        <x:v>RE-112931-1</x:v>
      </x:c>
      <x:c r="D2230" t="str">
        <x:v>Parque Serra do Punago-Vacariza</x:v>
      </x:c>
      <x:c r="E2230" t="n">
        <x:v>6.846622784810126</x:v>
      </x:c>
      <x:c r="F2230" t="n">
        <x:f>J2230*0.96</x:f>
        <x:v>6.411711189873418</x:v>
      </x:c>
      <x:c r="G2230" t="n">
        <x:v>26.4</x:v>
      </x:c>
      <x:c r="H2230" t="n">
        <x:v>63.45</x:v>
      </x:c>
      <x:c r="I2230" t="n">
        <x:f>F2230*1000*H2230</x:f>
        <x:v>406823.0749974683</x:v>
      </x:c>
      <x:c r="J2230" t="n">
        <x:v>6.67886582278481</x:v>
      </x:c>
    </x:row>
    <x:row r="2231">
      <x:c r="A2231" t="n">
        <x:v>2023</x:v>
      </x:c>
      <x:c r="B2231" t="str">
        <x:v>Noviembre</x:v>
      </x:c>
      <x:c r="C2231" t="str">
        <x:v>RE-112931-2</x:v>
      </x:c>
      <x:c r="D2231" t="str">
        <x:v>Parque Serra do Punago-Vacariza</x:v>
      </x:c>
      <x:c r="E2231" t="n">
        <x:v>3.3973772151898736</x:v>
      </x:c>
      <x:c r="F2231" t="n">
        <x:f>J2231*0.96</x:f>
        <x:v>3.1815688101265827</x:v>
      </x:c>
      <x:c r="G2231" t="n">
        <x:v>13.1</x:v>
      </x:c>
      <x:c r="H2231" t="n">
        <x:v>63.45</x:v>
      </x:c>
      <x:c r="I2231" t="n">
        <x:f>F2231*1000*H2231</x:f>
        <x:v>201870.54100253168</x:v>
      </x:c>
      <x:c r="J2231" t="n">
        <x:v>3.31413417721519</x:v>
      </x:c>
    </x:row>
    <x:row r="2232">
      <x:c r="A2232" t="n">
        <x:v>2023</x:v>
      </x:c>
      <x:c r="B2232" t="str">
        <x:v>Diciembre</x:v>
      </x:c>
      <x:c r="C2232" t="str">
        <x:v>RE-112931-1</x:v>
      </x:c>
      <x:c r="D2232" t="str">
        <x:v>Parque Serra do Punago-Vacariza</x:v>
      </x:c>
      <x:c r="E2232" t="n">
        <x:v>8.912506329113924</x:v>
      </x:c>
      <x:c r="F2232" t="n">
        <x:f>J2232*1.03</x:f>
        <x:v>9.036693265822787</x:v>
      </x:c>
      <x:c r="G2232" t="n">
        <x:v>26.4</x:v>
      </x:c>
      <x:c r="H2232" t="n">
        <x:v>72.17</x:v>
      </x:c>
      <x:c r="I2232" t="n">
        <x:f>F2232*1000*H2232</x:f>
        <x:v>652178.1529944305</x:v>
      </x:c>
      <x:c r="J2232" t="n">
        <x:v>8.773488607594938</x:v>
      </x:c>
    </x:row>
    <x:row r="2233">
      <x:c r="A2233" t="n">
        <x:v>2023</x:v>
      </x:c>
      <x:c r="B2233" t="str">
        <x:v>Diciembre</x:v>
      </x:c>
      <x:c r="C2233" t="str">
        <x:v>RE-112931-2</x:v>
      </x:c>
      <x:c r="D2233" t="str">
        <x:v>Parque Serra do Punago-Vacariza</x:v>
      </x:c>
      <x:c r="E2233" t="n">
        <x:v>4.422493670886077</x:v>
      </x:c>
      <x:c r="F2233" t="n">
        <x:f>J2233*1.03</x:f>
        <x:v>4.484116734177214</x:v>
      </x:c>
      <x:c r="G2233" t="n">
        <x:v>13.1</x:v>
      </x:c>
      <x:c r="H2233" t="n">
        <x:v>72.17</x:v>
      </x:c>
      <x:c r="I2233" t="n">
        <x:f>F2233*1000*H2233</x:f>
        <x:v>323618.70470556954</x:v>
      </x:c>
      <x:c r="J2233" t="n">
        <x:v>4.353511392405062</x:v>
      </x:c>
    </x:row>
    <x:row r="2234">
      <x:c r="A2234" t="n">
        <x:v>2023</x:v>
      </x:c>
      <x:c r="B2234" t="str">
        <x:v>Enero</x:v>
      </x:c>
      <x:c r="C2234" t="str">
        <x:v>RE-112933-1</x:v>
      </x:c>
      <x:c r="D2234" t="str">
        <x:v>Parque eólico Monte Tourado - Eixe</x:v>
      </x:c>
      <x:c r="E2234" t="n">
        <x:v>11.994</x:v>
      </x:c>
      <x:c r="F2234" t="n">
        <x:f>J2234*0.99</x:f>
        <x:v>11.639429999999999</x:v>
      </x:c>
      <x:c r="G2234" t="n">
        <x:v>39.6</x:v>
      </x:c>
      <x:c r="H2234" t="n">
        <x:v>69.55</x:v>
      </x:c>
      <x:c r="I2234" t="n">
        <x:f>F2234*1000*H2234</x:f>
        <x:v>809522.3564999999</x:v>
      </x:c>
      <x:c r="J2234" t="n">
        <x:v>11.757</x:v>
      </x:c>
    </x:row>
    <x:row r="2235">
      <x:c r="A2235" t="n">
        <x:v>2023</x:v>
      </x:c>
      <x:c r="B2235" t="str">
        <x:v>Febrero</x:v>
      </x:c>
      <x:c r="C2235" t="str">
        <x:v>RE-112933-1</x:v>
      </x:c>
      <x:c r="D2235" t="str">
        <x:v>Parque eólico Monte Tourado - Eixe</x:v>
      </x:c>
      <x:c r="E2235" t="n">
        <x:v>9.618</x:v>
      </x:c>
      <x:c r="F2235" t="n">
        <x:f>J2235*0.95</x:f>
        <x:v>8.904349999999999</x:v>
      </x:c>
      <x:c r="G2235" t="n">
        <x:v>39.6</x:v>
      </x:c>
      <x:c r="H2235" t="n">
        <x:v>133.47</x:v>
      </x:c>
      <x:c r="I2235" t="n">
        <x:f>F2235*1000*H2235</x:f>
        <x:v>1188463.5945</x:v>
      </x:c>
      <x:c r="J2235" t="n">
        <x:v>9.373</x:v>
      </x:c>
    </x:row>
    <x:row r="2236">
      <x:c r="A2236" t="n">
        <x:v>2023</x:v>
      </x:c>
      <x:c r="B2236" t="str">
        <x:v>Marzo</x:v>
      </x:c>
      <x:c r="C2236" t="str">
        <x:v>RE-112933-1</x:v>
      </x:c>
      <x:c r="D2236" t="str">
        <x:v>Parque eólico Monte Tourado - Eixe</x:v>
      </x:c>
      <x:c r="E2236" t="n">
        <x:v>9.464</x:v>
      </x:c>
      <x:c r="F2236" t="n">
        <x:f>J2236*1.02</x:f>
        <x:v>9.43602</x:v>
      </x:c>
      <x:c r="G2236" t="n">
        <x:v>39.6</x:v>
      </x:c>
      <x:c r="H2236" t="n">
        <x:v>89.61</x:v>
      </x:c>
      <x:c r="I2236" t="n">
        <x:f>F2236*1000*H2236</x:f>
        <x:v>845561.7521999999</x:v>
      </x:c>
      <x:c r="J2236" t="n">
        <x:v>9.251</x:v>
      </x:c>
    </x:row>
    <x:row r="2237">
      <x:c r="A2237" t="n">
        <x:v>2023</x:v>
      </x:c>
      <x:c r="B2237" t="str">
        <x:v>Abril</x:v>
      </x:c>
      <x:c r="C2237" t="str">
        <x:v>RE-112933-1</x:v>
      </x:c>
      <x:c r="D2237" t="str">
        <x:v>Parque eólico Monte Tourado - Eixe</x:v>
      </x:c>
      <x:c r="E2237" t="n">
        <x:v>7.538</x:v>
      </x:c>
      <x:c r="F2237" t="n">
        <x:f>J2237*0.98</x:f>
        <x:v>7.198099999999999</x:v>
      </x:c>
      <x:c r="G2237" t="n">
        <x:v>39.6</x:v>
      </x:c>
      <x:c r="H2237" t="n">
        <x:v>73.73</x:v>
      </x:c>
      <x:c r="I2237" t="n">
        <x:f>F2237*1000*H2237</x:f>
        <x:v>530715.913</x:v>
      </x:c>
      <x:c r="J2237" t="n">
        <x:v>7.345</x:v>
      </x:c>
    </x:row>
    <x:row r="2238">
      <x:c r="A2238" t="n">
        <x:v>2023</x:v>
      </x:c>
      <x:c r="B2238" t="str">
        <x:v>Mayo</x:v>
      </x:c>
      <x:c r="C2238" t="str">
        <x:v>RE-112933-1</x:v>
      </x:c>
      <x:c r="D2238" t="str">
        <x:v>Parque eólico Monte Tourado - Eixe</x:v>
      </x:c>
      <x:c r="E2238" t="n">
        <x:v>6.948</x:v>
      </x:c>
      <x:c r="F2238" t="n">
        <x:f>J2238*0.94</x:f>
        <x:v>6.42772</x:v>
      </x:c>
      <x:c r="G2238" t="n">
        <x:v>39.6</x:v>
      </x:c>
      <x:c r="H2238" t="n">
        <x:v>74.21</x:v>
      </x:c>
      <x:c r="I2238" t="n">
        <x:f>F2238*1000*H2238</x:f>
        <x:v>477001.1012</x:v>
      </x:c>
      <x:c r="J2238" t="n">
        <x:v>6.838</x:v>
      </x:c>
    </x:row>
    <x:row r="2239">
      <x:c r="A2239" t="n">
        <x:v>2023</x:v>
      </x:c>
      <x:c r="B2239" t="str">
        <x:v>Junio</x:v>
      </x:c>
      <x:c r="C2239" t="str">
        <x:v>RE-112933-1</x:v>
      </x:c>
      <x:c r="D2239" t="str">
        <x:v>Parque eólico Monte Tourado - Eixe</x:v>
      </x:c>
      <x:c r="E2239" t="n">
        <x:v>6.001</x:v>
      </x:c>
      <x:c r="F2239" t="n">
        <x:f>J2239*1.01</x:f>
        <x:v>5.92365</x:v>
      </x:c>
      <x:c r="G2239" t="n">
        <x:v>39.6</x:v>
      </x:c>
      <x:c r="H2239" t="n">
        <x:v>93.02</x:v>
      </x:c>
      <x:c r="I2239" t="n">
        <x:f>F2239*1000*H2239</x:f>
        <x:v>551017.9230000001</x:v>
      </x:c>
      <x:c r="J2239" t="n">
        <x:v>5.865</x:v>
      </x:c>
    </x:row>
    <x:row r="2240">
      <x:c r="A2240" t="n">
        <x:v>2023</x:v>
      </x:c>
      <x:c r="B2240" t="str">
        <x:v>Julio</x:v>
      </x:c>
      <x:c r="C2240" t="str">
        <x:v>RE-112933-1</x:v>
      </x:c>
      <x:c r="D2240" t="str">
        <x:v>Parque eólico Monte Tourado - Eixe</x:v>
      </x:c>
      <x:c r="E2240" t="n">
        <x:v>5.66</x:v>
      </x:c>
      <x:c r="F2240" t="n">
        <x:f>J2240*0.97</x:f>
        <x:v>5.3194799999999995</x:v>
      </x:c>
      <x:c r="G2240" t="n">
        <x:v>39.6</x:v>
      </x:c>
      <x:c r="H2240" t="n">
        <x:v>90.47</x:v>
      </x:c>
      <x:c r="I2240" t="n">
        <x:f>F2240*1000*H2240</x:f>
        <x:v>481253.35559999995</x:v>
      </x:c>
      <x:c r="J2240" t="n">
        <x:v>5.484</x:v>
      </x:c>
    </x:row>
    <x:row r="2241">
      <x:c r="A2241" t="n">
        <x:v>2023</x:v>
      </x:c>
      <x:c r="B2241" t="str">
        <x:v>Agosto</x:v>
      </x:c>
      <x:c r="C2241" t="str">
        <x:v>RE-112933-1</x:v>
      </x:c>
      <x:c r="D2241" t="str">
        <x:v>Parque eólico Monte Tourado - Eixe</x:v>
      </x:c>
      <x:c r="E2241" t="n">
        <x:v>5.272</x:v>
      </x:c>
      <x:c r="F2241" t="n">
        <x:f>J2241*1.04</x:f>
        <x:v>5.34352</x:v>
      </x:c>
      <x:c r="G2241" t="n">
        <x:v>39.6</x:v>
      </x:c>
      <x:c r="H2241" t="n">
        <x:v>96.05</x:v>
      </x:c>
      <x:c r="I2241" t="n">
        <x:f>F2241*1000*H2241</x:f>
        <x:v>513245.09599999996</x:v>
      </x:c>
      <x:c r="J2241" t="n">
        <x:v>5.138</x:v>
      </x:c>
    </x:row>
    <x:row r="2242">
      <x:c r="A2242" t="n">
        <x:v>2023</x:v>
      </x:c>
      <x:c r="B2242" t="str">
        <x:v>Septiembre</x:v>
      </x:c>
      <x:c r="C2242" t="str">
        <x:v>RE-112933-1</x:v>
      </x:c>
      <x:c r="D2242" t="str">
        <x:v>Parque eólico Monte Tourado - Eixe</x:v>
      </x:c>
      <x:c r="E2242" t="n">
        <x:v>7.176</x:v>
      </x:c>
      <x:c r="F2242" t="n">
        <x:f>J2242*1</x:f>
        <x:v>6.981</x:v>
      </x:c>
      <x:c r="G2242" t="n">
        <x:v>39.6</x:v>
      </x:c>
      <x:c r="H2242" t="n">
        <x:v>103.34</x:v>
      </x:c>
      <x:c r="I2242" t="n">
        <x:f>F2242*1000*H2242</x:f>
        <x:v>721416.54</x:v>
      </x:c>
      <x:c r="J2242" t="n">
        <x:v>6.981</x:v>
      </x:c>
    </x:row>
    <x:row r="2243">
      <x:c r="A2243" t="n">
        <x:v>2023</x:v>
      </x:c>
      <x:c r="B2243" t="str">
        <x:v>Octubre</x:v>
      </x:c>
      <x:c r="C2243" t="str">
        <x:v>RE-112933-1</x:v>
      </x:c>
      <x:c r="D2243" t="str">
        <x:v>Parque eólico Monte Tourado - Eixe</x:v>
      </x:c>
      <x:c r="E2243" t="n">
        <x:v>8.696</x:v>
      </x:c>
      <x:c r="F2243" t="n">
        <x:f>J2243*0.96</x:f>
        <x:v>8.176319999999999</x:v>
      </x:c>
      <x:c r="G2243" t="n">
        <x:v>39.6</x:v>
      </x:c>
      <x:c r="H2243" t="n">
        <x:v>90.14</x:v>
      </x:c>
      <x:c r="I2243" t="n">
        <x:f>F2243*1000*H2243</x:f>
        <x:v>737013.4847999999</x:v>
      </x:c>
      <x:c r="J2243" t="n">
        <x:v>8.517</x:v>
      </x:c>
    </x:row>
    <x:row r="2244">
      <x:c r="A2244" t="n">
        <x:v>2023</x:v>
      </x:c>
      <x:c r="B2244" t="str">
        <x:v>Noviembre</x:v>
      </x:c>
      <x:c r="C2244" t="str">
        <x:v>RE-112933-1</x:v>
      </x:c>
      <x:c r="D2244" t="str">
        <x:v>Parque eólico Monte Tourado - Eixe</x:v>
      </x:c>
      <x:c r="E2244" t="n">
        <x:v>9.947</x:v>
      </x:c>
      <x:c r="F2244" t="n">
        <x:f>J2244*1.03</x:f>
        <x:v>9.943620000000001</x:v>
      </x:c>
      <x:c r="G2244" t="n">
        <x:v>39.6</x:v>
      </x:c>
      <x:c r="H2244" t="n">
        <x:v>63.45</x:v>
      </x:c>
      <x:c r="I2244" t="n">
        <x:f>F2244*1000*H2244</x:f>
        <x:v>630922.6890000001</x:v>
      </x:c>
      <x:c r="J2244" t="n">
        <x:v>9.654</x:v>
      </x:c>
    </x:row>
    <x:row r="2245">
      <x:c r="A2245" t="n">
        <x:v>2023</x:v>
      </x:c>
      <x:c r="B2245" t="str">
        <x:v>Diciembre</x:v>
      </x:c>
      <x:c r="C2245" t="str">
        <x:v>RE-112933-1</x:v>
      </x:c>
      <x:c r="D2245" t="str">
        <x:v>Parque eólico Monte Tourado - Eixe</x:v>
      </x:c>
      <x:c r="E2245" t="n">
        <x:v>9.995</x:v>
      </x:c>
      <x:c r="F2245" t="n">
        <x:f>J2245*0.99</x:f>
        <x:v>9.64656</x:v>
      </x:c>
      <x:c r="G2245" t="n">
        <x:v>39.6</x:v>
      </x:c>
      <x:c r="H2245" t="n">
        <x:v>72.17</x:v>
      </x:c>
      <x:c r="I2245" t="n">
        <x:f>F2245*1000*H2245</x:f>
        <x:v>696192.2352</x:v>
      </x:c>
      <x:c r="J2245" t="n">
        <x:v>9.744</x:v>
      </x:c>
    </x:row>
    <x:row r="2246">
      <x:c r="A2246" t="n">
        <x:v>2023</x:v>
      </x:c>
      <x:c r="B2246" t="str">
        <x:v>Enero</x:v>
      </x:c>
      <x:c r="C2246" t="str">
        <x:v>RE-112937-1</x:v>
      </x:c>
      <x:c r="D2246" t="str">
        <x:v>Reformado del modificado del parque eólico Pena Ventosa</x:v>
      </x:c>
      <x:c r="E2246" t="n">
        <x:v>2.326</x:v>
      </x:c>
      <x:c r="F2246" t="n">
        <x:f>J2246*0.95</x:f>
        <x:v>2.15935</x:v>
      </x:c>
      <x:c r="G2246" t="n">
        <x:v>8</x:v>
      </x:c>
      <x:c r="H2246" t="n">
        <x:v>69.55</x:v>
      </x:c>
      <x:c r="I2246" t="n">
        <x:f>F2246*1000*H2246</x:f>
        <x:v>150182.79249999998</x:v>
      </x:c>
      <x:c r="J2246" t="n">
        <x:v>2.273</x:v>
      </x:c>
    </x:row>
    <x:row r="2247">
      <x:c r="A2247" t="n">
        <x:v>2023</x:v>
      </x:c>
      <x:c r="B2247" t="str">
        <x:v>Febrero</x:v>
      </x:c>
      <x:c r="C2247" t="str">
        <x:v>RE-112937-1</x:v>
      </x:c>
      <x:c r="D2247" t="str">
        <x:v>Reformado del modificado del parque eólico Pena Ventosa</x:v>
      </x:c>
      <x:c r="E2247" t="n">
        <x:v>1.774</x:v>
      </x:c>
      <x:c r="F2247" t="n">
        <x:f>J2247*1.02</x:f>
        <x:v>1.7646</x:v>
      </x:c>
      <x:c r="G2247" t="n">
        <x:v>8</x:v>
      </x:c>
      <x:c r="H2247" t="n">
        <x:v>133.47</x:v>
      </x:c>
      <x:c r="I2247" t="n">
        <x:f>F2247*1000*H2247</x:f>
        <x:v>235521.16199999998</x:v>
      </x:c>
      <x:c r="J2247" t="n">
        <x:v>1.73</x:v>
      </x:c>
    </x:row>
    <x:row r="2248">
      <x:c r="A2248" t="n">
        <x:v>2023</x:v>
      </x:c>
      <x:c r="B2248" t="str">
        <x:v>Marzo</x:v>
      </x:c>
      <x:c r="C2248" t="str">
        <x:v>RE-112937-1</x:v>
      </x:c>
      <x:c r="D2248" t="str">
        <x:v>Reformado del modificado del parque eólico Pena Ventosa</x:v>
      </x:c>
      <x:c r="E2248" t="n">
        <x:v>1.802</x:v>
      </x:c>
      <x:c r="F2248" t="n">
        <x:f>J2248*0.98</x:f>
        <x:v>1.71696</x:v>
      </x:c>
      <x:c r="G2248" t="n">
        <x:v>8</x:v>
      </x:c>
      <x:c r="H2248" t="n">
        <x:v>89.61</x:v>
      </x:c>
      <x:c r="I2248" t="n">
        <x:f>F2248*1000*H2248</x:f>
        <x:v>153856.7856</x:v>
      </x:c>
      <x:c r="J2248" t="n">
        <x:v>1.752</x:v>
      </x:c>
    </x:row>
    <x:row r="2249">
      <x:c r="A2249" t="n">
        <x:v>2023</x:v>
      </x:c>
      <x:c r="B2249" t="str">
        <x:v>Abril</x:v>
      </x:c>
      <x:c r="C2249" t="str">
        <x:v>RE-112937-1</x:v>
      </x:c>
      <x:c r="D2249" t="str">
        <x:v>Reformado del modificado del parque eólico Pena Ventosa</x:v>
      </x:c>
      <x:c r="E2249" t="n">
        <x:v>1.894</x:v>
      </x:c>
      <x:c r="F2249" t="n">
        <x:f>J2249*0.94</x:f>
        <x:v>1.75404</x:v>
      </x:c>
      <x:c r="G2249" t="n">
        <x:v>8</x:v>
      </x:c>
      <x:c r="H2249" t="n">
        <x:v>73.73</x:v>
      </x:c>
      <x:c r="I2249" t="n">
        <x:f>F2249*1000*H2249</x:f>
        <x:v>129325.3692</x:v>
      </x:c>
      <x:c r="J2249" t="n">
        <x:v>1.866</x:v>
      </x:c>
    </x:row>
    <x:row r="2250">
      <x:c r="A2250" t="n">
        <x:v>2023</x:v>
      </x:c>
      <x:c r="B2250" t="str">
        <x:v>Mayo</x:v>
      </x:c>
      <x:c r="C2250" t="str">
        <x:v>RE-112937-1</x:v>
      </x:c>
      <x:c r="D2250" t="str">
        <x:v>Reformado del modificado del parque eólico Pena Ventosa</x:v>
      </x:c>
      <x:c r="E2250" t="n">
        <x:v>1.423</x:v>
      </x:c>
      <x:c r="F2250" t="n">
        <x:f>J2250*1.01</x:f>
        <x:v>1.40693</x:v>
      </x:c>
      <x:c r="G2250" t="n">
        <x:v>8</x:v>
      </x:c>
      <x:c r="H2250" t="n">
        <x:v>74.21</x:v>
      </x:c>
      <x:c r="I2250" t="n">
        <x:f>F2250*1000*H2250</x:f>
        <x:v>104408.2753</x:v>
      </x:c>
      <x:c r="J2250" t="n">
        <x:v>1.393</x:v>
      </x:c>
    </x:row>
    <x:row r="2251">
      <x:c r="A2251" t="n">
        <x:v>2023</x:v>
      </x:c>
      <x:c r="B2251" t="str">
        <x:v>Junio</x:v>
      </x:c>
      <x:c r="C2251" t="str">
        <x:v>RE-112937-1</x:v>
      </x:c>
      <x:c r="D2251" t="str">
        <x:v>Reformado del modificado del parque eólico Pena Ventosa</x:v>
      </x:c>
      <x:c r="E2251" t="n">
        <x:v>1.208</x:v>
      </x:c>
      <x:c r="F2251" t="n">
        <x:f>J2251*0.97</x:f>
        <x:v>1.15333</x:v>
      </x:c>
      <x:c r="G2251" t="n">
        <x:v>8</x:v>
      </x:c>
      <x:c r="H2251" t="n">
        <x:v>93.02</x:v>
      </x:c>
      <x:c r="I2251" t="n">
        <x:f>F2251*1000*H2251</x:f>
        <x:v>107282.7566</x:v>
      </x:c>
      <x:c r="J2251" t="n">
        <x:v>1.189</x:v>
      </x:c>
    </x:row>
    <x:row r="2252">
      <x:c r="A2252" t="n">
        <x:v>2023</x:v>
      </x:c>
      <x:c r="B2252" t="str">
        <x:v>Julio</x:v>
      </x:c>
      <x:c r="C2252" t="str">
        <x:v>RE-112937-1</x:v>
      </x:c>
      <x:c r="D2252" t="str">
        <x:v>Reformado del modificado del parque eólico Pena Ventosa</x:v>
      </x:c>
      <x:c r="E2252" t="n">
        <x:v>1.05</x:v>
      </x:c>
      <x:c r="F2252" t="n">
        <x:f>J2252*1.04</x:f>
        <x:v>1.06184</x:v>
      </x:c>
      <x:c r="G2252" t="n">
        <x:v>8</x:v>
      </x:c>
      <x:c r="H2252" t="n">
        <x:v>90.47</x:v>
      </x:c>
      <x:c r="I2252" t="n">
        <x:f>F2252*1000*H2252</x:f>
        <x:v>96064.6648</x:v>
      </x:c>
      <x:c r="J2252" t="n">
        <x:v>1.021</x:v>
      </x:c>
    </x:row>
    <x:row r="2253">
      <x:c r="A2253" t="n">
        <x:v>2023</x:v>
      </x:c>
      <x:c r="B2253" t="str">
        <x:v>Agosto</x:v>
      </x:c>
      <x:c r="C2253" t="str">
        <x:v>RE-112937-1</x:v>
      </x:c>
      <x:c r="D2253" t="str">
        <x:v>Reformado del modificado del parque eólico Pena Ventosa</x:v>
      </x:c>
      <x:c r="E2253" t="n">
        <x:v>1.287</x:v>
      </x:c>
      <x:c r="F2253" t="n">
        <x:f>J2253*1</x:f>
        <x:v>1.258</x:v>
      </x:c>
      <x:c r="G2253" t="n">
        <x:v>8</x:v>
      </x:c>
      <x:c r="H2253" t="n">
        <x:v>96.05</x:v>
      </x:c>
      <x:c r="I2253" t="n">
        <x:f>F2253*1000*H2253</x:f>
        <x:v>120830.9</x:v>
      </x:c>
      <x:c r="J2253" t="n">
        <x:v>1.258</x:v>
      </x:c>
    </x:row>
    <x:row r="2254">
      <x:c r="A2254" t="n">
        <x:v>2023</x:v>
      </x:c>
      <x:c r="B2254" t="str">
        <x:v>Septiembre</x:v>
      </x:c>
      <x:c r="C2254" t="str">
        <x:v>RE-112937-1</x:v>
      </x:c>
      <x:c r="D2254" t="str">
        <x:v>Reformado del modificado del parque eólico Pena Ventosa</x:v>
      </x:c>
      <x:c r="E2254" t="n">
        <x:v>1.271</x:v>
      </x:c>
      <x:c r="F2254" t="n">
        <x:f>J2254*0.96</x:f>
        <x:v>1.19712</x:v>
      </x:c>
      <x:c r="G2254" t="n">
        <x:v>8</x:v>
      </x:c>
      <x:c r="H2254" t="n">
        <x:v>103.34</x:v>
      </x:c>
      <x:c r="I2254" t="n">
        <x:f>F2254*1000*H2254</x:f>
        <x:v>123710.3808</x:v>
      </x:c>
      <x:c r="J2254" t="n">
        <x:v>1.247</x:v>
      </x:c>
    </x:row>
    <x:row r="2255">
      <x:c r="A2255" t="n">
        <x:v>2023</x:v>
      </x:c>
      <x:c r="B2255" t="str">
        <x:v>Octubre</x:v>
      </x:c>
      <x:c r="C2255" t="str">
        <x:v>RE-112937-1</x:v>
      </x:c>
      <x:c r="D2255" t="str">
        <x:v>Reformado del modificado del parque eólico Pena Ventosa</x:v>
      </x:c>
      <x:c r="E2255" t="n">
        <x:v>2.047</x:v>
      </x:c>
      <x:c r="F2255" t="n">
        <x:f>J2255*1.03</x:f>
        <x:v>2.05897</x:v>
      </x:c>
      <x:c r="G2255" t="n">
        <x:v>8</x:v>
      </x:c>
      <x:c r="H2255" t="n">
        <x:v>90.14</x:v>
      </x:c>
      <x:c r="I2255" t="n">
        <x:f>F2255*1000*H2255</x:f>
        <x:v>185595.55579999997</x:v>
      </x:c>
      <x:c r="J2255" t="n">
        <x:v>1.999</x:v>
      </x:c>
    </x:row>
    <x:row r="2256">
      <x:c r="A2256" t="n">
        <x:v>2023</x:v>
      </x:c>
      <x:c r="B2256" t="str">
        <x:v>Noviembre</x:v>
      </x:c>
      <x:c r="C2256" t="str">
        <x:v>RE-112937-1</x:v>
      </x:c>
      <x:c r="D2256" t="str">
        <x:v>Reformado del modificado del parque eólico Pena Ventosa</x:v>
      </x:c>
      <x:c r="E2256" t="n">
        <x:v>2.026</x:v>
      </x:c>
      <x:c r="F2256" t="n">
        <x:f>J2256*0.99</x:f>
        <x:v>1.9681199999999999</x:v>
      </x:c>
      <x:c r="G2256" t="n">
        <x:v>8</x:v>
      </x:c>
      <x:c r="H2256" t="n">
        <x:v>63.45</x:v>
      </x:c>
      <x:c r="I2256" t="n">
        <x:f>F2256*1000*H2256</x:f>
        <x:v>124877.21399999999</x:v>
      </x:c>
      <x:c r="J2256" t="n">
        <x:v>1.988</x:v>
      </x:c>
    </x:row>
    <x:row r="2257">
      <x:c r="A2257" t="n">
        <x:v>2023</x:v>
      </x:c>
      <x:c r="B2257" t="str">
        <x:v>Diciembre</x:v>
      </x:c>
      <x:c r="C2257" t="str">
        <x:v>RE-112937-1</x:v>
      </x:c>
      <x:c r="D2257" t="str">
        <x:v>Reformado del modificado del parque eólico Pena Ventosa</x:v>
      </x:c>
      <x:c r="E2257" t="n">
        <x:v>2.452</x:v>
      </x:c>
      <x:c r="F2257" t="n">
        <x:f>J2257*0.95</x:f>
        <x:v>2.28095</x:v>
      </x:c>
      <x:c r="G2257" t="n">
        <x:v>8</x:v>
      </x:c>
      <x:c r="H2257" t="n">
        <x:v>72.17</x:v>
      </x:c>
      <x:c r="I2257" t="n">
        <x:f>F2257*1000*H2257</x:f>
        <x:v>164616.1615</x:v>
      </x:c>
      <x:c r="J2257" t="n">
        <x:v>2.401</x:v>
      </x:c>
    </x:row>
    <x:row r="2258">
      <x:c r="A2258" t="n">
        <x:v>2023</x:v>
      </x:c>
      <x:c r="B2258" t="str">
        <x:v>Enero</x:v>
      </x:c>
      <x:c r="C2258" t="str">
        <x:v>RE-112965-1</x:v>
      </x:c>
      <x:c r="D2258" t="str">
        <x:v>Parque eólico Carracedo</x:v>
      </x:c>
      <x:c r="E2258" t="n">
        <x:v>3.305</x:v>
      </x:c>
      <x:c r="F2258" t="n">
        <x:f>J2258*1.02</x:f>
        <x:v>3.3129600000000003</x:v>
      </x:c>
      <x:c r="G2258" t="n">
        <x:v>9.9</x:v>
      </x:c>
      <x:c r="H2258" t="n">
        <x:v>69.55</x:v>
      </x:c>
      <x:c r="I2258" t="n">
        <x:f>F2258*1000*H2258</x:f>
        <x:v>230416.36800000002</x:v>
      </x:c>
      <x:c r="J2258" t="n">
        <x:v>3.248</x:v>
      </x:c>
    </x:row>
    <x:row r="2259">
      <x:c r="A2259" t="n">
        <x:v>2023</x:v>
      </x:c>
      <x:c r="B2259" t="str">
        <x:v>Febrero</x:v>
      </x:c>
      <x:c r="C2259" t="str">
        <x:v>RE-112965-1</x:v>
      </x:c>
      <x:c r="D2259" t="str">
        <x:v>Parque eólico Carracedo</x:v>
      </x:c>
      <x:c r="E2259" t="n">
        <x:v>2.541</x:v>
      </x:c>
      <x:c r="F2259" t="n">
        <x:f>J2259*0.98</x:f>
        <x:v>2.4441200000000003</x:v>
      </x:c>
      <x:c r="G2259" t="n">
        <x:v>9.9</x:v>
      </x:c>
      <x:c r="H2259" t="n">
        <x:v>133.47</x:v>
      </x:c>
      <x:c r="I2259" t="n">
        <x:f>F2259*1000*H2259</x:f>
        <x:v>326216.6964</x:v>
      </x:c>
      <x:c r="J2259" t="n">
        <x:v>2.494</x:v>
      </x:c>
    </x:row>
    <x:row r="2260">
      <x:c r="A2260" t="n">
        <x:v>2023</x:v>
      </x:c>
      <x:c r="B2260" t="str">
        <x:v>Marzo</x:v>
      </x:c>
      <x:c r="C2260" t="str">
        <x:v>RE-112965-1</x:v>
      </x:c>
      <x:c r="D2260" t="str">
        <x:v>Parque eólico Carracedo</x:v>
      </x:c>
      <x:c r="E2260" t="n">
        <x:v>2.674</x:v>
      </x:c>
      <x:c r="F2260" t="n">
        <x:f>J2260*0.94</x:f>
        <x:v>2.43742</x:v>
      </x:c>
      <x:c r="G2260" t="n">
        <x:v>9.9</x:v>
      </x:c>
      <x:c r="H2260" t="n">
        <x:v>89.61</x:v>
      </x:c>
      <x:c r="I2260" t="n">
        <x:f>F2260*1000*H2260</x:f>
        <x:v>218417.20620000002</x:v>
      </x:c>
      <x:c r="J2260" t="n">
        <x:v>2.593</x:v>
      </x:c>
    </x:row>
    <x:row r="2261">
      <x:c r="A2261" t="n">
        <x:v>2023</x:v>
      </x:c>
      <x:c r="B2261" t="str">
        <x:v>Abril</x:v>
      </x:c>
      <x:c r="C2261" t="str">
        <x:v>RE-112965-1</x:v>
      </x:c>
      <x:c r="D2261" t="str">
        <x:v>Parque eólico Carracedo</x:v>
      </x:c>
      <x:c r="E2261" t="n">
        <x:v>2.164</x:v>
      </x:c>
      <x:c r="F2261" t="n">
        <x:f>J2261*1.01</x:f>
        <x:v>2.14625</x:v>
      </x:c>
      <x:c r="G2261" t="n">
        <x:v>9.9</x:v>
      </x:c>
      <x:c r="H2261" t="n">
        <x:v>73.73</x:v>
      </x:c>
      <x:c r="I2261" t="n">
        <x:f>F2261*1000*H2261</x:f>
        <x:v>158243.0125</x:v>
      </x:c>
      <x:c r="J2261" t="n">
        <x:v>2.125</x:v>
      </x:c>
    </x:row>
    <x:row r="2262">
      <x:c r="A2262" t="n">
        <x:v>2023</x:v>
      </x:c>
      <x:c r="B2262" t="str">
        <x:v>Mayo</x:v>
      </x:c>
      <x:c r="C2262" t="str">
        <x:v>RE-112965-1</x:v>
      </x:c>
      <x:c r="D2262" t="str">
        <x:v>Parque eólico Carracedo</x:v>
      </x:c>
      <x:c r="E2262" t="n">
        <x:v>1.805</x:v>
      </x:c>
      <x:c r="F2262" t="n">
        <x:f>J2262*0.97</x:f>
        <x:v>1.70332</x:v>
      </x:c>
      <x:c r="G2262" t="n">
        <x:v>9.9</x:v>
      </x:c>
      <x:c r="H2262" t="n">
        <x:v>74.21</x:v>
      </x:c>
      <x:c r="I2262" t="n">
        <x:f>F2262*1000*H2262</x:f>
        <x:v>126403.37719999999</x:v>
      </x:c>
      <x:c r="J2262" t="n">
        <x:v>1.756</x:v>
      </x:c>
    </x:row>
    <x:row r="2263">
      <x:c r="A2263" t="n">
        <x:v>2023</x:v>
      </x:c>
      <x:c r="B2263" t="str">
        <x:v>Junio</x:v>
      </x:c>
      <x:c r="C2263" t="str">
        <x:v>RE-112965-1</x:v>
      </x:c>
      <x:c r="D2263" t="str">
        <x:v>Parque eólico Carracedo</x:v>
      </x:c>
      <x:c r="E2263" t="n">
        <x:v>1.461</x:v>
      </x:c>
      <x:c r="F2263" t="n">
        <x:f>J2263*1.04</x:f>
        <x:v>1.4861600000000001</x:v>
      </x:c>
      <x:c r="G2263" t="n">
        <x:v>9.9</x:v>
      </x:c>
      <x:c r="H2263" t="n">
        <x:v>93.02</x:v>
      </x:c>
      <x:c r="I2263" t="n">
        <x:f>F2263*1000*H2263</x:f>
        <x:v>138242.6032</x:v>
      </x:c>
      <x:c r="J2263" t="n">
        <x:v>1.429</x:v>
      </x:c>
    </x:row>
    <x:row r="2264">
      <x:c r="A2264" t="n">
        <x:v>2023</x:v>
      </x:c>
      <x:c r="B2264" t="str">
        <x:v>Julio</x:v>
      </x:c>
      <x:c r="C2264" t="str">
        <x:v>RE-112965-1</x:v>
      </x:c>
      <x:c r="D2264" t="str">
        <x:v>Parque eólico Carracedo</x:v>
      </x:c>
      <x:c r="E2264" t="n">
        <x:v>1.492</x:v>
      </x:c>
      <x:c r="F2264" t="n">
        <x:f>J2264*1</x:f>
        <x:v>1.45</x:v>
      </x:c>
      <x:c r="G2264" t="n">
        <x:v>9.9</x:v>
      </x:c>
      <x:c r="H2264" t="n">
        <x:v>90.47</x:v>
      </x:c>
      <x:c r="I2264" t="n">
        <x:f>F2264*1000*H2264</x:f>
        <x:v>131181.5</x:v>
      </x:c>
      <x:c r="J2264" t="n">
        <x:v>1.45</x:v>
      </x:c>
    </x:row>
    <x:row r="2265">
      <x:c r="A2265" t="n">
        <x:v>2023</x:v>
      </x:c>
      <x:c r="B2265" t="str">
        <x:v>Agosto</x:v>
      </x:c>
      <x:c r="C2265" t="str">
        <x:v>RE-112965-1</x:v>
      </x:c>
      <x:c r="D2265" t="str">
        <x:v>Parque eólico Carracedo</x:v>
      </x:c>
      <x:c r="E2265" t="n">
        <x:v>1.525</x:v>
      </x:c>
      <x:c r="F2265" t="n">
        <x:f>J2265*0.96</x:f>
        <x:v>1.4275200000000001</x:v>
      </x:c>
      <x:c r="G2265" t="n">
        <x:v>9.9</x:v>
      </x:c>
      <x:c r="H2265" t="n">
        <x:v>96.05</x:v>
      </x:c>
      <x:c r="I2265" t="n">
        <x:f>F2265*1000*H2265</x:f>
        <x:v>137113.296</x:v>
      </x:c>
      <x:c r="J2265" t="n">
        <x:v>1.487</x:v>
      </x:c>
    </x:row>
    <x:row r="2266">
      <x:c r="A2266" t="n">
        <x:v>2023</x:v>
      </x:c>
      <x:c r="B2266" t="str">
        <x:v>Septiembre</x:v>
      </x:c>
      <x:c r="C2266" t="str">
        <x:v>RE-112965-1</x:v>
      </x:c>
      <x:c r="D2266" t="str">
        <x:v>Parque eólico Carracedo</x:v>
      </x:c>
      <x:c r="E2266" t="n">
        <x:v>1.664</x:v>
      </x:c>
      <x:c r="F2266" t="n">
        <x:f>J2266*1.03</x:f>
        <x:v>1.68302</x:v>
      </x:c>
      <x:c r="G2266" t="n">
        <x:v>9.9</x:v>
      </x:c>
      <x:c r="H2266" t="n">
        <x:v>103.34</x:v>
      </x:c>
      <x:c r="I2266" t="n">
        <x:f>F2266*1000*H2266</x:f>
        <x:v>173923.2868</x:v>
      </x:c>
      <x:c r="J2266" t="n">
        <x:v>1.634</x:v>
      </x:c>
    </x:row>
    <x:row r="2267">
      <x:c r="A2267" t="n">
        <x:v>2023</x:v>
      </x:c>
      <x:c r="B2267" t="str">
        <x:v>Octubre</x:v>
      </x:c>
      <x:c r="C2267" t="str">
        <x:v>RE-112965-1</x:v>
      </x:c>
      <x:c r="D2267" t="str">
        <x:v>Parque eólico Carracedo</x:v>
      </x:c>
      <x:c r="E2267" t="n">
        <x:v>2.465</x:v>
      </x:c>
      <x:c r="F2267" t="n">
        <x:f>J2267*0.99</x:f>
        <x:v>2.38788</x:v>
      </x:c>
      <x:c r="G2267" t="n">
        <x:v>9.9</x:v>
      </x:c>
      <x:c r="H2267" t="n">
        <x:v>90.14</x:v>
      </x:c>
      <x:c r="I2267" t="n">
        <x:f>F2267*1000*H2267</x:f>
        <x:v>215243.5032</x:v>
      </x:c>
      <x:c r="J2267" t="n">
        <x:v>2.412</x:v>
      </x:c>
    </x:row>
    <x:row r="2268">
      <x:c r="A2268" t="n">
        <x:v>2023</x:v>
      </x:c>
      <x:c r="B2268" t="str">
        <x:v>Noviembre</x:v>
      </x:c>
      <x:c r="C2268" t="str">
        <x:v>RE-112965-1</x:v>
      </x:c>
      <x:c r="D2268" t="str">
        <x:v>Parque eólico Carracedo</x:v>
      </x:c>
      <x:c r="E2268" t="n">
        <x:v>2.462</x:v>
      </x:c>
      <x:c r="F2268" t="n">
        <x:f>J2268*0.95</x:f>
        <x:v>2.2733499999999998</x:v>
      </x:c>
      <x:c r="G2268" t="n">
        <x:v>9.9</x:v>
      </x:c>
      <x:c r="H2268" t="n">
        <x:v>63.45</x:v>
      </x:c>
      <x:c r="I2268" t="n">
        <x:f>F2268*1000*H2268</x:f>
        <x:v>144244.0575</x:v>
      </x:c>
      <x:c r="J2268" t="n">
        <x:v>2.393</x:v>
      </x:c>
    </x:row>
    <x:row r="2269">
      <x:c r="A2269" t="n">
        <x:v>2023</x:v>
      </x:c>
      <x:c r="B2269" t="str">
        <x:v>Diciembre</x:v>
      </x:c>
      <x:c r="C2269" t="str">
        <x:v>RE-112965-1</x:v>
      </x:c>
      <x:c r="D2269" t="str">
        <x:v>Parque eólico Carracedo</x:v>
      </x:c>
      <x:c r="E2269" t="n">
        <x:v>3.101</x:v>
      </x:c>
      <x:c r="F2269" t="n">
        <x:f>J2269*1.02</x:f>
        <x:v>3.08856</x:v>
      </x:c>
      <x:c r="G2269" t="n">
        <x:v>9.9</x:v>
      </x:c>
      <x:c r="H2269" t="n">
        <x:v>72.17</x:v>
      </x:c>
      <x:c r="I2269" t="n">
        <x:f>F2269*1000*H2269</x:f>
        <x:v>222901.37520000004</x:v>
      </x:c>
      <x:c r="J2269" t="n">
        <x:v>3.028</x:v>
      </x:c>
    </x:row>
    <x:row r="2270">
      <x:c r="A2270" t="n">
        <x:v>2023</x:v>
      </x:c>
      <x:c r="B2270" t="str">
        <x:v>Enero</x:v>
      </x:c>
      <x:c r="C2270" t="str">
        <x:v>RE-112996-1</x:v>
      </x:c>
      <x:c r="D2270" t="str">
        <x:v>Parque eólico Serra das Penas</x:v>
      </x:c>
      <x:c r="E2270" t="n">
        <x:v>11.726</x:v>
      </x:c>
      <x:c r="F2270" t="n">
        <x:f>J2270*0.98</x:f>
        <x:v>11.30724</x:v>
      </x:c>
      <x:c r="G2270" t="n">
        <x:v>42</x:v>
      </x:c>
      <x:c r="H2270" t="n">
        <x:v>69.55</x:v>
      </x:c>
      <x:c r="I2270" t="n">
        <x:f>F2270*1000*H2270</x:f>
        <x:v>786418.5419999999</x:v>
      </x:c>
      <x:c r="J2270" t="n">
        <x:v>11.538</x:v>
      </x:c>
    </x:row>
    <x:row r="2271">
      <x:c r="A2271" t="n">
        <x:v>2023</x:v>
      </x:c>
      <x:c r="B2271" t="str">
        <x:v>Febrero</x:v>
      </x:c>
      <x:c r="C2271" t="str">
        <x:v>RE-112996-1</x:v>
      </x:c>
      <x:c r="D2271" t="str">
        <x:v>Parque eólico Serra das Penas</x:v>
      </x:c>
      <x:c r="E2271" t="n">
        <x:v>9.4</x:v>
      </x:c>
      <x:c r="F2271" t="n">
        <x:f>J2271*0.94</x:f>
        <x:v>8.578439999999999</x:v>
      </x:c>
      <x:c r="G2271" t="n">
        <x:v>42</x:v>
      </x:c>
      <x:c r="H2271" t="n">
        <x:v>133.47</x:v>
      </x:c>
      <x:c r="I2271" t="n">
        <x:f>F2271*1000*H2271</x:f>
        <x:v>1144964.3867999997</x:v>
      </x:c>
      <x:c r="J2271" t="n">
        <x:v>9.126</x:v>
      </x:c>
    </x:row>
    <x:row r="2272">
      <x:c r="A2272" t="n">
        <x:v>2023</x:v>
      </x:c>
      <x:c r="B2272" t="str">
        <x:v>Marzo</x:v>
      </x:c>
      <x:c r="C2272" t="str">
        <x:v>RE-112996-1</x:v>
      </x:c>
      <x:c r="D2272" t="str">
        <x:v>Parque eólico Serra das Penas</x:v>
      </x:c>
      <x:c r="E2272" t="n">
        <x:v>10.702</x:v>
      </x:c>
      <x:c r="F2272" t="n">
        <x:f>J2272*1.01</x:f>
        <x:v>10.62823</x:v>
      </x:c>
      <x:c r="G2272" t="n">
        <x:v>42</x:v>
      </x:c>
      <x:c r="H2272" t="n">
        <x:v>89.61</x:v>
      </x:c>
      <x:c r="I2272" t="n">
        <x:f>F2272*1000*H2272</x:f>
        <x:v>952395.6902999999</x:v>
      </x:c>
      <x:c r="J2272" t="n">
        <x:v>10.523</x:v>
      </x:c>
    </x:row>
    <x:row r="2273">
      <x:c r="A2273" t="n">
        <x:v>2023</x:v>
      </x:c>
      <x:c r="B2273" t="str">
        <x:v>Abril</x:v>
      </x:c>
      <x:c r="C2273" t="str">
        <x:v>RE-112996-1</x:v>
      </x:c>
      <x:c r="D2273" t="str">
        <x:v>Parque eólico Serra das Penas</x:v>
      </x:c>
      <x:c r="E2273" t="n">
        <x:v>7.588</x:v>
      </x:c>
      <x:c r="F2273" t="n">
        <x:f>J2273*0.97</x:f>
        <x:v>7.222619999999999</x:v>
      </x:c>
      <x:c r="G2273" t="n">
        <x:v>42</x:v>
      </x:c>
      <x:c r="H2273" t="n">
        <x:v>73.73</x:v>
      </x:c>
      <x:c r="I2273" t="n">
        <x:f>F2273*1000*H2273</x:f>
        <x:v>532523.7725999999</x:v>
      </x:c>
      <x:c r="J2273" t="n">
        <x:v>7.446</x:v>
      </x:c>
    </x:row>
    <x:row r="2274">
      <x:c r="A2274" t="n">
        <x:v>2023</x:v>
      </x:c>
      <x:c r="B2274" t="str">
        <x:v>Mayo</x:v>
      </x:c>
      <x:c r="C2274" t="str">
        <x:v>RE-112996-1</x:v>
      </x:c>
      <x:c r="D2274" t="str">
        <x:v>Parque eólico Serra das Penas</x:v>
      </x:c>
      <x:c r="E2274" t="n">
        <x:v>8.316</x:v>
      </x:c>
      <x:c r="F2274" t="n">
        <x:f>J2274*1.04</x:f>
        <x:v>8.450000000000001</x:v>
      </x:c>
      <x:c r="G2274" t="n">
        <x:v>42</x:v>
      </x:c>
      <x:c r="H2274" t="n">
        <x:v>74.21</x:v>
      </x:c>
      <x:c r="I2274" t="n">
        <x:f>F2274*1000*H2274</x:f>
        <x:v>627074.5000000001</x:v>
      </x:c>
      <x:c r="J2274" t="n">
        <x:v>8.125</x:v>
      </x:c>
    </x:row>
    <x:row r="2275">
      <x:c r="A2275" t="n">
        <x:v>2023</x:v>
      </x:c>
      <x:c r="B2275" t="str">
        <x:v>Junio</x:v>
      </x:c>
      <x:c r="C2275" t="str">
        <x:v>RE-112996-1</x:v>
      </x:c>
      <x:c r="D2275" t="str">
        <x:v>Parque eólico Serra das Penas</x:v>
      </x:c>
      <x:c r="E2275" t="n">
        <x:v>6.661</x:v>
      </x:c>
      <x:c r="F2275" t="n">
        <x:f>J2275*1</x:f>
        <x:v>6.475</x:v>
      </x:c>
      <x:c r="G2275" t="n">
        <x:v>42</x:v>
      </x:c>
      <x:c r="H2275" t="n">
        <x:v>93.02</x:v>
      </x:c>
      <x:c r="I2275" t="n">
        <x:f>F2275*1000*H2275</x:f>
        <x:v>602304.5</x:v>
      </x:c>
      <x:c r="J2275" t="n">
        <x:v>6.475</x:v>
      </x:c>
    </x:row>
    <x:row r="2276">
      <x:c r="A2276" t="n">
        <x:v>2023</x:v>
      </x:c>
      <x:c r="B2276" t="str">
        <x:v>Julio</x:v>
      </x:c>
      <x:c r="C2276" t="str">
        <x:v>RE-112996-1</x:v>
      </x:c>
      <x:c r="D2276" t="str">
        <x:v>Parque eólico Serra das Penas</x:v>
      </x:c>
      <x:c r="E2276" t="n">
        <x:v>6.39</x:v>
      </x:c>
      <x:c r="F2276" t="n">
        <x:f>J2276*0.96</x:f>
        <x:v>5.97216</x:v>
      </x:c>
      <x:c r="G2276" t="n">
        <x:v>42</x:v>
      </x:c>
      <x:c r="H2276" t="n">
        <x:v>90.47</x:v>
      </x:c>
      <x:c r="I2276" t="n">
        <x:f>F2276*1000*H2276</x:f>
        <x:v>540301.3152</x:v>
      </x:c>
      <x:c r="J2276" t="n">
        <x:v>6.221</x:v>
      </x:c>
    </x:row>
    <x:row r="2277">
      <x:c r="A2277" t="n">
        <x:v>2023</x:v>
      </x:c>
      <x:c r="B2277" t="str">
        <x:v>Agosto</x:v>
      </x:c>
      <x:c r="C2277" t="str">
        <x:v>RE-112996-1</x:v>
      </x:c>
      <x:c r="D2277" t="str">
        <x:v>Parque eólico Serra das Penas</x:v>
      </x:c>
      <x:c r="E2277" t="n">
        <x:v>6.056</x:v>
      </x:c>
      <x:c r="F2277" t="n">
        <x:f>J2277*1.03</x:f>
        <x:v>6.1264400000000006</x:v>
      </x:c>
      <x:c r="G2277" t="n">
        <x:v>42</x:v>
      </x:c>
      <x:c r="H2277" t="n">
        <x:v>96.05</x:v>
      </x:c>
      <x:c r="I2277" t="n">
        <x:f>F2277*1000*H2277</x:f>
        <x:v>588444.562</x:v>
      </x:c>
      <x:c r="J2277" t="n">
        <x:v>5.948</x:v>
      </x:c>
    </x:row>
    <x:row r="2278">
      <x:c r="A2278" t="n">
        <x:v>2023</x:v>
      </x:c>
      <x:c r="B2278" t="str">
        <x:v>Septiembre</x:v>
      </x:c>
      <x:c r="C2278" t="str">
        <x:v>RE-112996-1</x:v>
      </x:c>
      <x:c r="D2278" t="str">
        <x:v>Parque eólico Serra das Penas</x:v>
      </x:c>
      <x:c r="E2278" t="n">
        <x:v>7.014</x:v>
      </x:c>
      <x:c r="F2278" t="n">
        <x:f>J2278*0.99</x:f>
        <x:v>6.736949999999999</x:v>
      </x:c>
      <x:c r="G2278" t="n">
        <x:v>42</x:v>
      </x:c>
      <x:c r="H2278" t="n">
        <x:v>103.34</x:v>
      </x:c>
      <x:c r="I2278" t="n">
        <x:f>F2278*1000*H2278</x:f>
        <x:v>696196.413</x:v>
      </x:c>
      <x:c r="J2278" t="n">
        <x:v>6.805</x:v>
      </x:c>
    </x:row>
    <x:row r="2279">
      <x:c r="A2279" t="n">
        <x:v>2023</x:v>
      </x:c>
      <x:c r="B2279" t="str">
        <x:v>Octubre</x:v>
      </x:c>
      <x:c r="C2279" t="str">
        <x:v>RE-112996-1</x:v>
      </x:c>
      <x:c r="D2279" t="str">
        <x:v>Parque eólico Serra das Penas</x:v>
      </x:c>
      <x:c r="E2279" t="n">
        <x:v>9.686</x:v>
      </x:c>
      <x:c r="F2279" t="n">
        <x:f>J2279*0.95</x:f>
        <x:v>8.9262</x:v>
      </x:c>
      <x:c r="G2279" t="n">
        <x:v>42</x:v>
      </x:c>
      <x:c r="H2279" t="n">
        <x:v>90.14</x:v>
      </x:c>
      <x:c r="I2279" t="n">
        <x:f>F2279*1000*H2279</x:f>
        <x:v>804607.668</x:v>
      </x:c>
      <x:c r="J2279" t="n">
        <x:v>9.396</x:v>
      </x:c>
    </x:row>
    <x:row r="2280">
      <x:c r="A2280" t="n">
        <x:v>2023</x:v>
      </x:c>
      <x:c r="B2280" t="str">
        <x:v>Noviembre</x:v>
      </x:c>
      <x:c r="C2280" t="str">
        <x:v>RE-112996-1</x:v>
      </x:c>
      <x:c r="D2280" t="str">
        <x:v>Parque eólico Serra das Penas</x:v>
      </x:c>
      <x:c r="E2280" t="n">
        <x:v>9.981</x:v>
      </x:c>
      <x:c r="F2280" t="n">
        <x:f>J2280*1.02</x:f>
        <x:v>9.872580000000001</x:v>
      </x:c>
      <x:c r="G2280" t="n">
        <x:v>42</x:v>
      </x:c>
      <x:c r="H2280" t="n">
        <x:v>63.45</x:v>
      </x:c>
      <x:c r="I2280" t="n">
        <x:f>F2280*1000*H2280</x:f>
        <x:v>626415.2010000001</x:v>
      </x:c>
      <x:c r="J2280" t="n">
        <x:v>9.679</x:v>
      </x:c>
    </x:row>
    <x:row r="2281">
      <x:c r="A2281" t="n">
        <x:v>2023</x:v>
      </x:c>
      <x:c r="B2281" t="str">
        <x:v>Diciembre</x:v>
      </x:c>
      <x:c r="C2281" t="str">
        <x:v>RE-112996-1</x:v>
      </x:c>
      <x:c r="D2281" t="str">
        <x:v>Parque eólico Serra das Penas</x:v>
      </x:c>
      <x:c r="E2281" t="n">
        <x:v>12.233</x:v>
      </x:c>
      <x:c r="F2281" t="n">
        <x:f>J2281*0.98</x:f>
        <x:v>11.72668</x:v>
      </x:c>
      <x:c r="G2281" t="n">
        <x:v>42</x:v>
      </x:c>
      <x:c r="H2281" t="n">
        <x:v>72.17</x:v>
      </x:c>
      <x:c r="I2281" t="n">
        <x:f>F2281*1000*H2281</x:f>
        <x:v>846314.4956</x:v>
      </x:c>
      <x:c r="J2281" t="n">
        <x:v>11.966</x:v>
      </x:c>
    </x:row>
    <x:row r="2282">
      <x:c r="A2282" t="n">
        <x:v>2023</x:v>
      </x:c>
      <x:c r="B2282" t="str">
        <x:v>Enero</x:v>
      </x:c>
      <x:c r="C2282" t="str">
        <x:v>RE-113026-1</x:v>
      </x:c>
      <x:c r="D2282" t="str">
        <x:v>Parque eólico Paradela</x:v>
      </x:c>
      <x:c r="E2282" t="n">
        <x:v>3.323</x:v>
      </x:c>
      <x:c r="F2282" t="n">
        <x:f>J2282*0.94</x:f>
        <x:v>3.06064</x:v>
      </x:c>
      <x:c r="G2282" t="n">
        <x:v>12</x:v>
      </x:c>
      <x:c r="H2282" t="n">
        <x:v>69.55</x:v>
      </x:c>
      <x:c r="I2282" t="n">
        <x:f>F2282*1000*H2282</x:f>
        <x:v>212867.512</x:v>
      </x:c>
      <x:c r="J2282" t="n">
        <x:v>3.256</x:v>
      </x:c>
    </x:row>
    <x:row r="2283">
      <x:c r="A2283" t="n">
        <x:v>2023</x:v>
      </x:c>
      <x:c r="B2283" t="str">
        <x:v>Febrero</x:v>
      </x:c>
      <x:c r="C2283" t="str">
        <x:v>RE-113026-1</x:v>
      </x:c>
      <x:c r="D2283" t="str">
        <x:v>Parque eólico Paradela</x:v>
      </x:c>
      <x:c r="E2283" t="n">
        <x:v>2.679</x:v>
      </x:c>
      <x:c r="F2283" t="n">
        <x:f>J2283*1.01</x:f>
        <x:v>2.62196</x:v>
      </x:c>
      <x:c r="G2283" t="n">
        <x:v>12</x:v>
      </x:c>
      <x:c r="H2283" t="n">
        <x:v>133.47</x:v>
      </x:c>
      <x:c r="I2283" t="n">
        <x:f>F2283*1000*H2283</x:f>
        <x:v>349953.0012</x:v>
      </x:c>
      <x:c r="J2283" t="n">
        <x:v>2.596</x:v>
      </x:c>
    </x:row>
    <x:row r="2284">
      <x:c r="A2284" t="n">
        <x:v>2023</x:v>
      </x:c>
      <x:c r="B2284" t="str">
        <x:v>Marzo</x:v>
      </x:c>
      <x:c r="C2284" t="str">
        <x:v>RE-113026-1</x:v>
      </x:c>
      <x:c r="D2284" t="str">
        <x:v>Parque eólico Paradela</x:v>
      </x:c>
      <x:c r="E2284" t="n">
        <x:v>3.049</x:v>
      </x:c>
      <x:c r="F2284" t="n">
        <x:f>J2284*0.97</x:f>
        <x:v>2.86926</x:v>
      </x:c>
      <x:c r="G2284" t="n">
        <x:v>12</x:v>
      </x:c>
      <x:c r="H2284" t="n">
        <x:v>89.61</x:v>
      </x:c>
      <x:c r="I2284" t="n">
        <x:f>F2284*1000*H2284</x:f>
        <x:v>257114.3886</x:v>
      </x:c>
      <x:c r="J2284" t="n">
        <x:v>2.958</x:v>
      </x:c>
    </x:row>
    <x:row r="2285">
      <x:c r="A2285" t="n">
        <x:v>2023</x:v>
      </x:c>
      <x:c r="B2285" t="str">
        <x:v>Abril</x:v>
      </x:c>
      <x:c r="C2285" t="str">
        <x:v>RE-113026-1</x:v>
      </x:c>
      <x:c r="D2285" t="str">
        <x:v>Parque eólico Paradela</x:v>
      </x:c>
      <x:c r="E2285" t="n">
        <x:v>2.579</x:v>
      </x:c>
      <x:c r="F2285" t="n">
        <x:f>J2285*1.04</x:f>
        <x:v>2.6208</x:v>
      </x:c>
      <x:c r="G2285" t="n">
        <x:v>12</x:v>
      </x:c>
      <x:c r="H2285" t="n">
        <x:v>73.73</x:v>
      </x:c>
      <x:c r="I2285" t="n">
        <x:f>F2285*1000*H2285</x:f>
        <x:v>193231.58400000003</x:v>
      </x:c>
      <x:c r="J2285" t="n">
        <x:v>2.52</x:v>
      </x:c>
    </x:row>
    <x:row r="2286">
      <x:c r="A2286" t="n">
        <x:v>2023</x:v>
      </x:c>
      <x:c r="B2286" t="str">
        <x:v>Mayo</x:v>
      </x:c>
      <x:c r="C2286" t="str">
        <x:v>RE-113026-1</x:v>
      </x:c>
      <x:c r="D2286" t="str">
        <x:v>Parque eólico Paradela</x:v>
      </x:c>
      <x:c r="E2286" t="n">
        <x:v>2</x:v>
      </x:c>
      <x:c r="F2286" t="n">
        <x:f>J2286*1</x:f>
        <x:v>1.966</x:v>
      </x:c>
      <x:c r="G2286" t="n">
        <x:v>12</x:v>
      </x:c>
      <x:c r="H2286" t="n">
        <x:v>74.21</x:v>
      </x:c>
      <x:c r="I2286" t="n">
        <x:f>F2286*1000*H2286</x:f>
        <x:v>145896.86</x:v>
      </x:c>
      <x:c r="J2286" t="n">
        <x:v>1.966</x:v>
      </x:c>
    </x:row>
    <x:row r="2287">
      <x:c r="A2287" t="n">
        <x:v>2023</x:v>
      </x:c>
      <x:c r="B2287" t="str">
        <x:v>Junio</x:v>
      </x:c>
      <x:c r="C2287" t="str">
        <x:v>RE-113026-1</x:v>
      </x:c>
      <x:c r="D2287" t="str">
        <x:v>Parque eólico Paradela</x:v>
      </x:c>
      <x:c r="E2287" t="n">
        <x:v>1.684</x:v>
      </x:c>
      <x:c r="F2287" t="n">
        <x:f>J2287*0.96</x:f>
        <x:v>1.59264</x:v>
      </x:c>
      <x:c r="G2287" t="n">
        <x:v>12</x:v>
      </x:c>
      <x:c r="H2287" t="n">
        <x:v>93.02</x:v>
      </x:c>
      <x:c r="I2287" t="n">
        <x:f>F2287*1000*H2287</x:f>
        <x:v>148147.3728</x:v>
      </x:c>
      <x:c r="J2287" t="n">
        <x:v>1.659</x:v>
      </x:c>
    </x:row>
    <x:row r="2288">
      <x:c r="A2288" t="n">
        <x:v>2023</x:v>
      </x:c>
      <x:c r="B2288" t="str">
        <x:v>Julio</x:v>
      </x:c>
      <x:c r="C2288" t="str">
        <x:v>RE-113026-1</x:v>
      </x:c>
      <x:c r="D2288" t="str">
        <x:v>Parque eólico Paradela</x:v>
      </x:c>
      <x:c r="E2288" t="n">
        <x:v>1.677</x:v>
      </x:c>
      <x:c r="F2288" t="n">
        <x:f>J2288*1.03</x:f>
        <x:v>1.69435</x:v>
      </x:c>
      <x:c r="G2288" t="n">
        <x:v>12</x:v>
      </x:c>
      <x:c r="H2288" t="n">
        <x:v>90.47</x:v>
      </x:c>
      <x:c r="I2288" t="n">
        <x:f>F2288*1000*H2288</x:f>
        <x:v>153287.84449999998</x:v>
      </x:c>
      <x:c r="J2288" t="n">
        <x:v>1.645</x:v>
      </x:c>
    </x:row>
    <x:row r="2289">
      <x:c r="A2289" t="n">
        <x:v>2023</x:v>
      </x:c>
      <x:c r="B2289" t="str">
        <x:v>Agosto</x:v>
      </x:c>
      <x:c r="C2289" t="str">
        <x:v>RE-113026-1</x:v>
      </x:c>
      <x:c r="D2289" t="str">
        <x:v>Parque eólico Paradela</x:v>
      </x:c>
      <x:c r="E2289" t="n">
        <x:v>1.807</x:v>
      </x:c>
      <x:c r="F2289" t="n">
        <x:f>J2289*0.99</x:f>
        <x:v>1.7592299999999998</x:v>
      </x:c>
      <x:c r="G2289" t="n">
        <x:v>12</x:v>
      </x:c>
      <x:c r="H2289" t="n">
        <x:v>96.05</x:v>
      </x:c>
      <x:c r="I2289" t="n">
        <x:f>F2289*1000*H2289</x:f>
        <x:v>168974.04149999996</x:v>
      </x:c>
      <x:c r="J2289" t="n">
        <x:v>1.777</x:v>
      </x:c>
    </x:row>
    <x:row r="2290">
      <x:c r="A2290" t="n">
        <x:v>2023</x:v>
      </x:c>
      <x:c r="B2290" t="str">
        <x:v>Septiembre</x:v>
      </x:c>
      <x:c r="C2290" t="str">
        <x:v>RE-113026-1</x:v>
      </x:c>
      <x:c r="D2290" t="str">
        <x:v>Parque eólico Paradela</x:v>
      </x:c>
      <x:c r="E2290" t="n">
        <x:v>2.133</x:v>
      </x:c>
      <x:c r="F2290" t="n">
        <x:f>J2290*0.95</x:f>
        <x:v>1.9722</x:v>
      </x:c>
      <x:c r="G2290" t="n">
        <x:v>12</x:v>
      </x:c>
      <x:c r="H2290" t="n">
        <x:v>103.34</x:v>
      </x:c>
      <x:c r="I2290" t="n">
        <x:f>F2290*1000*H2290</x:f>
        <x:v>203807.14800000002</x:v>
      </x:c>
      <x:c r="J2290" t="n">
        <x:v>2.076</x:v>
      </x:c>
    </x:row>
    <x:row r="2291">
      <x:c r="A2291" t="n">
        <x:v>2023</x:v>
      </x:c>
      <x:c r="B2291" t="str">
        <x:v>Octubre</x:v>
      </x:c>
      <x:c r="C2291" t="str">
        <x:v>RE-113026-1</x:v>
      </x:c>
      <x:c r="D2291" t="str">
        <x:v>Parque eólico Paradela</x:v>
      </x:c>
      <x:c r="E2291" t="n">
        <x:v>2.755</x:v>
      </x:c>
      <x:c r="F2291" t="n">
        <x:f>J2291*1.02</x:f>
        <x:v>2.75604</x:v>
      </x:c>
      <x:c r="G2291" t="n">
        <x:v>12</x:v>
      </x:c>
      <x:c r="H2291" t="n">
        <x:v>90.14</x:v>
      </x:c>
      <x:c r="I2291" t="n">
        <x:f>F2291*1000*H2291</x:f>
        <x:v>248429.4456</x:v>
      </x:c>
      <x:c r="J2291" t="n">
        <x:v>2.702</x:v>
      </x:c>
    </x:row>
    <x:row r="2292">
      <x:c r="A2292" t="n">
        <x:v>2023</x:v>
      </x:c>
      <x:c r="B2292" t="str">
        <x:v>Noviembre</x:v>
      </x:c>
      <x:c r="C2292" t="str">
        <x:v>RE-113026-1</x:v>
      </x:c>
      <x:c r="D2292" t="str">
        <x:v>Parque eólico Paradela</x:v>
      </x:c>
      <x:c r="E2292" t="n">
        <x:v>2.93</x:v>
      </x:c>
      <x:c r="F2292" t="n">
        <x:f>J2292*0.98</x:f>
        <x:v>2.78026</x:v>
      </x:c>
      <x:c r="G2292" t="n">
        <x:v>12</x:v>
      </x:c>
      <x:c r="H2292" t="n">
        <x:v>63.45</x:v>
      </x:c>
      <x:c r="I2292" t="n">
        <x:f>F2292*1000*H2292</x:f>
        <x:v>176407.49700000003</x:v>
      </x:c>
      <x:c r="J2292" t="n">
        <x:v>2.837</x:v>
      </x:c>
    </x:row>
    <x:row r="2293">
      <x:c r="A2293" t="n">
        <x:v>2023</x:v>
      </x:c>
      <x:c r="B2293" t="str">
        <x:v>Diciembre</x:v>
      </x:c>
      <x:c r="C2293" t="str">
        <x:v>RE-113026-1</x:v>
      </x:c>
      <x:c r="D2293" t="str">
        <x:v>Parque eólico Paradela</x:v>
      </x:c>
      <x:c r="E2293" t="n">
        <x:v>3.117</x:v>
      </x:c>
      <x:c r="F2293" t="n">
        <x:f>J2293*0.94</x:f>
        <x:v>2.84914</x:v>
      </x:c>
      <x:c r="G2293" t="n">
        <x:v>12</x:v>
      </x:c>
      <x:c r="H2293" t="n">
        <x:v>72.17</x:v>
      </x:c>
      <x:c r="I2293" t="n">
        <x:f>F2293*1000*H2293</x:f>
        <x:v>205622.4338</x:v>
      </x:c>
      <x:c r="J2293" t="n">
        <x:v>3.031</x:v>
      </x:c>
    </x:row>
    <x:row r="2294">
      <x:c r="A2294" t="n">
        <x:v>2023</x:v>
      </x:c>
      <x:c r="B2294" t="str">
        <x:v>Enero</x:v>
      </x:c>
      <x:c r="C2294" t="str">
        <x:v>RE-113036-1</x:v>
      </x:c>
      <x:c r="D2294" t="str">
        <x:v>Parque eólico Miñón</x:v>
      </x:c>
      <x:c r="E2294" t="n">
        <x:v>6.209</x:v>
      </x:c>
      <x:c r="F2294" t="n">
        <x:f>J2294*1.01</x:f>
        <x:v>6.104439999999999</x:v>
      </x:c>
      <x:c r="G2294" t="n">
        <x:v>24</x:v>
      </x:c>
      <x:c r="H2294" t="n">
        <x:v>69.55</x:v>
      </x:c>
      <x:c r="I2294" t="n">
        <x:f>F2294*1000*H2294</x:f>
        <x:v>424563.80199999997</x:v>
      </x:c>
      <x:c r="J2294" t="n">
        <x:v>6.044</x:v>
      </x:c>
    </x:row>
    <x:row r="2295">
      <x:c r="A2295" t="n">
        <x:v>2023</x:v>
      </x:c>
      <x:c r="B2295" t="str">
        <x:v>Febrero</x:v>
      </x:c>
      <x:c r="C2295" t="str">
        <x:v>RE-113036-1</x:v>
      </x:c>
      <x:c r="D2295" t="str">
        <x:v>Parque eólico Miñón</x:v>
      </x:c>
      <x:c r="E2295" t="n">
        <x:v>5.871</x:v>
      </x:c>
      <x:c r="F2295" t="n">
        <x:f>J2295*0.97</x:f>
        <x:v>5.584289999999999</x:v>
      </x:c>
      <x:c r="G2295" t="n">
        <x:v>24</x:v>
      </x:c>
      <x:c r="H2295" t="n">
        <x:v>133.47</x:v>
      </x:c>
      <x:c r="I2295" t="n">
        <x:f>F2295*1000*H2295</x:f>
        <x:v>745335.1862999998</x:v>
      </x:c>
      <x:c r="J2295" t="n">
        <x:v>5.757</x:v>
      </x:c>
    </x:row>
    <x:row r="2296">
      <x:c r="A2296" t="n">
        <x:v>2023</x:v>
      </x:c>
      <x:c r="B2296" t="str">
        <x:v>Marzo</x:v>
      </x:c>
      <x:c r="C2296" t="str">
        <x:v>RE-113036-1</x:v>
      </x:c>
      <x:c r="D2296" t="str">
        <x:v>Parque eólico Miñón</x:v>
      </x:c>
      <x:c r="E2296" t="n">
        <x:v>6.141</x:v>
      </x:c>
      <x:c r="F2296" t="n">
        <x:f>J2296*1.04</x:f>
        <x:v>6.23896</x:v>
      </x:c>
      <x:c r="G2296" t="n">
        <x:v>24</x:v>
      </x:c>
      <x:c r="H2296" t="n">
        <x:v>89.61</x:v>
      </x:c>
      <x:c r="I2296" t="n">
        <x:f>F2296*1000*H2296</x:f>
        <x:v>559073.2056</x:v>
      </x:c>
      <x:c r="J2296" t="n">
        <x:v>5.999</x:v>
      </x:c>
    </x:row>
    <x:row r="2297">
      <x:c r="A2297" t="n">
        <x:v>2023</x:v>
      </x:c>
      <x:c r="B2297" t="str">
        <x:v>Abril</x:v>
      </x:c>
      <x:c r="C2297" t="str">
        <x:v>RE-113036-1</x:v>
      </x:c>
      <x:c r="D2297" t="str">
        <x:v>Parque eólico Miñón</x:v>
      </x:c>
      <x:c r="E2297" t="n">
        <x:v>5.948</x:v>
      </x:c>
      <x:c r="F2297" t="n">
        <x:f>J2297*1</x:f>
        <x:v>5.812</x:v>
      </x:c>
      <x:c r="G2297" t="n">
        <x:v>24</x:v>
      </x:c>
      <x:c r="H2297" t="n">
        <x:v>73.73</x:v>
      </x:c>
      <x:c r="I2297" t="n">
        <x:f>F2297*1000*H2297</x:f>
        <x:v>428518.76</x:v>
      </x:c>
      <x:c r="J2297" t="n">
        <x:v>5.812</x:v>
      </x:c>
    </x:row>
    <x:row r="2298">
      <x:c r="A2298" t="n">
        <x:v>2023</x:v>
      </x:c>
      <x:c r="B2298" t="str">
        <x:v>Mayo</x:v>
      </x:c>
      <x:c r="C2298" t="str">
        <x:v>RE-113036-1</x:v>
      </x:c>
      <x:c r="D2298" t="str">
        <x:v>Parque eólico Miñón</x:v>
      </x:c>
      <x:c r="E2298" t="n">
        <x:v>5.138</x:v>
      </x:c>
      <x:c r="F2298" t="n">
        <x:f>J2298*0.96</x:f>
        <x:v>4.8288</x:v>
      </x:c>
      <x:c r="G2298" t="n">
        <x:v>24</x:v>
      </x:c>
      <x:c r="H2298" t="n">
        <x:v>74.21</x:v>
      </x:c>
      <x:c r="I2298" t="n">
        <x:f>F2298*1000*H2298</x:f>
        <x:v>358345.24799999996</x:v>
      </x:c>
      <x:c r="J2298" t="n">
        <x:v>5.03</x:v>
      </x:c>
    </x:row>
    <x:row r="2299">
      <x:c r="A2299" t="n">
        <x:v>2023</x:v>
      </x:c>
      <x:c r="B2299" t="str">
        <x:v>Junio</x:v>
      </x:c>
      <x:c r="C2299" t="str">
        <x:v>RE-113036-1</x:v>
      </x:c>
      <x:c r="D2299" t="str">
        <x:v>Parque eólico Miñón</x:v>
      </x:c>
      <x:c r="E2299" t="n">
        <x:v>4.291</x:v>
      </x:c>
      <x:c r="F2299" t="n">
        <x:f>J2299*1.03</x:f>
        <x:v>4.3476300000000005</x:v>
      </x:c>
      <x:c r="G2299" t="n">
        <x:v>24</x:v>
      </x:c>
      <x:c r="H2299" t="n">
        <x:v>93.02</x:v>
      </x:c>
      <x:c r="I2299" t="n">
        <x:f>F2299*1000*H2299</x:f>
        <x:v>404416.5426</x:v>
      </x:c>
      <x:c r="J2299" t="n">
        <x:v>4.221</x:v>
      </x:c>
    </x:row>
    <x:row r="2300">
      <x:c r="A2300" t="n">
        <x:v>2023</x:v>
      </x:c>
      <x:c r="B2300" t="str">
        <x:v>Julio</x:v>
      </x:c>
      <x:c r="C2300" t="str">
        <x:v>RE-113036-1</x:v>
      </x:c>
      <x:c r="D2300" t="str">
        <x:v>Parque eólico Miñón</x:v>
      </x:c>
      <x:c r="E2300" t="n">
        <x:v>3.81</x:v>
      </x:c>
      <x:c r="F2300" t="n">
        <x:f>J2300*0.99</x:f>
        <x:v>3.71151</x:v>
      </x:c>
      <x:c r="G2300" t="n">
        <x:v>24</x:v>
      </x:c>
      <x:c r="H2300" t="n">
        <x:v>90.47</x:v>
      </x:c>
      <x:c r="I2300" t="n">
        <x:f>F2300*1000*H2300</x:f>
        <x:v>335780.30970000004</x:v>
      </x:c>
      <x:c r="J2300" t="n">
        <x:v>3.749</x:v>
      </x:c>
    </x:row>
    <x:row r="2301">
      <x:c r="A2301" t="n">
        <x:v>2023</x:v>
      </x:c>
      <x:c r="B2301" t="str">
        <x:v>Agosto</x:v>
      </x:c>
      <x:c r="C2301" t="str">
        <x:v>RE-113036-1</x:v>
      </x:c>
      <x:c r="D2301" t="str">
        <x:v>Parque eólico Miñón</x:v>
      </x:c>
      <x:c r="E2301" t="n">
        <x:v>3.748</x:v>
      </x:c>
      <x:c r="F2301" t="n">
        <x:f>J2301*0.95</x:f>
        <x:v>3.47225</x:v>
      </x:c>
      <x:c r="G2301" t="n">
        <x:v>24</x:v>
      </x:c>
      <x:c r="H2301" t="n">
        <x:v>96.05</x:v>
      </x:c>
      <x:c r="I2301" t="n">
        <x:f>F2301*1000*H2301</x:f>
        <x:v>333509.6125</x:v>
      </x:c>
      <x:c r="J2301" t="n">
        <x:v>3.655</x:v>
      </x:c>
    </x:row>
    <x:row r="2302">
      <x:c r="A2302" t="n">
        <x:v>2023</x:v>
      </x:c>
      <x:c r="B2302" t="str">
        <x:v>Septiembre</x:v>
      </x:c>
      <x:c r="C2302" t="str">
        <x:v>RE-113036-1</x:v>
      </x:c>
      <x:c r="D2302" t="str">
        <x:v>Parque eólico Miñón</x:v>
      </x:c>
      <x:c r="E2302" t="n">
        <x:v>4.852</x:v>
      </x:c>
      <x:c r="F2302" t="n">
        <x:f>J2302*1.02</x:f>
        <x:v>4.8154200000000005</x:v>
      </x:c>
      <x:c r="G2302" t="n">
        <x:v>24</x:v>
      </x:c>
      <x:c r="H2302" t="n">
        <x:v>103.34</x:v>
      </x:c>
      <x:c r="I2302" t="n">
        <x:f>F2302*1000*H2302</x:f>
        <x:v>497625.5028</x:v>
      </x:c>
      <x:c r="J2302" t="n">
        <x:v>4.721</x:v>
      </x:c>
    </x:row>
    <x:row r="2303">
      <x:c r="A2303" t="n">
        <x:v>2023</x:v>
      </x:c>
      <x:c r="B2303" t="str">
        <x:v>Octubre</x:v>
      </x:c>
      <x:c r="C2303" t="str">
        <x:v>RE-113036-1</x:v>
      </x:c>
      <x:c r="D2303" t="str">
        <x:v>Parque eólico Miñón</x:v>
      </x:c>
      <x:c r="E2303" t="n">
        <x:v>5.062</x:v>
      </x:c>
      <x:c r="F2303" t="n">
        <x:f>J2303*0.98</x:f>
        <x:v>4.886279999999999</x:v>
      </x:c>
      <x:c r="G2303" t="n">
        <x:v>24</x:v>
      </x:c>
      <x:c r="H2303" t="n">
        <x:v>90.14</x:v>
      </x:c>
      <x:c r="I2303" t="n">
        <x:f>F2303*1000*H2303</x:f>
        <x:v>440449.2791999999</x:v>
      </x:c>
      <x:c r="J2303" t="n">
        <x:v>4.986</x:v>
      </x:c>
    </x:row>
    <x:row r="2304">
      <x:c r="A2304" t="n">
        <x:v>2023</x:v>
      </x:c>
      <x:c r="B2304" t="str">
        <x:v>Noviembre</x:v>
      </x:c>
      <x:c r="C2304" t="str">
        <x:v>RE-113036-1</x:v>
      </x:c>
      <x:c r="D2304" t="str">
        <x:v>Parque eólico Miñón</x:v>
      </x:c>
      <x:c r="E2304" t="n">
        <x:v>5.682</x:v>
      </x:c>
      <x:c r="F2304" t="n">
        <x:f>J2304*0.94</x:f>
        <x:v>5.18316</x:v>
      </x:c>
      <x:c r="G2304" t="n">
        <x:v>24</x:v>
      </x:c>
      <x:c r="H2304" t="n">
        <x:v>63.45</x:v>
      </x:c>
      <x:c r="I2304" t="n">
        <x:f>F2304*1000*H2304</x:f>
        <x:v>328871.502</x:v>
      </x:c>
      <x:c r="J2304" t="n">
        <x:v>5.514</x:v>
      </x:c>
    </x:row>
    <x:row r="2305">
      <x:c r="A2305" t="n">
        <x:v>2023</x:v>
      </x:c>
      <x:c r="B2305" t="str">
        <x:v>Diciembre</x:v>
      </x:c>
      <x:c r="C2305" t="str">
        <x:v>RE-113036-1</x:v>
      </x:c>
      <x:c r="D2305" t="str">
        <x:v>Parque eólico Miñón</x:v>
      </x:c>
      <x:c r="E2305" t="n">
        <x:v>6.639</x:v>
      </x:c>
      <x:c r="F2305" t="n">
        <x:f>J2305*1.01</x:f>
        <x:v>6.55389</x:v>
      </x:c>
      <x:c r="G2305" t="n">
        <x:v>24</x:v>
      </x:c>
      <x:c r="H2305" t="n">
        <x:v>72.17</x:v>
      </x:c>
      <x:c r="I2305" t="n">
        <x:f>F2305*1000*H2305</x:f>
        <x:v>472994.24130000005</x:v>
      </x:c>
      <x:c r="J2305" t="n">
        <x:v>6.489</x:v>
      </x:c>
    </x:row>
    <x:row r="2306">
      <x:c r="A2306" t="n">
        <x:v>2023</x:v>
      </x:c>
      <x:c r="B2306" t="str">
        <x:v>Enero</x:v>
      </x:c>
      <x:c r="C2306" t="str">
        <x:v>RE-113272-1</x:v>
      </x:c>
      <x:c r="D2306" t="str">
        <x:v>Parque eólico Ourol</x:v>
      </x:c>
      <x:c r="E2306" t="n">
        <x:v>6.77</x:v>
      </x:c>
      <x:c r="F2306" t="n">
        <x:f>J2306*0.97</x:f>
        <x:v>6.3564099999999994</x:v>
      </x:c>
      <x:c r="G2306" t="n">
        <x:v>22.5</x:v>
      </x:c>
      <x:c r="H2306" t="n">
        <x:v>69.55</x:v>
      </x:c>
      <x:c r="I2306" t="n">
        <x:f>F2306*1000*H2306</x:f>
        <x:v>442088.31549999997</x:v>
      </x:c>
      <x:c r="J2306" t="n">
        <x:v>6.553</x:v>
      </x:c>
    </x:row>
    <x:row r="2307">
      <x:c r="A2307" t="n">
        <x:v>2023</x:v>
      </x:c>
      <x:c r="B2307" t="str">
        <x:v>Febrero</x:v>
      </x:c>
      <x:c r="C2307" t="str">
        <x:v>RE-113272-1</x:v>
      </x:c>
      <x:c r="D2307" t="str">
        <x:v>Parque eólico Ourol</x:v>
      </x:c>
      <x:c r="E2307" t="n">
        <x:v>6.095</x:v>
      </x:c>
      <x:c r="F2307" t="n">
        <x:f>J2307*1.04</x:f>
        <x:v>6.17344</x:v>
      </x:c>
      <x:c r="G2307" t="n">
        <x:v>22.5</x:v>
      </x:c>
      <x:c r="H2307" t="n">
        <x:v>133.47</x:v>
      </x:c>
      <x:c r="I2307" t="n">
        <x:f>F2307*1000*H2307</x:f>
        <x:v>823969.0368000001</x:v>
      </x:c>
      <x:c r="J2307" t="n">
        <x:v>5.936</x:v>
      </x:c>
    </x:row>
    <x:row r="2308">
      <x:c r="A2308" t="n">
        <x:v>2023</x:v>
      </x:c>
      <x:c r="B2308" t="str">
        <x:v>Marzo</x:v>
      </x:c>
      <x:c r="C2308" t="str">
        <x:v>RE-113272-1</x:v>
      </x:c>
      <x:c r="D2308" t="str">
        <x:v>Parque eólico Ourol</x:v>
      </x:c>
      <x:c r="E2308" t="n">
        <x:v>6.2</x:v>
      </x:c>
      <x:c r="F2308" t="n">
        <x:f>J2308*1</x:f>
        <x:v>6.101</x:v>
      </x:c>
      <x:c r="G2308" t="n">
        <x:v>22.5</x:v>
      </x:c>
      <x:c r="H2308" t="n">
        <x:v>89.61</x:v>
      </x:c>
      <x:c r="I2308" t="n">
        <x:f>F2308*1000*H2308</x:f>
        <x:v>546710.61</x:v>
      </x:c>
      <x:c r="J2308" t="n">
        <x:v>6.101</x:v>
      </x:c>
    </x:row>
    <x:row r="2309">
      <x:c r="A2309" t="n">
        <x:v>2023</x:v>
      </x:c>
      <x:c r="B2309" t="str">
        <x:v>Abril</x:v>
      </x:c>
      <x:c r="C2309" t="str">
        <x:v>RE-113272-1</x:v>
      </x:c>
      <x:c r="D2309" t="str">
        <x:v>Parque eólico Ourol</x:v>
      </x:c>
      <x:c r="E2309" t="n">
        <x:v>5.524</x:v>
      </x:c>
      <x:c r="F2309" t="n">
        <x:f>J2309*0.96</x:f>
        <x:v>5.19264</x:v>
      </x:c>
      <x:c r="G2309" t="n">
        <x:v>22.5</x:v>
      </x:c>
      <x:c r="H2309" t="n">
        <x:v>73.73</x:v>
      </x:c>
      <x:c r="I2309" t="n">
        <x:f>F2309*1000*H2309</x:f>
        <x:v>382853.3472</x:v>
      </x:c>
      <x:c r="J2309" t="n">
        <x:v>5.409</x:v>
      </x:c>
    </x:row>
    <x:row r="2310">
      <x:c r="A2310" t="n">
        <x:v>2023</x:v>
      </x:c>
      <x:c r="B2310" t="str">
        <x:v>Mayo</x:v>
      </x:c>
      <x:c r="C2310" t="str">
        <x:v>RE-113272-1</x:v>
      </x:c>
      <x:c r="D2310" t="str">
        <x:v>Parque eólico Ourol</x:v>
      </x:c>
      <x:c r="E2310" t="n">
        <x:v>4.31</x:v>
      </x:c>
      <x:c r="F2310" t="n">
        <x:f>J2310*1.03</x:f>
        <x:v>4.36823</x:v>
      </x:c>
      <x:c r="G2310" t="n">
        <x:v>22.5</x:v>
      </x:c>
      <x:c r="H2310" t="n">
        <x:v>74.21</x:v>
      </x:c>
      <x:c r="I2310" t="n">
        <x:f>F2310*1000*H2310</x:f>
        <x:v>324166.34829999995</x:v>
      </x:c>
      <x:c r="J2310" t="n">
        <x:v>4.241</x:v>
      </x:c>
    </x:row>
    <x:row r="2311">
      <x:c r="A2311" t="n">
        <x:v>2023</x:v>
      </x:c>
      <x:c r="B2311" t="str">
        <x:v>Junio</x:v>
      </x:c>
      <x:c r="C2311" t="str">
        <x:v>RE-113272-1</x:v>
      </x:c>
      <x:c r="D2311" t="str">
        <x:v>Parque eólico Ourol</x:v>
      </x:c>
      <x:c r="E2311" t="n">
        <x:v>3.847</x:v>
      </x:c>
      <x:c r="F2311" t="n">
        <x:f>J2311*0.99</x:f>
        <x:v>3.7431900000000002</x:v>
      </x:c>
      <x:c r="G2311" t="n">
        <x:v>22.5</x:v>
      </x:c>
      <x:c r="H2311" t="n">
        <x:v>93.02</x:v>
      </x:c>
      <x:c r="I2311" t="n">
        <x:f>F2311*1000*H2311</x:f>
        <x:v>348191.5338</x:v>
      </x:c>
      <x:c r="J2311" t="n">
        <x:v>3.781</x:v>
      </x:c>
    </x:row>
    <x:row r="2312">
      <x:c r="A2312" t="n">
        <x:v>2023</x:v>
      </x:c>
      <x:c r="B2312" t="str">
        <x:v>Julio</x:v>
      </x:c>
      <x:c r="C2312" t="str">
        <x:v>RE-113272-1</x:v>
      </x:c>
      <x:c r="D2312" t="str">
        <x:v>Parque eólico Ourol</x:v>
      </x:c>
      <x:c r="E2312" t="n">
        <x:v>3.517</x:v>
      </x:c>
      <x:c r="F2312" t="n">
        <x:f>J2312*0.95</x:f>
        <x:v>3.2794</x:v>
      </x:c>
      <x:c r="G2312" t="n">
        <x:v>22.5</x:v>
      </x:c>
      <x:c r="H2312" t="n">
        <x:v>90.47</x:v>
      </x:c>
      <x:c r="I2312" t="n">
        <x:f>F2312*1000*H2312</x:f>
        <x:v>296687.318</x:v>
      </x:c>
      <x:c r="J2312" t="n">
        <x:v>3.452</x:v>
      </x:c>
    </x:row>
    <x:row r="2313">
      <x:c r="A2313" t="n">
        <x:v>2023</x:v>
      </x:c>
      <x:c r="B2313" t="str">
        <x:v>Agosto</x:v>
      </x:c>
      <x:c r="C2313" t="str">
        <x:v>RE-113272-1</x:v>
      </x:c>
      <x:c r="D2313" t="str">
        <x:v>Parque eólico Ourol</x:v>
      </x:c>
      <x:c r="E2313" t="n">
        <x:v>3.545</x:v>
      </x:c>
      <x:c r="F2313" t="n">
        <x:f>J2313*1.02</x:f>
        <x:v>3.50778</x:v>
      </x:c>
      <x:c r="G2313" t="n">
        <x:v>22.5</x:v>
      </x:c>
      <x:c r="H2313" t="n">
        <x:v>96.05</x:v>
      </x:c>
      <x:c r="I2313" t="n">
        <x:f>F2313*1000*H2313</x:f>
        <x:v>336922.269</x:v>
      </x:c>
      <x:c r="J2313" t="n">
        <x:v>3.439</x:v>
      </x:c>
    </x:row>
    <x:row r="2314">
      <x:c r="A2314" t="n">
        <x:v>2023</x:v>
      </x:c>
      <x:c r="B2314" t="str">
        <x:v>Septiembre</x:v>
      </x:c>
      <x:c r="C2314" t="str">
        <x:v>RE-113272-1</x:v>
      </x:c>
      <x:c r="D2314" t="str">
        <x:v>Parque eólico Ourol</x:v>
      </x:c>
      <x:c r="E2314" t="n">
        <x:v>4.525</x:v>
      </x:c>
      <x:c r="F2314" t="n">
        <x:f>J2314*0.98</x:f>
        <x:v>4.31298</x:v>
      </x:c>
      <x:c r="G2314" t="n">
        <x:v>22.5</x:v>
      </x:c>
      <x:c r="H2314" t="n">
        <x:v>103.34</x:v>
      </x:c>
      <x:c r="I2314" t="n">
        <x:f>F2314*1000*H2314</x:f>
        <x:v>445703.35319999995</x:v>
      </x:c>
      <x:c r="J2314" t="n">
        <x:v>4.401</x:v>
      </x:c>
    </x:row>
    <x:row r="2315">
      <x:c r="A2315" t="n">
        <x:v>2023</x:v>
      </x:c>
      <x:c r="B2315" t="str">
        <x:v>Octubre</x:v>
      </x:c>
      <x:c r="C2315" t="str">
        <x:v>RE-113272-1</x:v>
      </x:c>
      <x:c r="D2315" t="str">
        <x:v>Parque eólico Ourol</x:v>
      </x:c>
      <x:c r="E2315" t="n">
        <x:v>5.162</x:v>
      </x:c>
      <x:c r="F2315" t="n">
        <x:f>J2315*0.94</x:f>
        <x:v>4.7253799999999995</x:v>
      </x:c>
      <x:c r="G2315" t="n">
        <x:v>22.5</x:v>
      </x:c>
      <x:c r="H2315" t="n">
        <x:v>90.14</x:v>
      </x:c>
      <x:c r="I2315" t="n">
        <x:f>F2315*1000*H2315</x:f>
        <x:v>425945.7531999999</x:v>
      </x:c>
      <x:c r="J2315" t="n">
        <x:v>5.027</x:v>
      </x:c>
    </x:row>
    <x:row r="2316">
      <x:c r="A2316" t="n">
        <x:v>2023</x:v>
      </x:c>
      <x:c r="B2316" t="str">
        <x:v>Noviembre</x:v>
      </x:c>
      <x:c r="C2316" t="str">
        <x:v>RE-113272-1</x:v>
      </x:c>
      <x:c r="D2316" t="str">
        <x:v>Parque eólico Ourol</x:v>
      </x:c>
      <x:c r="E2316" t="n">
        <x:v>6.031</x:v>
      </x:c>
      <x:c r="F2316" t="n">
        <x:f>J2316*1.01</x:f>
        <x:v>5.98728</x:v>
      </x:c>
      <x:c r="G2316" t="n">
        <x:v>22.5</x:v>
      </x:c>
      <x:c r="H2316" t="n">
        <x:v>63.45</x:v>
      </x:c>
      <x:c r="I2316" t="n">
        <x:f>F2316*1000*H2316</x:f>
        <x:v>379892.916</x:v>
      </x:c>
      <x:c r="J2316" t="n">
        <x:v>5.928</x:v>
      </x:c>
    </x:row>
    <x:row r="2317">
      <x:c r="A2317" t="n">
        <x:v>2023</x:v>
      </x:c>
      <x:c r="B2317" t="str">
        <x:v>Diciembre</x:v>
      </x:c>
      <x:c r="C2317" t="str">
        <x:v>RE-113272-1</x:v>
      </x:c>
      <x:c r="D2317" t="str">
        <x:v>Parque eólico Ourol</x:v>
      </x:c>
      <x:c r="E2317" t="n">
        <x:v>7.249</x:v>
      </x:c>
      <x:c r="F2317" t="n">
        <x:f>J2317*0.97</x:f>
        <x:v>6.848199999999999</x:v>
      </x:c>
      <x:c r="G2317" t="n">
        <x:v>22.5</x:v>
      </x:c>
      <x:c r="H2317" t="n">
        <x:v>72.17</x:v>
      </x:c>
      <x:c r="I2317" t="n">
        <x:f>F2317*1000*H2317</x:f>
        <x:v>494234.594</x:v>
      </x:c>
      <x:c r="J2317" t="n">
        <x:v>7.06</x:v>
      </x:c>
    </x:row>
    <x:row r="2318">
      <x:c r="A2318" t="n">
        <x:v>2023</x:v>
      </x:c>
      <x:c r="B2318" t="str">
        <x:v>Enero</x:v>
      </x:c>
      <x:c r="C2318" t="str">
        <x:v>RE-113408-1</x:v>
      </x:c>
      <x:c r="D2318" t="str">
        <x:v>Parque eólico Alto da Croa II</x:v>
      </x:c>
      <x:c r="E2318" t="n">
        <x:v>2.931</x:v>
      </x:c>
      <x:c r="F2318" t="n">
        <x:f>J2318*1.04</x:f>
        <x:v>2.96608</x:v>
      </x:c>
      <x:c r="G2318" t="n">
        <x:v>10.395</x:v>
      </x:c>
      <x:c r="H2318" t="n">
        <x:v>69.55</x:v>
      </x:c>
      <x:c r="I2318" t="n">
        <x:f>F2318*1000*H2318</x:f>
        <x:v>206290.86399999997</x:v>
      </x:c>
      <x:c r="J2318" t="n">
        <x:v>2.852</x:v>
      </x:c>
    </x:row>
    <x:row r="2319">
      <x:c r="A2319" t="n">
        <x:v>2023</x:v>
      </x:c>
      <x:c r="B2319" t="str">
        <x:v>Febrero</x:v>
      </x:c>
      <x:c r="C2319" t="str">
        <x:v>RE-113408-1</x:v>
      </x:c>
      <x:c r="D2319" t="str">
        <x:v>Parque eólico Alto da Croa II</x:v>
      </x:c>
      <x:c r="E2319" t="n">
        <x:v>2.631</x:v>
      </x:c>
      <x:c r="F2319" t="n">
        <x:f>J2319*1</x:f>
        <x:v>2.589</x:v>
      </x:c>
      <x:c r="G2319" t="n">
        <x:v>10.395</x:v>
      </x:c>
      <x:c r="H2319" t="n">
        <x:v>133.47</x:v>
      </x:c>
      <x:c r="I2319" t="n">
        <x:f>F2319*1000*H2319</x:f>
        <x:v>345553.83</x:v>
      </x:c>
      <x:c r="J2319" t="n">
        <x:v>2.589</x:v>
      </x:c>
    </x:row>
    <x:row r="2320">
      <x:c r="A2320" t="n">
        <x:v>2023</x:v>
      </x:c>
      <x:c r="B2320" t="str">
        <x:v>Marzo</x:v>
      </x:c>
      <x:c r="C2320" t="str">
        <x:v>RE-113408-1</x:v>
      </x:c>
      <x:c r="D2320" t="str">
        <x:v>Parque eólico Alto da Croa II</x:v>
      </x:c>
      <x:c r="E2320" t="n">
        <x:v>2.753</x:v>
      </x:c>
      <x:c r="F2320" t="n">
        <x:f>J2320*0.96</x:f>
        <x:v>2.59584</x:v>
      </x:c>
      <x:c r="G2320" t="n">
        <x:v>10.395</x:v>
      </x:c>
      <x:c r="H2320" t="n">
        <x:v>89.61</x:v>
      </x:c>
      <x:c r="I2320" t="n">
        <x:f>F2320*1000*H2320</x:f>
        <x:v>232613.2224</x:v>
      </x:c>
      <x:c r="J2320" t="n">
        <x:v>2.704</x:v>
      </x:c>
    </x:row>
    <x:row r="2321">
      <x:c r="A2321" t="n">
        <x:v>2023</x:v>
      </x:c>
      <x:c r="B2321" t="str">
        <x:v>Abril</x:v>
      </x:c>
      <x:c r="C2321" t="str">
        <x:v>RE-113408-1</x:v>
      </x:c>
      <x:c r="D2321" t="str">
        <x:v>Parque eólico Alto da Croa II</x:v>
      </x:c>
      <x:c r="E2321" t="n">
        <x:v>2.071</x:v>
      </x:c>
      <x:c r="F2321" t="n">
        <x:f>J2321*1.03</x:f>
        <x:v>2.09193</x:v>
      </x:c>
      <x:c r="G2321" t="n">
        <x:v>10.395</x:v>
      </x:c>
      <x:c r="H2321" t="n">
        <x:v>73.73</x:v>
      </x:c>
      <x:c r="I2321" t="n">
        <x:f>F2321*1000*H2321</x:f>
        <x:v>154237.99890000004</x:v>
      </x:c>
      <x:c r="J2321" t="n">
        <x:v>2.031</x:v>
      </x:c>
    </x:row>
    <x:row r="2322">
      <x:c r="A2322" t="n">
        <x:v>2023</x:v>
      </x:c>
      <x:c r="B2322" t="str">
        <x:v>Mayo</x:v>
      </x:c>
      <x:c r="C2322" t="str">
        <x:v>RE-113408-1</x:v>
      </x:c>
      <x:c r="D2322" t="str">
        <x:v>Parque eólico Alto da Croa II</x:v>
      </x:c>
      <x:c r="E2322" t="n">
        <x:v>1.791</x:v>
      </x:c>
      <x:c r="F2322" t="n">
        <x:f>J2322*0.99</x:f>
        <x:v>1.72458</x:v>
      </x:c>
      <x:c r="G2322" t="n">
        <x:v>10.395</x:v>
      </x:c>
      <x:c r="H2322" t="n">
        <x:v>74.21</x:v>
      </x:c>
      <x:c r="I2322" t="n">
        <x:f>F2322*1000*H2322</x:f>
        <x:v>127981.08179999999</x:v>
      </x:c>
      <x:c r="J2322" t="n">
        <x:v>1.742</x:v>
      </x:c>
    </x:row>
    <x:row r="2323">
      <x:c r="A2323" t="n">
        <x:v>2023</x:v>
      </x:c>
      <x:c r="B2323" t="str">
        <x:v>Junio</x:v>
      </x:c>
      <x:c r="C2323" t="str">
        <x:v>RE-113408-1</x:v>
      </x:c>
      <x:c r="D2323" t="str">
        <x:v>Parque eólico Alto da Croa II</x:v>
      </x:c>
      <x:c r="E2323" t="n">
        <x:v>1.758</x:v>
      </x:c>
      <x:c r="F2323" t="n">
        <x:f>J2323*0.95</x:f>
        <x:v>1.6397</x:v>
      </x:c>
      <x:c r="G2323" t="n">
        <x:v>10.395</x:v>
      </x:c>
      <x:c r="H2323" t="n">
        <x:v>93.02</x:v>
      </x:c>
      <x:c r="I2323" t="n">
        <x:f>F2323*1000*H2323</x:f>
        <x:v>152524.894</x:v>
      </x:c>
      <x:c r="J2323" t="n">
        <x:v>1.726</x:v>
      </x:c>
    </x:row>
    <x:row r="2324">
      <x:c r="A2324" t="n">
        <x:v>2023</x:v>
      </x:c>
      <x:c r="B2324" t="str">
        <x:v>Julio</x:v>
      </x:c>
      <x:c r="C2324" t="str">
        <x:v>RE-113408-1</x:v>
      </x:c>
      <x:c r="D2324" t="str">
        <x:v>Parque eólico Alto da Croa II</x:v>
      </x:c>
      <x:c r="E2324" t="n">
        <x:v>1.443</x:v>
      </x:c>
      <x:c r="F2324" t="n">
        <x:f>J2324*1.02</x:f>
        <x:v>1.44432</x:v>
      </x:c>
      <x:c r="G2324" t="n">
        <x:v>10.395</x:v>
      </x:c>
      <x:c r="H2324" t="n">
        <x:v>90.47</x:v>
      </x:c>
      <x:c r="I2324" t="n">
        <x:f>F2324*1000*H2324</x:f>
        <x:v>130667.6304</x:v>
      </x:c>
      <x:c r="J2324" t="n">
        <x:v>1.416</x:v>
      </x:c>
    </x:row>
    <x:row r="2325">
      <x:c r="A2325" t="n">
        <x:v>2023</x:v>
      </x:c>
      <x:c r="B2325" t="str">
        <x:v>Agosto</x:v>
      </x:c>
      <x:c r="C2325" t="str">
        <x:v>RE-113408-1</x:v>
      </x:c>
      <x:c r="D2325" t="str">
        <x:v>Parque eólico Alto da Croa II</x:v>
      </x:c>
      <x:c r="E2325" t="n">
        <x:v>1.747</x:v>
      </x:c>
      <x:c r="F2325" t="n">
        <x:f>J2325*0.98</x:f>
        <x:v>1.67384</x:v>
      </x:c>
      <x:c r="G2325" t="n">
        <x:v>10.395</x:v>
      </x:c>
      <x:c r="H2325" t="n">
        <x:v>96.05</x:v>
      </x:c>
      <x:c r="I2325" t="n">
        <x:f>F2325*1000*H2325</x:f>
        <x:v>160772.332</x:v>
      </x:c>
      <x:c r="J2325" t="n">
        <x:v>1.708</x:v>
      </x:c>
    </x:row>
    <x:row r="2326">
      <x:c r="A2326" t="n">
        <x:v>2023</x:v>
      </x:c>
      <x:c r="B2326" t="str">
        <x:v>Septiembre</x:v>
      </x:c>
      <x:c r="C2326" t="str">
        <x:v>RE-113408-1</x:v>
      </x:c>
      <x:c r="D2326" t="str">
        <x:v>Parque eólico Alto da Croa II</x:v>
      </x:c>
      <x:c r="E2326" t="n">
        <x:v>2.031</x:v>
      </x:c>
      <x:c r="F2326" t="n">
        <x:f>J2326*0.94</x:f>
        <x:v>1.86496</x:v>
      </x:c>
      <x:c r="G2326" t="n">
        <x:v>10.395</x:v>
      </x:c>
      <x:c r="H2326" t="n">
        <x:v>103.34</x:v>
      </x:c>
      <x:c r="I2326" t="n">
        <x:f>F2326*1000*H2326</x:f>
        <x:v>192724.9664</x:v>
      </x:c>
      <x:c r="J2326" t="n">
        <x:v>1.984</x:v>
      </x:c>
    </x:row>
    <x:row r="2327">
      <x:c r="A2327" t="n">
        <x:v>2023</x:v>
      </x:c>
      <x:c r="B2327" t="str">
        <x:v>Octubre</x:v>
      </x:c>
      <x:c r="C2327" t="str">
        <x:v>RE-113408-1</x:v>
      </x:c>
      <x:c r="D2327" t="str">
        <x:v>Parque eólico Alto da Croa II</x:v>
      </x:c>
      <x:c r="E2327" t="n">
        <x:v>2.657</x:v>
      </x:c>
      <x:c r="F2327" t="n">
        <x:f>J2327*1.01</x:f>
        <x:v>2.62095</x:v>
      </x:c>
      <x:c r="G2327" t="n">
        <x:v>10.395</x:v>
      </x:c>
      <x:c r="H2327" t="n">
        <x:v>90.14</x:v>
      </x:c>
      <x:c r="I2327" t="n">
        <x:f>F2327*1000*H2327</x:f>
        <x:v>236252.43300000002</x:v>
      </x:c>
      <x:c r="J2327" t="n">
        <x:v>2.595</x:v>
      </x:c>
    </x:row>
    <x:row r="2328">
      <x:c r="A2328" t="n">
        <x:v>2023</x:v>
      </x:c>
      <x:c r="B2328" t="str">
        <x:v>Noviembre</x:v>
      </x:c>
      <x:c r="C2328" t="str">
        <x:v>RE-113408-1</x:v>
      </x:c>
      <x:c r="D2328" t="str">
        <x:v>Parque eólico Alto da Croa II</x:v>
      </x:c>
      <x:c r="E2328" t="n">
        <x:v>2.397</x:v>
      </x:c>
      <x:c r="F2328" t="n">
        <x:f>J2328*0.97</x:f>
        <x:v>2.26786</x:v>
      </x:c>
      <x:c r="G2328" t="n">
        <x:v>10.395</x:v>
      </x:c>
      <x:c r="H2328" t="n">
        <x:v>63.45</x:v>
      </x:c>
      <x:c r="I2328" t="n">
        <x:f>F2328*1000*H2328</x:f>
        <x:v>143895.717</x:v>
      </x:c>
      <x:c r="J2328" t="n">
        <x:v>2.338</x:v>
      </x:c>
    </x:row>
    <x:row r="2329">
      <x:c r="A2329" t="n">
        <x:v>2023</x:v>
      </x:c>
      <x:c r="B2329" t="str">
        <x:v>Diciembre</x:v>
      </x:c>
      <x:c r="C2329" t="str">
        <x:v>RE-113408-1</x:v>
      </x:c>
      <x:c r="D2329" t="str">
        <x:v>Parque eólico Alto da Croa II</x:v>
      </x:c>
      <x:c r="E2329" t="n">
        <x:v>3.256</x:v>
      </x:c>
      <x:c r="F2329" t="n">
        <x:f>J2329*1.04</x:f>
        <x:v>3.2936799999999997</x:v>
      </x:c>
      <x:c r="G2329" t="n">
        <x:v>10.395</x:v>
      </x:c>
      <x:c r="H2329" t="n">
        <x:v>72.17</x:v>
      </x:c>
      <x:c r="I2329" t="n">
        <x:f>F2329*1000*H2329</x:f>
        <x:v>237704.88559999998</x:v>
      </x:c>
      <x:c r="J2329" t="n">
        <x:v>3.167</x:v>
      </x:c>
    </x:row>
    <x:row r="2330">
      <x:c r="A2330" t="n">
        <x:v>2023</x:v>
      </x:c>
      <x:c r="B2330" t="str">
        <x:v>Enero</x:v>
      </x:c>
      <x:c r="C2330" t="str">
        <x:v>RE-113409-1</x:v>
      </x:c>
      <x:c r="D2330" t="str">
        <x:v>Parque eólico Alto da Croa</x:v>
      </x:c>
      <x:c r="E2330" t="n">
        <x:v>2.065</x:v>
      </x:c>
      <x:c r="F2330" t="n">
        <x:f>J2330*1</x:f>
        <x:v>2.008</x:v>
      </x:c>
      <x:c r="G2330" t="n">
        <x:v>7.3</x:v>
      </x:c>
      <x:c r="H2330" t="n">
        <x:v>69.55</x:v>
      </x:c>
      <x:c r="I2330" t="n">
        <x:f>F2330*1000*H2330</x:f>
        <x:v>139656.4</x:v>
      </x:c>
      <x:c r="J2330" t="n">
        <x:v>2.008</x:v>
      </x:c>
    </x:row>
    <x:row r="2331">
      <x:c r="A2331" t="n">
        <x:v>2023</x:v>
      </x:c>
      <x:c r="B2331" t="str">
        <x:v>Febrero</x:v>
      </x:c>
      <x:c r="C2331" t="str">
        <x:v>RE-113409-1</x:v>
      </x:c>
      <x:c r="D2331" t="str">
        <x:v>Parque eólico Alto da Croa</x:v>
      </x:c>
      <x:c r="E2331" t="n">
        <x:v>1.861</x:v>
      </x:c>
      <x:c r="F2331" t="n">
        <x:f>J2331*0.96</x:f>
        <x:v>1.75296</x:v>
      </x:c>
      <x:c r="G2331" t="n">
        <x:v>7.3</x:v>
      </x:c>
      <x:c r="H2331" t="n">
        <x:v>133.47</x:v>
      </x:c>
      <x:c r="I2331" t="n">
        <x:f>F2331*1000*H2331</x:f>
        <x:v>233967.5712</x:v>
      </x:c>
      <x:c r="J2331" t="n">
        <x:v>1.826</x:v>
      </x:c>
    </x:row>
    <x:row r="2332">
      <x:c r="A2332" t="n">
        <x:v>2023</x:v>
      </x:c>
      <x:c r="B2332" t="str">
        <x:v>Marzo</x:v>
      </x:c>
      <x:c r="C2332" t="str">
        <x:v>RE-113409-1</x:v>
      </x:c>
      <x:c r="D2332" t="str">
        <x:v>Parque eólico Alto da Croa</x:v>
      </x:c>
      <x:c r="E2332" t="n">
        <x:v>1.739</x:v>
      </x:c>
      <x:c r="F2332" t="n">
        <x:f>J2332*1.03</x:f>
        <x:v>1.75924</x:v>
      </x:c>
      <x:c r="G2332" t="n">
        <x:v>7.3</x:v>
      </x:c>
      <x:c r="H2332" t="n">
        <x:v>89.61</x:v>
      </x:c>
      <x:c r="I2332" t="n">
        <x:f>F2332*1000*H2332</x:f>
        <x:v>157645.4964</x:v>
      </x:c>
      <x:c r="J2332" t="n">
        <x:v>1.708</x:v>
      </x:c>
    </x:row>
    <x:row r="2333">
      <x:c r="A2333" t="n">
        <x:v>2023</x:v>
      </x:c>
      <x:c r="B2333" t="str">
        <x:v>Abril</x:v>
      </x:c>
      <x:c r="C2333" t="str">
        <x:v>RE-113409-1</x:v>
      </x:c>
      <x:c r="D2333" t="str">
        <x:v>Parque eólico Alto da Croa</x:v>
      </x:c>
      <x:c r="E2333" t="n">
        <x:v>1.231</x:v>
      </x:c>
      <x:c r="F2333" t="n">
        <x:f>J2333*0.99</x:f>
        <x:v>1.18404</x:v>
      </x:c>
      <x:c r="G2333" t="n">
        <x:v>7.3</x:v>
      </x:c>
      <x:c r="H2333" t="n">
        <x:v>73.73</x:v>
      </x:c>
      <x:c r="I2333" t="n">
        <x:f>F2333*1000*H2333</x:f>
        <x:v>87299.2692</x:v>
      </x:c>
      <x:c r="J2333" t="n">
        <x:v>1.196</x:v>
      </x:c>
    </x:row>
    <x:row r="2334">
      <x:c r="A2334" t="n">
        <x:v>2023</x:v>
      </x:c>
      <x:c r="B2334" t="str">
        <x:v>Mayo</x:v>
      </x:c>
      <x:c r="C2334" t="str">
        <x:v>RE-113409-1</x:v>
      </x:c>
      <x:c r="D2334" t="str">
        <x:v>Parque eólico Alto da Croa</x:v>
      </x:c>
      <x:c r="E2334" t="n">
        <x:v>1.38</x:v>
      </x:c>
      <x:c r="F2334" t="n">
        <x:f>J2334*0.95</x:f>
        <x:v>1.273</x:v>
      </x:c>
      <x:c r="G2334" t="n">
        <x:v>7.3</x:v>
      </x:c>
      <x:c r="H2334" t="n">
        <x:v>74.21</x:v>
      </x:c>
      <x:c r="I2334" t="n">
        <x:f>F2334*1000*H2334</x:f>
        <x:v>94469.32999999999</x:v>
      </x:c>
      <x:c r="J2334" t="n">
        <x:v>1.34</x:v>
      </x:c>
    </x:row>
    <x:row r="2335">
      <x:c r="A2335" t="n">
        <x:v>2023</x:v>
      </x:c>
      <x:c r="B2335" t="str">
        <x:v>Junio</x:v>
      </x:c>
      <x:c r="C2335" t="str">
        <x:v>RE-113409-1</x:v>
      </x:c>
      <x:c r="D2335" t="str">
        <x:v>Parque eólico Alto da Croa</x:v>
      </x:c>
      <x:c r="E2335" t="n">
        <x:v>1.026</x:v>
      </x:c>
      <x:c r="F2335" t="n">
        <x:f>J2335*1.02</x:f>
        <x:v>1.0230599999999999</x:v>
      </x:c>
      <x:c r="G2335" t="n">
        <x:v>7.3</x:v>
      </x:c>
      <x:c r="H2335" t="n">
        <x:v>93.02</x:v>
      </x:c>
      <x:c r="I2335" t="n">
        <x:f>F2335*1000*H2335</x:f>
        <x:v>95165.04119999998</x:v>
      </x:c>
      <x:c r="J2335" t="n">
        <x:v>1.003</x:v>
      </x:c>
    </x:row>
    <x:row r="2336">
      <x:c r="A2336" t="n">
        <x:v>2023</x:v>
      </x:c>
      <x:c r="B2336" t="str">
        <x:v>Julio</x:v>
      </x:c>
      <x:c r="C2336" t="str">
        <x:v>RE-113409-1</x:v>
      </x:c>
      <x:c r="D2336" t="str">
        <x:v>Parque eólico Alto da Croa</x:v>
      </x:c>
      <x:c r="E2336" t="n">
        <x:v>0.931</x:v>
      </x:c>
      <x:c r="F2336" t="n">
        <x:f>J2336*0.98</x:f>
        <x:v>0.88298</x:v>
      </x:c>
      <x:c r="G2336" t="n">
        <x:v>7.3</x:v>
      </x:c>
      <x:c r="H2336" t="n">
        <x:v>90.47</x:v>
      </x:c>
      <x:c r="I2336" t="n">
        <x:f>F2336*1000*H2336</x:f>
        <x:v>79883.2006</x:v>
      </x:c>
      <x:c r="J2336" t="n">
        <x:v>0.901</x:v>
      </x:c>
    </x:row>
    <x:row r="2337">
      <x:c r="A2337" t="n">
        <x:v>2023</x:v>
      </x:c>
      <x:c r="B2337" t="str">
        <x:v>Agosto</x:v>
      </x:c>
      <x:c r="C2337" t="str">
        <x:v>RE-113409-1</x:v>
      </x:c>
      <x:c r="D2337" t="str">
        <x:v>Parque eólico Alto da Croa</x:v>
      </x:c>
      <x:c r="E2337" t="n">
        <x:v>1.017</x:v>
      </x:c>
      <x:c r="F2337" t="n">
        <x:f>J2337*0.94</x:f>
        <x:v>0.9296599999999999</x:v>
      </x:c>
      <x:c r="G2337" t="n">
        <x:v>7.3</x:v>
      </x:c>
      <x:c r="H2337" t="n">
        <x:v>96.05</x:v>
      </x:c>
      <x:c r="I2337" t="n">
        <x:f>F2337*1000*H2337</x:f>
        <x:v>89293.843</x:v>
      </x:c>
      <x:c r="J2337" t="n">
        <x:v>0.989</x:v>
      </x:c>
    </x:row>
    <x:row r="2338">
      <x:c r="A2338" t="n">
        <x:v>2023</x:v>
      </x:c>
      <x:c r="B2338" t="str">
        <x:v>Septiembre</x:v>
      </x:c>
      <x:c r="C2338" t="str">
        <x:v>RE-113409-1</x:v>
      </x:c>
      <x:c r="D2338" t="str">
        <x:v>Parque eólico Alto da Croa</x:v>
      </x:c>
      <x:c r="E2338" t="n">
        <x:v>1.139</x:v>
      </x:c>
      <x:c r="F2338" t="n">
        <x:f>J2338*1.01</x:f>
        <x:v>1.13221</x:v>
      </x:c>
      <x:c r="G2338" t="n">
        <x:v>7.3</x:v>
      </x:c>
      <x:c r="H2338" t="n">
        <x:v>103.34</x:v>
      </x:c>
      <x:c r="I2338" t="n">
        <x:f>F2338*1000*H2338</x:f>
        <x:v>117002.58140000001</x:v>
      </x:c>
      <x:c r="J2338" t="n">
        <x:v>1.121</x:v>
      </x:c>
    </x:row>
    <x:row r="2339">
      <x:c r="A2339" t="n">
        <x:v>2023</x:v>
      </x:c>
      <x:c r="B2339" t="str">
        <x:v>Octubre</x:v>
      </x:c>
      <x:c r="C2339" t="str">
        <x:v>RE-113409-1</x:v>
      </x:c>
      <x:c r="D2339" t="str">
        <x:v>Parque eólico Alto da Croa</x:v>
      </x:c>
      <x:c r="E2339" t="n">
        <x:v>1.776</x:v>
      </x:c>
      <x:c r="F2339" t="n">
        <x:f>J2339*0.97</x:f>
        <x:v>1.67228</x:v>
      </x:c>
      <x:c r="G2339" t="n">
        <x:v>7.3</x:v>
      </x:c>
      <x:c r="H2339" t="n">
        <x:v>90.14</x:v>
      </x:c>
      <x:c r="I2339" t="n">
        <x:f>F2339*1000*H2339</x:f>
        <x:v>150739.3192</x:v>
      </x:c>
      <x:c r="J2339" t="n">
        <x:v>1.724</x:v>
      </x:c>
    </x:row>
    <x:row r="2340">
      <x:c r="A2340" t="n">
        <x:v>2023</x:v>
      </x:c>
      <x:c r="B2340" t="str">
        <x:v>Noviembre</x:v>
      </x:c>
      <x:c r="C2340" t="str">
        <x:v>RE-113409-1</x:v>
      </x:c>
      <x:c r="D2340" t="str">
        <x:v>Parque eólico Alto da Croa</x:v>
      </x:c>
      <x:c r="E2340" t="n">
        <x:v>1.944</x:v>
      </x:c>
      <x:c r="F2340" t="n">
        <x:f>J2340*1.04</x:f>
        <x:v>1.98848</x:v>
      </x:c>
      <x:c r="G2340" t="n">
        <x:v>7.3</x:v>
      </x:c>
      <x:c r="H2340" t="n">
        <x:v>63.45</x:v>
      </x:c>
      <x:c r="I2340" t="n">
        <x:f>F2340*1000*H2340</x:f>
        <x:v>126169.05600000001</x:v>
      </x:c>
      <x:c r="J2340" t="n">
        <x:v>1.912</x:v>
      </x:c>
    </x:row>
    <x:row r="2341">
      <x:c r="A2341" t="n">
        <x:v>2023</x:v>
      </x:c>
      <x:c r="B2341" t="str">
        <x:v>Diciembre</x:v>
      </x:c>
      <x:c r="C2341" t="str">
        <x:v>RE-113409-1</x:v>
      </x:c>
      <x:c r="D2341" t="str">
        <x:v>Parque eólico Alto da Croa</x:v>
      </x:c>
      <x:c r="E2341" t="n">
        <x:v>2.277</x:v>
      </x:c>
      <x:c r="F2341" t="n">
        <x:f>J2341*1</x:f>
        <x:v>2.205</x:v>
      </x:c>
      <x:c r="G2341" t="n">
        <x:v>7.3</x:v>
      </x:c>
      <x:c r="H2341" t="n">
        <x:v>72.17</x:v>
      </x:c>
      <x:c r="I2341" t="n">
        <x:f>F2341*1000*H2341</x:f>
        <x:v>159134.85</x:v>
      </x:c>
      <x:c r="J2341" t="n">
        <x:v>2.205</x:v>
      </x:c>
    </x:row>
    <x:row r="2342">
      <x:c r="A2342" t="n">
        <x:v>2023</x:v>
      </x:c>
      <x:c r="B2342" t="str">
        <x:v>Enero</x:v>
      </x:c>
      <x:c r="C2342" t="str">
        <x:v>RE-113427-1</x:v>
      </x:c>
      <x:c r="D2342" t="str">
        <x:v>Parque eólico Monte Tourado</x:v>
      </x:c>
      <x:c r="E2342" t="n">
        <x:v>2.98</x:v>
      </x:c>
      <x:c r="F2342" t="n">
        <x:f>J2342*0.96</x:f>
        <x:v>2.8118399999999997</x:v>
      </x:c>
      <x:c r="G2342" t="n">
        <x:v>10.395</x:v>
      </x:c>
      <x:c r="H2342" t="n">
        <x:v>69.55</x:v>
      </x:c>
      <x:c r="I2342" t="n">
        <x:f>F2342*1000*H2342</x:f>
        <x:v>195563.47199999998</x:v>
      </x:c>
      <x:c r="J2342" t="n">
        <x:v>2.929</x:v>
      </x:c>
    </x:row>
    <x:row r="2343">
      <x:c r="A2343" t="n">
        <x:v>2023</x:v>
      </x:c>
      <x:c r="B2343" t="str">
        <x:v>Febrero</x:v>
      </x:c>
      <x:c r="C2343" t="str">
        <x:v>RE-113427-1</x:v>
      </x:c>
      <x:c r="D2343" t="str">
        <x:v>Parque eólico Monte Tourado</x:v>
      </x:c>
      <x:c r="E2343" t="n">
        <x:v>2.569</x:v>
      </x:c>
      <x:c r="F2343" t="n">
        <x:f>J2343*1.03</x:f>
        <x:v>2.60384</x:v>
      </x:c>
      <x:c r="G2343" t="n">
        <x:v>10.395</x:v>
      </x:c>
      <x:c r="H2343" t="n">
        <x:v>133.47</x:v>
      </x:c>
      <x:c r="I2343" t="n">
        <x:f>F2343*1000*H2343</x:f>
        <x:v>347534.5248</x:v>
      </x:c>
      <x:c r="J2343" t="n">
        <x:v>2.528</x:v>
      </x:c>
    </x:row>
    <x:row r="2344">
      <x:c r="A2344" t="n">
        <x:v>2023</x:v>
      </x:c>
      <x:c r="B2344" t="str">
        <x:v>Marzo</x:v>
      </x:c>
      <x:c r="C2344" t="str">
        <x:v>RE-113427-1</x:v>
      </x:c>
      <x:c r="D2344" t="str">
        <x:v>Parque eólico Monte Tourado</x:v>
      </x:c>
      <x:c r="E2344" t="n">
        <x:v>2.332</x:v>
      </x:c>
      <x:c r="F2344" t="n">
        <x:f>J2344*0.99</x:f>
        <x:v>2.2651199999999996</x:v>
      </x:c>
      <x:c r="G2344" t="n">
        <x:v>10.395</x:v>
      </x:c>
      <x:c r="H2344" t="n">
        <x:v>89.61</x:v>
      </x:c>
      <x:c r="I2344" t="n">
        <x:f>F2344*1000*H2344</x:f>
        <x:v>202977.40319999994</x:v>
      </x:c>
      <x:c r="J2344" t="n">
        <x:v>2.288</x:v>
      </x:c>
    </x:row>
    <x:row r="2345">
      <x:c r="A2345" t="n">
        <x:v>2023</x:v>
      </x:c>
      <x:c r="B2345" t="str">
        <x:v>Abril</x:v>
      </x:c>
      <x:c r="C2345" t="str">
        <x:v>RE-113427-1</x:v>
      </x:c>
      <x:c r="D2345" t="str">
        <x:v>Parque eólico Monte Tourado</x:v>
      </x:c>
      <x:c r="E2345" t="n">
        <x:v>2.048</x:v>
      </x:c>
      <x:c r="F2345" t="n">
        <x:f>J2345*0.95</x:f>
        <x:v>1.9</x:v>
      </x:c>
      <x:c r="G2345" t="n">
        <x:v>10.395</x:v>
      </x:c>
      <x:c r="H2345" t="n">
        <x:v>73.73</x:v>
      </x:c>
      <x:c r="I2345" t="n">
        <x:f>F2345*1000*H2345</x:f>
        <x:v>140087</x:v>
      </x:c>
      <x:c r="J2345" t="n">
        <x:v>2</x:v>
      </x:c>
    </x:row>
    <x:row r="2346">
      <x:c r="A2346" t="n">
        <x:v>2023</x:v>
      </x:c>
      <x:c r="B2346" t="str">
        <x:v>Mayo</x:v>
      </x:c>
      <x:c r="C2346" t="str">
        <x:v>RE-113427-1</x:v>
      </x:c>
      <x:c r="D2346" t="str">
        <x:v>Parque eólico Monte Tourado</x:v>
      </x:c>
      <x:c r="E2346" t="n">
        <x:v>2.093</x:v>
      </x:c>
      <x:c r="F2346" t="n">
        <x:f>J2346*1.02</x:f>
        <x:v>2.08896</x:v>
      </x:c>
      <x:c r="G2346" t="n">
        <x:v>10.395</x:v>
      </x:c>
      <x:c r="H2346" t="n">
        <x:v>74.21</x:v>
      </x:c>
      <x:c r="I2346" t="n">
        <x:f>F2346*1000*H2346</x:f>
        <x:v>155021.7216</x:v>
      </x:c>
      <x:c r="J2346" t="n">
        <x:v>2.048</x:v>
      </x:c>
    </x:row>
    <x:row r="2347">
      <x:c r="A2347" t="n">
        <x:v>2023</x:v>
      </x:c>
      <x:c r="B2347" t="str">
        <x:v>Junio</x:v>
      </x:c>
      <x:c r="C2347" t="str">
        <x:v>RE-113427-1</x:v>
      </x:c>
      <x:c r="D2347" t="str">
        <x:v>Parque eólico Monte Tourado</x:v>
      </x:c>
      <x:c r="E2347" t="n">
        <x:v>1.642</x:v>
      </x:c>
      <x:c r="F2347" t="n">
        <x:f>J2347*0.98</x:f>
        <x:v>1.5738800000000002</x:v>
      </x:c>
      <x:c r="G2347" t="n">
        <x:v>10.395</x:v>
      </x:c>
      <x:c r="H2347" t="n">
        <x:v>93.02</x:v>
      </x:c>
      <x:c r="I2347" t="n">
        <x:f>F2347*1000*H2347</x:f>
        <x:v>146402.3176</x:v>
      </x:c>
      <x:c r="J2347" t="n">
        <x:v>1.606</x:v>
      </x:c>
    </x:row>
    <x:row r="2348">
      <x:c r="A2348" t="n">
        <x:v>2023</x:v>
      </x:c>
      <x:c r="B2348" t="str">
        <x:v>Julio</x:v>
      </x:c>
      <x:c r="C2348" t="str">
        <x:v>RE-113427-1</x:v>
      </x:c>
      <x:c r="D2348" t="str">
        <x:v>Parque eólico Monte Tourado</x:v>
      </x:c>
      <x:c r="E2348" t="n">
        <x:v>1.665</x:v>
      </x:c>
      <x:c r="F2348" t="n">
        <x:f>J2348*0.94</x:f>
        <x:v>1.52562</x:v>
      </x:c>
      <x:c r="G2348" t="n">
        <x:v>10.395</x:v>
      </x:c>
      <x:c r="H2348" t="n">
        <x:v>90.47</x:v>
      </x:c>
      <x:c r="I2348" t="n">
        <x:f>F2348*1000*H2348</x:f>
        <x:v>138022.84139999998</x:v>
      </x:c>
      <x:c r="J2348" t="n">
        <x:v>1.623</x:v>
      </x:c>
    </x:row>
    <x:row r="2349">
      <x:c r="A2349" t="n">
        <x:v>2023</x:v>
      </x:c>
      <x:c r="B2349" t="str">
        <x:v>Agosto</x:v>
      </x:c>
      <x:c r="C2349" t="str">
        <x:v>RE-113427-1</x:v>
      </x:c>
      <x:c r="D2349" t="str">
        <x:v>Parque eólico Monte Tourado</x:v>
      </x:c>
      <x:c r="E2349" t="n">
        <x:v>1.496</x:v>
      </x:c>
      <x:c r="F2349" t="n">
        <x:f>J2349*1.01</x:f>
        <x:v>1.46652</x:v>
      </x:c>
      <x:c r="G2349" t="n">
        <x:v>10.395</x:v>
      </x:c>
      <x:c r="H2349" t="n">
        <x:v>96.05</x:v>
      </x:c>
      <x:c r="I2349" t="n">
        <x:f>F2349*1000*H2349</x:f>
        <x:v>140859.24599999998</x:v>
      </x:c>
      <x:c r="J2349" t="n">
        <x:v>1.452</x:v>
      </x:c>
    </x:row>
    <x:row r="2350">
      <x:c r="A2350" t="n">
        <x:v>2023</x:v>
      </x:c>
      <x:c r="B2350" t="str">
        <x:v>Septiembre</x:v>
      </x:c>
      <x:c r="C2350" t="str">
        <x:v>RE-113427-1</x:v>
      </x:c>
      <x:c r="D2350" t="str">
        <x:v>Parque eólico Monte Tourado</x:v>
      </x:c>
      <x:c r="E2350" t="n">
        <x:v>2.01</x:v>
      </x:c>
      <x:c r="F2350" t="n">
        <x:f>J2350*0.97</x:f>
        <x:v>1.90896</x:v>
      </x:c>
      <x:c r="G2350" t="n">
        <x:v>10.395</x:v>
      </x:c>
      <x:c r="H2350" t="n">
        <x:v>103.34</x:v>
      </x:c>
      <x:c r="I2350" t="n">
        <x:f>F2350*1000*H2350</x:f>
        <x:v>197271.9264</x:v>
      </x:c>
      <x:c r="J2350" t="n">
        <x:v>1.968</x:v>
      </x:c>
    </x:row>
    <x:row r="2351">
      <x:c r="A2351" t="n">
        <x:v>2023</x:v>
      </x:c>
      <x:c r="B2351" t="str">
        <x:v>Octubre</x:v>
      </x:c>
      <x:c r="C2351" t="str">
        <x:v>RE-113427-1</x:v>
      </x:c>
      <x:c r="D2351" t="str">
        <x:v>Parque eólico Monte Tourado</x:v>
      </x:c>
      <x:c r="E2351" t="n">
        <x:v>2.106</x:v>
      </x:c>
      <x:c r="F2351" t="n">
        <x:f>J2351*1.04</x:f>
        <x:v>2.14864</x:v>
      </x:c>
      <x:c r="G2351" t="n">
        <x:v>10.395</x:v>
      </x:c>
      <x:c r="H2351" t="n">
        <x:v>90.14</x:v>
      </x:c>
      <x:c r="I2351" t="n">
        <x:f>F2351*1000*H2351</x:f>
        <x:v>193678.40959999998</x:v>
      </x:c>
      <x:c r="J2351" t="n">
        <x:v>2.066</x:v>
      </x:c>
    </x:row>
    <x:row r="2352">
      <x:c r="A2352" t="n">
        <x:v>2023</x:v>
      </x:c>
      <x:c r="B2352" t="str">
        <x:v>Noviembre</x:v>
      </x:c>
      <x:c r="C2352" t="str">
        <x:v>RE-113427-1</x:v>
      </x:c>
      <x:c r="D2352" t="str">
        <x:v>Parque eólico Monte Tourado</x:v>
      </x:c>
      <x:c r="E2352" t="n">
        <x:v>2.504</x:v>
      </x:c>
      <x:c r="F2352" t="n">
        <x:f>J2352*1</x:f>
        <x:v>2.433</x:v>
      </x:c>
      <x:c r="G2352" t="n">
        <x:v>10.395</x:v>
      </x:c>
      <x:c r="H2352" t="n">
        <x:v>63.45</x:v>
      </x:c>
      <x:c r="I2352" t="n">
        <x:f>F2352*1000*H2352</x:f>
        <x:v>154373.85</x:v>
      </x:c>
      <x:c r="J2352" t="n">
        <x:v>2.433</x:v>
      </x:c>
    </x:row>
    <x:row r="2353">
      <x:c r="A2353" t="n">
        <x:v>2023</x:v>
      </x:c>
      <x:c r="B2353" t="str">
        <x:v>Diciembre</x:v>
      </x:c>
      <x:c r="C2353" t="str">
        <x:v>RE-113427-1</x:v>
      </x:c>
      <x:c r="D2353" t="str">
        <x:v>Parque eólico Monte Tourado</x:v>
      </x:c>
      <x:c r="E2353" t="n">
        <x:v>2.714</x:v>
      </x:c>
      <x:c r="F2353" t="n">
        <x:f>J2353*0.96</x:f>
        <x:v>2.5631999999999997</x:v>
      </x:c>
      <x:c r="G2353" t="n">
        <x:v>10.395</x:v>
      </x:c>
      <x:c r="H2353" t="n">
        <x:v>72.17</x:v>
      </x:c>
      <x:c r="I2353" t="n">
        <x:f>F2353*1000*H2353</x:f>
        <x:v>184986.144</x:v>
      </x:c>
      <x:c r="J2353" t="n">
        <x:v>2.67</x:v>
      </x:c>
    </x:row>
    <x:row r="2354">
      <x:c r="A2354" t="n">
        <x:v>2023</x:v>
      </x:c>
      <x:c r="B2354" t="str">
        <x:v>Enero</x:v>
      </x:c>
      <x:c r="C2354" t="str">
        <x:v>RE-113752-1</x:v>
      </x:c>
      <x:c r="D2354" t="str">
        <x:v>parque eólico experimental NED 1ª fase</x:v>
      </x:c>
      <x:c r="E2354" t="n">
        <x:v>0.026</x:v>
      </x:c>
      <x:c r="F2354" t="n">
        <x:f>J2354*1.03</x:f>
        <x:v>0.025750000000000002</x:v>
      </x:c>
      <x:c r="G2354" t="n">
        <x:v>0.1</x:v>
      </x:c>
      <x:c r="H2354" t="n">
        <x:v>69.55</x:v>
      </x:c>
      <x:c r="I2354" t="n">
        <x:f>F2354*1000*H2354</x:f>
        <x:v>1790.9125000000001</x:v>
      </x:c>
      <x:c r="J2354" t="n">
        <x:v>0.025</x:v>
      </x:c>
    </x:row>
    <x:row r="2355">
      <x:c r="A2355" t="n">
        <x:v>2023</x:v>
      </x:c>
      <x:c r="B2355" t="str">
        <x:v>Febrero</x:v>
      </x:c>
      <x:c r="C2355" t="str">
        <x:v>RE-113752-1</x:v>
      </x:c>
      <x:c r="D2355" t="str">
        <x:v>parque eólico experimental NED 1ª fase</x:v>
      </x:c>
      <x:c r="E2355" t="n">
        <x:v>0.021</x:v>
      </x:c>
      <x:c r="F2355" t="n">
        <x:f>J2355*0.99</x:f>
        <x:v>0.02079</x:v>
      </x:c>
      <x:c r="G2355" t="n">
        <x:v>0.1</x:v>
      </x:c>
      <x:c r="H2355" t="n">
        <x:v>133.47</x:v>
      </x:c>
      <x:c r="I2355" t="n">
        <x:f>F2355*1000*H2355</x:f>
        <x:v>2774.8413</x:v>
      </x:c>
      <x:c r="J2355" t="n">
        <x:v>0.021</x:v>
      </x:c>
    </x:row>
    <x:row r="2356">
      <x:c r="A2356" t="n">
        <x:v>2023</x:v>
      </x:c>
      <x:c r="B2356" t="str">
        <x:v>Marzo</x:v>
      </x:c>
      <x:c r="C2356" t="str">
        <x:v>RE-113752-1</x:v>
      </x:c>
      <x:c r="D2356" t="str">
        <x:v>parque eólico experimental NED 1ª fase</x:v>
      </x:c>
      <x:c r="E2356" t="n">
        <x:v>0.022</x:v>
      </x:c>
      <x:c r="F2356" t="n">
        <x:f>J2356*0.95</x:f>
        <x:v>0.01995</x:v>
      </x:c>
      <x:c r="G2356" t="n">
        <x:v>0.1</x:v>
      </x:c>
      <x:c r="H2356" t="n">
        <x:v>89.61</x:v>
      </x:c>
      <x:c r="I2356" t="n">
        <x:f>F2356*1000*H2356</x:f>
        <x:v>1787.7195</x:v>
      </x:c>
      <x:c r="J2356" t="n">
        <x:v>0.021</x:v>
      </x:c>
    </x:row>
    <x:row r="2357">
      <x:c r="A2357" t="n">
        <x:v>2023</x:v>
      </x:c>
      <x:c r="B2357" t="str">
        <x:v>Abril</x:v>
      </x:c>
      <x:c r="C2357" t="str">
        <x:v>RE-113752-1</x:v>
      </x:c>
      <x:c r="D2357" t="str">
        <x:v>parque eólico experimental NED 1ª fase</x:v>
      </x:c>
      <x:c r="E2357" t="n">
        <x:v>0.017</x:v>
      </x:c>
      <x:c r="F2357" t="n">
        <x:f>J2357*1.02</x:f>
        <x:v>0.01734</x:v>
      </x:c>
      <x:c r="G2357" t="n">
        <x:v>0.1</x:v>
      </x:c>
      <x:c r="H2357" t="n">
        <x:v>73.73</x:v>
      </x:c>
      <x:c r="I2357" t="n">
        <x:f>F2357*1000*H2357</x:f>
        <x:v>1278.4782</x:v>
      </x:c>
      <x:c r="J2357" t="n">
        <x:v>0.017</x:v>
      </x:c>
    </x:row>
    <x:row r="2358">
      <x:c r="A2358" t="n">
        <x:v>2023</x:v>
      </x:c>
      <x:c r="B2358" t="str">
        <x:v>Mayo</x:v>
      </x:c>
      <x:c r="C2358" t="str">
        <x:v>RE-113752-1</x:v>
      </x:c>
      <x:c r="D2358" t="str">
        <x:v>parque eólico experimental NED 1ª fase</x:v>
      </x:c>
      <x:c r="E2358" t="n">
        <x:v>0.017</x:v>
      </x:c>
      <x:c r="F2358" t="n">
        <x:f>J2358*0.98</x:f>
        <x:v>0.01666</x:v>
      </x:c>
      <x:c r="G2358" t="n">
        <x:v>0.1</x:v>
      </x:c>
      <x:c r="H2358" t="n">
        <x:v>74.21</x:v>
      </x:c>
      <x:c r="I2358" t="n">
        <x:f>F2358*1000*H2358</x:f>
        <x:v>1236.3385999999998</x:v>
      </x:c>
      <x:c r="J2358" t="n">
        <x:v>0.017</x:v>
      </x:c>
    </x:row>
    <x:row r="2359">
      <x:c r="A2359" t="n">
        <x:v>2023</x:v>
      </x:c>
      <x:c r="B2359" t="str">
        <x:v>Junio</x:v>
      </x:c>
      <x:c r="C2359" t="str">
        <x:v>RE-113752-1</x:v>
      </x:c>
      <x:c r="D2359" t="str">
        <x:v>parque eólico experimental NED 1ª fase</x:v>
      </x:c>
      <x:c r="E2359" t="n">
        <x:v>0.015</x:v>
      </x:c>
      <x:c r="F2359" t="n">
        <x:f>J2359*0.94</x:f>
        <x:v>0.014099999999999998</x:v>
      </x:c>
      <x:c r="G2359" t="n">
        <x:v>0.1</x:v>
      </x:c>
      <x:c r="H2359" t="n">
        <x:v>93.02</x:v>
      </x:c>
      <x:c r="I2359" t="n">
        <x:f>F2359*1000*H2359</x:f>
        <x:v>1311.5819999999997</x:v>
      </x:c>
      <x:c r="J2359" t="n">
        <x:v>0.015</x:v>
      </x:c>
    </x:row>
    <x:row r="2360">
      <x:c r="A2360" t="n">
        <x:v>2023</x:v>
      </x:c>
      <x:c r="B2360" t="str">
        <x:v>Julio</x:v>
      </x:c>
      <x:c r="C2360" t="str">
        <x:v>RE-113752-1</x:v>
      </x:c>
      <x:c r="D2360" t="str">
        <x:v>parque eólico experimental NED 1ª fase</x:v>
      </x:c>
      <x:c r="E2360" t="n">
        <x:v>0.016</x:v>
      </x:c>
      <x:c r="F2360" t="n">
        <x:f>J2360*1.01</x:f>
        <x:v>0.01616</x:v>
      </x:c>
      <x:c r="G2360" t="n">
        <x:v>0.1</x:v>
      </x:c>
      <x:c r="H2360" t="n">
        <x:v>90.47</x:v>
      </x:c>
      <x:c r="I2360" t="n">
        <x:f>F2360*1000*H2360</x:f>
        <x:v>1461.9952</x:v>
      </x:c>
      <x:c r="J2360" t="n">
        <x:v>0.016</x:v>
      </x:c>
    </x:row>
    <x:row r="2361">
      <x:c r="A2361" t="n">
        <x:v>2023</x:v>
      </x:c>
      <x:c r="B2361" t="str">
        <x:v>Agosto</x:v>
      </x:c>
      <x:c r="C2361" t="str">
        <x:v>RE-113752-1</x:v>
      </x:c>
      <x:c r="D2361" t="str">
        <x:v>parque eólico experimental NED 1ª fase</x:v>
      </x:c>
      <x:c r="E2361" t="n">
        <x:v>0.013</x:v>
      </x:c>
      <x:c r="F2361" t="n">
        <x:f>J2361*0.97</x:f>
        <x:v>0.01261</x:v>
      </x:c>
      <x:c r="G2361" t="n">
        <x:v>0.1</x:v>
      </x:c>
      <x:c r="H2361" t="n">
        <x:v>96.05</x:v>
      </x:c>
      <x:c r="I2361" t="n">
        <x:f>F2361*1000*H2361</x:f>
        <x:v>1211.1905</x:v>
      </x:c>
      <x:c r="J2361" t="n">
        <x:v>0.013</x:v>
      </x:c>
    </x:row>
    <x:row r="2362">
      <x:c r="A2362" t="n">
        <x:v>2023</x:v>
      </x:c>
      <x:c r="B2362" t="str">
        <x:v>Septiembre</x:v>
      </x:c>
      <x:c r="C2362" t="str">
        <x:v>RE-113752-1</x:v>
      </x:c>
      <x:c r="D2362" t="str">
        <x:v>parque eólico experimental NED 1ª fase</x:v>
      </x:c>
      <x:c r="E2362" t="n">
        <x:v>0.018</x:v>
      </x:c>
      <x:c r="F2362" t="n">
        <x:f>J2362*1.04</x:f>
        <x:v>0.01872</x:v>
      </x:c>
      <x:c r="G2362" t="n">
        <x:v>0.1</x:v>
      </x:c>
      <x:c r="H2362" t="n">
        <x:v>103.34</x:v>
      </x:c>
      <x:c r="I2362" t="n">
        <x:f>F2362*1000*H2362</x:f>
        <x:v>1934.5248</x:v>
      </x:c>
      <x:c r="J2362" t="n">
        <x:v>0.018</x:v>
      </x:c>
    </x:row>
    <x:row r="2363">
      <x:c r="A2363" t="n">
        <x:v>2023</x:v>
      </x:c>
      <x:c r="B2363" t="str">
        <x:v>Octubre</x:v>
      </x:c>
      <x:c r="C2363" t="str">
        <x:v>RE-113752-1</x:v>
      </x:c>
      <x:c r="D2363" t="str">
        <x:v>parque eólico experimental NED 1ª fase</x:v>
      </x:c>
      <x:c r="E2363" t="n">
        <x:v>0.025</x:v>
      </x:c>
      <x:c r="F2363" t="n">
        <x:f>J2363*1</x:f>
        <x:v>0.024</x:v>
      </x:c>
      <x:c r="G2363" t="n">
        <x:v>0.1</x:v>
      </x:c>
      <x:c r="H2363" t="n">
        <x:v>90.14</x:v>
      </x:c>
      <x:c r="I2363" t="n">
        <x:f>F2363*1000*H2363</x:f>
        <x:v>2163.36</x:v>
      </x:c>
      <x:c r="J2363" t="n">
        <x:v>0.024</x:v>
      </x:c>
    </x:row>
    <x:row r="2364">
      <x:c r="A2364" t="n">
        <x:v>2023</x:v>
      </x:c>
      <x:c r="B2364" t="str">
        <x:v>Noviembre</x:v>
      </x:c>
      <x:c r="C2364" t="str">
        <x:v>RE-113752-1</x:v>
      </x:c>
      <x:c r="D2364" t="str">
        <x:v>parque eólico experimental NED 1ª fase</x:v>
      </x:c>
      <x:c r="E2364" t="n">
        <x:v>0.025</x:v>
      </x:c>
      <x:c r="F2364" t="n">
        <x:f>J2364*0.96</x:f>
        <x:v>0.023039999999999998</x:v>
      </x:c>
      <x:c r="G2364" t="n">
        <x:v>0.1</x:v>
      </x:c>
      <x:c r="H2364" t="n">
        <x:v>63.45</x:v>
      </x:c>
      <x:c r="I2364" t="n">
        <x:f>F2364*1000*H2364</x:f>
        <x:v>1461.888</x:v>
      </x:c>
      <x:c r="J2364" t="n">
        <x:v>0.024</x:v>
      </x:c>
    </x:row>
    <x:row r="2365">
      <x:c r="A2365" t="n">
        <x:v>2023</x:v>
      </x:c>
      <x:c r="B2365" t="str">
        <x:v>Diciembre</x:v>
      </x:c>
      <x:c r="C2365" t="str">
        <x:v>RE-113752-1</x:v>
      </x:c>
      <x:c r="D2365" t="str">
        <x:v>parque eólico experimental NED 1ª fase</x:v>
      </x:c>
      <x:c r="E2365" t="n">
        <x:v>0.028</x:v>
      </x:c>
      <x:c r="F2365" t="n">
        <x:f>J2365*1.03</x:f>
        <x:v>0.02781</x:v>
      </x:c>
      <x:c r="G2365" t="n">
        <x:v>0.1</x:v>
      </x:c>
      <x:c r="H2365" t="n">
        <x:v>72.17</x:v>
      </x:c>
      <x:c r="I2365" t="n">
        <x:f>F2365*1000*H2365</x:f>
        <x:v>2007.0477000000003</x:v>
      </x:c>
      <x:c r="J2365" t="n">
        <x:v>0.027</x:v>
      </x:c>
    </x:row>
    <x:row r="2366">
      <x:c r="A2366" t="n">
        <x:v>2023</x:v>
      </x:c>
      <x:c r="B2366" t="str">
        <x:v>Enero</x:v>
      </x:c>
      <x:c r="C2366" t="str">
        <x:v>RE-114568-1</x:v>
      </x:c>
      <x:c r="D2366" t="str">
        <x:v>Parque eólico Farrapa II</x:v>
      </x:c>
      <x:c r="E2366" t="n">
        <x:v>5.82</x:v>
      </x:c>
      <x:c r="F2366" t="n">
        <x:f>J2366*0.99</x:f>
        <x:v>5.6169</x:v>
      </x:c>
      <x:c r="G2366" t="n">
        <x:v>20</x:v>
      </x:c>
      <x:c r="H2366" t="n">
        <x:v>69.55</x:v>
      </x:c>
      <x:c r="I2366" t="n">
        <x:f>F2366*1000*H2366</x:f>
        <x:v>390655.395</x:v>
      </x:c>
      <x:c r="J2366" t="n">
        <x:v>5.673636363636364</x:v>
      </x:c>
    </x:row>
    <x:row r="2367">
      <x:c r="A2367" t="n">
        <x:v>2023</x:v>
      </x:c>
      <x:c r="B2367" t="str">
        <x:v>Enero</x:v>
      </x:c>
      <x:c r="C2367" t="str">
        <x:v>RE-114568-2</x:v>
      </x:c>
      <x:c r="D2367" t="str">
        <x:v>Parque eólico Farrapa II</x:v>
      </x:c>
      <x:c r="E2367" t="n">
        <x:v>0.5819999999999999</x:v>
      </x:c>
      <x:c r="F2367" t="n">
        <x:f>J2367*0.99</x:f>
        <x:v>0.5616899999999995</x:v>
      </x:c>
      <x:c r="G2367" t="n">
        <x:v>2</x:v>
      </x:c>
      <x:c r="H2367" t="n">
        <x:v>69.55</x:v>
      </x:c>
      <x:c r="I2367" t="n">
        <x:f>F2367*1000*H2367</x:f>
        <x:v>39065.53949999996</x:v>
      </x:c>
      <x:c r="J2367" t="n">
        <x:v>0.5673636363636358</x:v>
      </x:c>
    </x:row>
    <x:row r="2368">
      <x:c r="A2368" t="n">
        <x:v>2023</x:v>
      </x:c>
      <x:c r="B2368" t="str">
        <x:v>Febrero</x:v>
      </x:c>
      <x:c r="C2368" t="str">
        <x:v>RE-114568-1</x:v>
      </x:c>
      <x:c r="D2368" t="str">
        <x:v>Parque eólico Farrapa II</x:v>
      </x:c>
      <x:c r="E2368" t="n">
        <x:v>3.9863636363636363</x:v>
      </x:c>
      <x:c r="F2368" t="n">
        <x:f>J2368*0.95</x:f>
        <x:v>3.7257272727272728</x:v>
      </x:c>
      <x:c r="G2368" t="n">
        <x:v>20</x:v>
      </x:c>
      <x:c r="H2368" t="n">
        <x:v>133.47</x:v>
      </x:c>
      <x:c r="I2368" t="n">
        <x:f>F2368*1000*H2368</x:f>
        <x:v>497272.8190909091</x:v>
      </x:c>
      <x:c r="J2368" t="n">
        <x:v>3.921818181818182</x:v>
      </x:c>
    </x:row>
    <x:row r="2369">
      <x:c r="A2369" t="n">
        <x:v>2023</x:v>
      </x:c>
      <x:c r="B2369" t="str">
        <x:v>Febrero</x:v>
      </x:c>
      <x:c r="C2369" t="str">
        <x:v>RE-114568-2</x:v>
      </x:c>
      <x:c r="D2369" t="str">
        <x:v>Parque eólico Farrapa II</x:v>
      </x:c>
      <x:c r="E2369" t="n">
        <x:v>0.39863636363636346</x:v>
      </x:c>
      <x:c r="F2369" t="n">
        <x:f>J2369*0.95</x:f>
        <x:v>0.3725727272727273</x:v>
      </x:c>
      <x:c r="G2369" t="n">
        <x:v>2</x:v>
      </x:c>
      <x:c r="H2369" t="n">
        <x:v>133.47</x:v>
      </x:c>
      <x:c r="I2369" t="n">
        <x:f>F2369*1000*H2369</x:f>
        <x:v>49727.28190909091</x:v>
      </x:c>
      <x:c r="J2369" t="n">
        <x:v>0.3921818181818182</x:v>
      </x:c>
    </x:row>
    <x:row r="2370">
      <x:c r="A2370" t="n">
        <x:v>2023</x:v>
      </x:c>
      <x:c r="B2370" t="str">
        <x:v>Marzo</x:v>
      </x:c>
      <x:c r="C2370" t="str">
        <x:v>RE-114568-1</x:v>
      </x:c>
      <x:c r="D2370" t="str">
        <x:v>Parque eólico Farrapa II</x:v>
      </x:c>
      <x:c r="E2370" t="n">
        <x:v>4.169090909090909</x:v>
      </x:c>
      <x:c r="F2370" t="n">
        <x:f>J2370*1.02</x:f>
        <x:v>4.1708727272727275</x:v>
      </x:c>
      <x:c r="G2370" t="n">
        <x:v>20</x:v>
      </x:c>
      <x:c r="H2370" t="n">
        <x:v>89.61</x:v>
      </x:c>
      <x:c r="I2370" t="n">
        <x:f>F2370*1000*H2370</x:f>
        <x:v>373751.9050909091</x:v>
      </x:c>
      <x:c r="J2370" t="n">
        <x:v>4.089090909090909</x:v>
      </x:c>
    </x:row>
    <x:row r="2371">
      <x:c r="A2371" t="n">
        <x:v>2023</x:v>
      </x:c>
      <x:c r="B2371" t="str">
        <x:v>Marzo</x:v>
      </x:c>
      <x:c r="C2371" t="str">
        <x:v>RE-114568-2</x:v>
      </x:c>
      <x:c r="D2371" t="str">
        <x:v>Parque eólico Farrapa II</x:v>
      </x:c>
      <x:c r="E2371" t="n">
        <x:v>0.41690909090909134</x:v>
      </x:c>
      <x:c r="F2371" t="n">
        <x:f>J2371*1.02</x:f>
        <x:v>0.41708727272727314</x:v>
      </x:c>
      <x:c r="G2371" t="n">
        <x:v>2</x:v>
      </x:c>
      <x:c r="H2371" t="n">
        <x:v>89.61</x:v>
      </x:c>
      <x:c r="I2371" t="n">
        <x:f>F2371*1000*H2371</x:f>
        <x:v>37375.19050909095</x:v>
      </x:c>
      <x:c r="J2371" t="n">
        <x:v>0.40890909090909133</x:v>
      </x:c>
    </x:row>
    <x:row r="2372">
      <x:c r="A2372" t="n">
        <x:v>2023</x:v>
      </x:c>
      <x:c r="B2372" t="str">
        <x:v>Abril</x:v>
      </x:c>
      <x:c r="C2372" t="str">
        <x:v>RE-114568-1</x:v>
      </x:c>
      <x:c r="D2372" t="str">
        <x:v>Parque eólico Farrapa II</x:v>
      </x:c>
      <x:c r="E2372" t="n">
        <x:v>3.8945454545454545</x:v>
      </x:c>
      <x:c r="F2372" t="n">
        <x:f>J2372*0.98</x:f>
        <x:v>3.755181818181818</x:v>
      </x:c>
      <x:c r="G2372" t="n">
        <x:v>20</x:v>
      </x:c>
      <x:c r="H2372" t="n">
        <x:v>73.73</x:v>
      </x:c>
      <x:c r="I2372" t="n">
        <x:f>F2372*1000*H2372</x:f>
        <x:v>276869.5554545455</x:v>
      </x:c>
      <x:c r="J2372" t="n">
        <x:v>3.831818181818182</x:v>
      </x:c>
    </x:row>
    <x:row r="2373">
      <x:c r="A2373" t="n">
        <x:v>2023</x:v>
      </x:c>
      <x:c r="B2373" t="str">
        <x:v>Abril</x:v>
      </x:c>
      <x:c r="C2373" t="str">
        <x:v>RE-114568-2</x:v>
      </x:c>
      <x:c r="D2373" t="str">
        <x:v>Parque eólico Farrapa II</x:v>
      </x:c>
      <x:c r="E2373" t="n">
        <x:v>0.3894545454545453</x:v>
      </x:c>
      <x:c r="F2373" t="n">
        <x:f>J2373*0.98</x:f>
        <x:v>0.3755181818181815</x:v>
      </x:c>
      <x:c r="G2373" t="n">
        <x:v>2</x:v>
      </x:c>
      <x:c r="H2373" t="n">
        <x:v>73.73</x:v>
      </x:c>
      <x:c r="I2373" t="n">
        <x:f>F2373*1000*H2373</x:f>
        <x:v>27686.95554545452</x:v>
      </x:c>
      <x:c r="J2373" t="n">
        <x:v>0.38318181818181785</x:v>
      </x:c>
    </x:row>
    <x:row r="2374">
      <x:c r="A2374" t="n">
        <x:v>2023</x:v>
      </x:c>
      <x:c r="B2374" t="str">
        <x:v>Mayo</x:v>
      </x:c>
      <x:c r="C2374" t="str">
        <x:v>RE-114568-1</x:v>
      </x:c>
      <x:c r="D2374" t="str">
        <x:v>Parque eólico Farrapa II</x:v>
      </x:c>
      <x:c r="E2374" t="n">
        <x:v>3.84</x:v>
      </x:c>
      <x:c r="F2374" t="n">
        <x:f>J2374*0.94</x:f>
        <x:v>3.5403818181818183</x:v>
      </x:c>
      <x:c r="G2374" t="n">
        <x:v>20</x:v>
      </x:c>
      <x:c r="H2374" t="n">
        <x:v>74.21</x:v>
      </x:c>
      <x:c r="I2374" t="n">
        <x:f>F2374*1000*H2374</x:f>
        <x:v>262731.7347272727</x:v>
      </x:c>
      <x:c r="J2374" t="n">
        <x:v>3.7663636363636366</x:v>
      </x:c>
    </x:row>
    <x:row r="2375">
      <x:c r="A2375" t="n">
        <x:v>2023</x:v>
      </x:c>
      <x:c r="B2375" t="str">
        <x:v>Mayo</x:v>
      </x:c>
      <x:c r="C2375" t="str">
        <x:v>RE-114568-2</x:v>
      </x:c>
      <x:c r="D2375" t="str">
        <x:v>Parque eólico Farrapa II</x:v>
      </x:c>
      <x:c r="E2375" t="n">
        <x:v>0.38400000000000034</x:v>
      </x:c>
      <x:c r="F2375" t="n">
        <x:f>J2375*0.94</x:f>
        <x:v>0.3540381818181814</x:v>
      </x:c>
      <x:c r="G2375" t="n">
        <x:v>2</x:v>
      </x:c>
      <x:c r="H2375" t="n">
        <x:v>74.21</x:v>
      </x:c>
      <x:c r="I2375" t="n">
        <x:f>F2375*1000*H2375</x:f>
        <x:v>26273.17347272724</x:v>
      </x:c>
      <x:c r="J2375" t="n">
        <x:v>0.3766363636363632</x:v>
      </x:c>
    </x:row>
    <x:row r="2376">
      <x:c r="A2376" t="n">
        <x:v>2023</x:v>
      </x:c>
      <x:c r="B2376" t="str">
        <x:v>Junio</x:v>
      </x:c>
      <x:c r="C2376" t="str">
        <x:v>RE-114568-1</x:v>
      </x:c>
      <x:c r="D2376" t="str">
        <x:v>Parque eólico Farrapa II</x:v>
      </x:c>
      <x:c r="E2376" t="n">
        <x:v>2.5954545454545452</x:v>
      </x:c>
      <x:c r="F2376" t="n">
        <x:f>J2376*1.01</x:f>
        <x:v>2.5736636363636367</x:v>
      </x:c>
      <x:c r="G2376" t="n">
        <x:v>20</x:v>
      </x:c>
      <x:c r="H2376" t="n">
        <x:v>93.02</x:v>
      </x:c>
      <x:c r="I2376" t="n">
        <x:f>F2376*1000*H2376</x:f>
        <x:v>239402.19145454548</x:v>
      </x:c>
      <x:c r="J2376" t="n">
        <x:v>2.5481818181818183</x:v>
      </x:c>
    </x:row>
    <x:row r="2377">
      <x:c r="A2377" t="n">
        <x:v>2023</x:v>
      </x:c>
      <x:c r="B2377" t="str">
        <x:v>Junio</x:v>
      </x:c>
      <x:c r="C2377" t="str">
        <x:v>RE-114568-2</x:v>
      </x:c>
      <x:c r="D2377" t="str">
        <x:v>Parque eólico Farrapa II</x:v>
      </x:c>
      <x:c r="E2377" t="n">
        <x:v>0.25954545454545475</x:v>
      </x:c>
      <x:c r="F2377" t="n">
        <x:f>J2377*1.01</x:f>
        <x:v>0.25736636363636345</x:v>
      </x:c>
      <x:c r="G2377" t="n">
        <x:v>2</x:v>
      </x:c>
      <x:c r="H2377" t="n">
        <x:v>93.02</x:v>
      </x:c>
      <x:c r="I2377" t="n">
        <x:f>F2377*1000*H2377</x:f>
        <x:v>23940.21914545453</x:v>
      </x:c>
      <x:c r="J2377" t="n">
        <x:v>0.2548181818181816</x:v>
      </x:c>
    </x:row>
    <x:row r="2378">
      <x:c r="A2378" t="n">
        <x:v>2023</x:v>
      </x:c>
      <x:c r="B2378" t="str">
        <x:v>Julio</x:v>
      </x:c>
      <x:c r="C2378" t="str">
        <x:v>RE-114568-1</x:v>
      </x:c>
      <x:c r="D2378" t="str">
        <x:v>Parque eólico Farrapa II</x:v>
      </x:c>
      <x:c r="E2378" t="n">
        <x:v>2.617272727272727</x:v>
      </x:c>
      <x:c r="F2378" t="n">
        <x:f>J2378*0.97</x:f>
        <x:v>2.4629181818181816</x:v>
      </x:c>
      <x:c r="G2378" t="n">
        <x:v>20</x:v>
      </x:c>
      <x:c r="H2378" t="n">
        <x:v>90.47</x:v>
      </x:c>
      <x:c r="I2378" t="n">
        <x:f>F2378*1000*H2378</x:f>
        <x:v>222820.20790909088</x:v>
      </x:c>
      <x:c r="J2378" t="n">
        <x:v>2.539090909090909</x:v>
      </x:c>
    </x:row>
    <x:row r="2379">
      <x:c r="A2379" t="n">
        <x:v>2023</x:v>
      </x:c>
      <x:c r="B2379" t="str">
        <x:v>Julio</x:v>
      </x:c>
      <x:c r="C2379" t="str">
        <x:v>RE-114568-2</x:v>
      </x:c>
      <x:c r="D2379" t="str">
        <x:v>Parque eólico Farrapa II</x:v>
      </x:c>
      <x:c r="E2379" t="n">
        <x:v>0.2617272727272728</x:v>
      </x:c>
      <x:c r="F2379" t="n">
        <x:f>J2379*0.97</x:f>
        <x:v>0.24629181818181833</x:v>
      </x:c>
      <x:c r="G2379" t="n">
        <x:v>2</x:v>
      </x:c>
      <x:c r="H2379" t="n">
        <x:v>90.47</x:v>
      </x:c>
      <x:c r="I2379" t="n">
        <x:f>F2379*1000*H2379</x:f>
        <x:v>22282.020790909104</x:v>
      </x:c>
      <x:c r="J2379" t="n">
        <x:v>0.2539090909090911</x:v>
      </x:c>
    </x:row>
    <x:row r="2380">
      <x:c r="A2380" t="n">
        <x:v>2023</x:v>
      </x:c>
      <x:c r="B2380" t="str">
        <x:v>Agosto</x:v>
      </x:c>
      <x:c r="C2380" t="str">
        <x:v>RE-114568-1</x:v>
      </x:c>
      <x:c r="D2380" t="str">
        <x:v>Parque eólico Farrapa II</x:v>
      </x:c>
      <x:c r="E2380" t="n">
        <x:v>3.290909090909091</x:v>
      </x:c>
      <x:c r="F2380" t="n">
        <x:f>J2380*1.04</x:f>
        <x:v>3.322327272727273</x:v>
      </x:c>
      <x:c r="G2380" t="n">
        <x:v>20</x:v>
      </x:c>
      <x:c r="H2380" t="n">
        <x:v>96.05</x:v>
      </x:c>
      <x:c r="I2380" t="n">
        <x:f>F2380*1000*H2380</x:f>
        <x:v>319109.53454545455</x:v>
      </x:c>
      <x:c r="J2380" t="n">
        <x:v>3.1945454545454544</x:v>
      </x:c>
    </x:row>
    <x:row r="2381">
      <x:c r="A2381" t="n">
        <x:v>2023</x:v>
      </x:c>
      <x:c r="B2381" t="str">
        <x:v>Agosto</x:v>
      </x:c>
      <x:c r="C2381" t="str">
        <x:v>RE-114568-2</x:v>
      </x:c>
      <x:c r="D2381" t="str">
        <x:v>Parque eólico Farrapa II</x:v>
      </x:c>
      <x:c r="E2381" t="n">
        <x:v>0.3290909090909091</x:v>
      </x:c>
      <x:c r="F2381" t="n">
        <x:f>J2381*1.04</x:f>
        <x:v>0.3322327272727273</x:v>
      </x:c>
      <x:c r="G2381" t="n">
        <x:v>2</x:v>
      </x:c>
      <x:c r="H2381" t="n">
        <x:v>96.05</x:v>
      </x:c>
      <x:c r="I2381" t="n">
        <x:f>F2381*1000*H2381</x:f>
        <x:v>31910.953454545455</x:v>
      </x:c>
      <x:c r="J2381" t="n">
        <x:v>0.31945454545454544</x:v>
      </x:c>
    </x:row>
    <x:row r="2382">
      <x:c r="A2382" t="n">
        <x:v>2023</x:v>
      </x:c>
      <x:c r="B2382" t="str">
        <x:v>Septiembre</x:v>
      </x:c>
      <x:c r="C2382" t="str">
        <x:v>RE-114568-1</x:v>
      </x:c>
      <x:c r="D2382" t="str">
        <x:v>Parque eólico Farrapa II</x:v>
      </x:c>
      <x:c r="E2382" t="n">
        <x:v>3.22</x:v>
      </x:c>
      <x:c r="F2382" t="n">
        <x:f>J2382*1</x:f>
        <x:v>3.17</x:v>
      </x:c>
      <x:c r="G2382" t="n">
        <x:v>20</x:v>
      </x:c>
      <x:c r="H2382" t="n">
        <x:v>103.34</x:v>
      </x:c>
      <x:c r="I2382" t="n">
        <x:f>F2382*1000*H2382</x:f>
        <x:v>327587.8</x:v>
      </x:c>
      <x:c r="J2382" t="n">
        <x:v>3.17</x:v>
      </x:c>
    </x:row>
    <x:row r="2383">
      <x:c r="A2383" t="n">
        <x:v>2023</x:v>
      </x:c>
      <x:c r="B2383" t="str">
        <x:v>Septiembre</x:v>
      </x:c>
      <x:c r="C2383" t="str">
        <x:v>RE-114568-2</x:v>
      </x:c>
      <x:c r="D2383" t="str">
        <x:v>Parque eólico Farrapa II</x:v>
      </x:c>
      <x:c r="E2383" t="n">
        <x:v>0.3219999999999996</x:v>
      </x:c>
      <x:c r="F2383" t="n">
        <x:f>J2383*1</x:f>
        <x:v>0.31700000000000017</x:v>
      </x:c>
      <x:c r="G2383" t="n">
        <x:v>2</x:v>
      </x:c>
      <x:c r="H2383" t="n">
        <x:v>103.34</x:v>
      </x:c>
      <x:c r="I2383" t="n">
        <x:f>F2383*1000*H2383</x:f>
        <x:v>32758.780000000017</x:v>
      </x:c>
      <x:c r="J2383" t="n">
        <x:v>0.31700000000000017</x:v>
      </x:c>
    </x:row>
    <x:row r="2384">
      <x:c r="A2384" t="n">
        <x:v>2023</x:v>
      </x:c>
      <x:c r="B2384" t="str">
        <x:v>Octubre</x:v>
      </x:c>
      <x:c r="C2384" t="str">
        <x:v>RE-114568-1</x:v>
      </x:c>
      <x:c r="D2384" t="str">
        <x:v>Parque eólico Farrapa II</x:v>
      </x:c>
      <x:c r="E2384" t="n">
        <x:v>4.1036363636363635</x:v>
      </x:c>
      <x:c r="F2384" t="n">
        <x:f>J2384*0.96</x:f>
        <x:v>3.8784</x:v>
      </x:c>
      <x:c r="G2384" t="n">
        <x:v>20</x:v>
      </x:c>
      <x:c r="H2384" t="n">
        <x:v>90.14</x:v>
      </x:c>
      <x:c r="I2384" t="n">
        <x:f>F2384*1000*H2384</x:f>
        <x:v>349598.976</x:v>
      </x:c>
      <x:c r="J2384" t="n">
        <x:v>4.04</x:v>
      </x:c>
    </x:row>
    <x:row r="2385">
      <x:c r="A2385" t="n">
        <x:v>2023</x:v>
      </x:c>
      <x:c r="B2385" t="str">
        <x:v>Octubre</x:v>
      </x:c>
      <x:c r="C2385" t="str">
        <x:v>RE-114568-2</x:v>
      </x:c>
      <x:c r="D2385" t="str">
        <x:v>Parque eólico Farrapa II</x:v>
      </x:c>
      <x:c r="E2385" t="n">
        <x:v>0.4103636363636367</x:v>
      </x:c>
      <x:c r="F2385" t="n">
        <x:f>J2385*0.96</x:f>
        <x:v>0.3878399999999999</x:v>
      </x:c>
      <x:c r="G2385" t="n">
        <x:v>2</x:v>
      </x:c>
      <x:c r="H2385" t="n">
        <x:v>90.14</x:v>
      </x:c>
      <x:c r="I2385" t="n">
        <x:f>F2385*1000*H2385</x:f>
        <x:v>34959.89759999999</x:v>
      </x:c>
      <x:c r="J2385" t="n">
        <x:v>0.4039999999999999</x:v>
      </x:c>
    </x:row>
    <x:row r="2386">
      <x:c r="A2386" t="n">
        <x:v>2023</x:v>
      </x:c>
      <x:c r="B2386" t="str">
        <x:v>Noviembre</x:v>
      </x:c>
      <x:c r="C2386" t="str">
        <x:v>RE-114568-1</x:v>
      </x:c>
      <x:c r="D2386" t="str">
        <x:v>Parque eólico Farrapa II</x:v>
      </x:c>
      <x:c r="E2386" t="n">
        <x:v>4.3136363636363635</x:v>
      </x:c>
      <x:c r="F2386" t="n">
        <x:f>J2386*1.03</x:f>
        <x:v>4.3250636363636366</x:v>
      </x:c>
      <x:c r="G2386" t="n">
        <x:v>20</x:v>
      </x:c>
      <x:c r="H2386" t="n">
        <x:v>63.45</x:v>
      </x:c>
      <x:c r="I2386" t="n">
        <x:f>F2386*1000*H2386</x:f>
        <x:v>274425.2877272728</x:v>
      </x:c>
      <x:c r="J2386" t="n">
        <x:v>4.199090909090909</x:v>
      </x:c>
    </x:row>
    <x:row r="2387">
      <x:c r="A2387" t="n">
        <x:v>2023</x:v>
      </x:c>
      <x:c r="B2387" t="str">
        <x:v>Noviembre</x:v>
      </x:c>
      <x:c r="C2387" t="str">
        <x:v>RE-114568-2</x:v>
      </x:c>
      <x:c r="D2387" t="str">
        <x:v>Parque eólico Farrapa II</x:v>
      </x:c>
      <x:c r="E2387" t="n">
        <x:v>0.4313636363636366</x:v>
      </x:c>
      <x:c r="F2387" t="n">
        <x:f>J2387*1.03</x:f>
        <x:v>0.4325063636363633</x:v>
      </x:c>
      <x:c r="G2387" t="n">
        <x:v>2</x:v>
      </x:c>
      <x:c r="H2387" t="n">
        <x:v>63.45</x:v>
      </x:c>
      <x:c r="I2387" t="n">
        <x:f>F2387*1000*H2387</x:f>
        <x:v>27442.52877272725</x:v>
      </x:c>
      <x:c r="J2387" t="n">
        <x:v>0.41990909090909057</x:v>
      </x:c>
    </x:row>
    <x:row r="2388">
      <x:c r="A2388" t="n">
        <x:v>2023</x:v>
      </x:c>
      <x:c r="B2388" t="str">
        <x:v>Diciembre</x:v>
      </x:c>
      <x:c r="C2388" t="str">
        <x:v>RE-114568-1</x:v>
      </x:c>
      <x:c r="D2388" t="str">
        <x:v>Parque eólico Farrapa II</x:v>
      </x:c>
      <x:c r="E2388" t="n">
        <x:v>4.960909090909091</x:v>
      </x:c>
      <x:c r="F2388" t="n">
        <x:f>J2388*0.99</x:f>
        <x:v>4.7924999999999995</x:v>
      </x:c>
      <x:c r="G2388" t="n">
        <x:v>20</x:v>
      </x:c>
      <x:c r="H2388" t="n">
        <x:v>72.17</x:v>
      </x:c>
      <x:c r="I2388" t="n">
        <x:f>F2388*1000*H2388</x:f>
        <x:v>345874.7249999999</x:v>
      </x:c>
      <x:c r="J2388" t="n">
        <x:v>4.840909090909091</x:v>
      </x:c>
    </x:row>
    <x:row r="2389">
      <x:c r="A2389" t="n">
        <x:v>2023</x:v>
      </x:c>
      <x:c r="B2389" t="str">
        <x:v>Diciembre</x:v>
      </x:c>
      <x:c r="C2389" t="str">
        <x:v>RE-114568-2</x:v>
      </x:c>
      <x:c r="D2389" t="str">
        <x:v>Parque eólico Farrapa II</x:v>
      </x:c>
      <x:c r="E2389" t="n">
        <x:v>0.4960909090909089</x:v>
      </x:c>
      <x:c r="F2389" t="n">
        <x:f>J2389*0.99</x:f>
        <x:v>0.47925000000000023</x:v>
      </x:c>
      <x:c r="G2389" t="n">
        <x:v>2</x:v>
      </x:c>
      <x:c r="H2389" t="n">
        <x:v>72.17</x:v>
      </x:c>
      <x:c r="I2389" t="n">
        <x:f>F2389*1000*H2389</x:f>
        <x:v>34587.47250000002</x:v>
      </x:c>
      <x:c r="J2389" t="n">
        <x:v>0.48409090909090935</x:v>
      </x:c>
    </x:row>
    <x:row r="2390">
      <x:c r="A2390" t="n">
        <x:v>2023</x:v>
      </x:c>
      <x:c r="B2390" t="str">
        <x:v>Enero</x:v>
      </x:c>
      <x:c r="C2390" t="str">
        <x:v>RE-114809-1</x:v>
      </x:c>
      <x:c r="D2390" t="str">
        <x:v>Parque eólico Monte Tourado</x:v>
      </x:c>
      <x:c r="E2390" t="n">
        <x:v>6.264</x:v>
      </x:c>
      <x:c r="F2390" t="n">
        <x:f>J2390*0.95</x:f>
        <x:v>5.810199999999999</x:v>
      </x:c>
      <x:c r="G2390" t="n">
        <x:v>22.5</x:v>
      </x:c>
      <x:c r="H2390" t="n">
        <x:v>69.55</x:v>
      </x:c>
      <x:c r="I2390" t="n">
        <x:f>F2390*1000*H2390</x:f>
        <x:v>404099.4099999999</x:v>
      </x:c>
      <x:c r="J2390" t="n">
        <x:v>6.116</x:v>
      </x:c>
    </x:row>
    <x:row r="2391">
      <x:c r="A2391" t="n">
        <x:v>2023</x:v>
      </x:c>
      <x:c r="B2391" t="str">
        <x:v>Febrero</x:v>
      </x:c>
      <x:c r="C2391" t="str">
        <x:v>RE-114809-1</x:v>
      </x:c>
      <x:c r="D2391" t="str">
        <x:v>Parque eólico Monte Tourado</x:v>
      </x:c>
      <x:c r="E2391" t="n">
        <x:v>5.2</x:v>
      </x:c>
      <x:c r="F2391" t="n">
        <x:f>J2391*1.02</x:f>
        <x:v>5.1408000000000005</x:v>
      </x:c>
      <x:c r="G2391" t="n">
        <x:v>22.5</x:v>
      </x:c>
      <x:c r="H2391" t="n">
        <x:v>133.47</x:v>
      </x:c>
      <x:c r="I2391" t="n">
        <x:f>F2391*1000*H2391</x:f>
        <x:v>686142.576</x:v>
      </x:c>
      <x:c r="J2391" t="n">
        <x:v>5.04</x:v>
      </x:c>
    </x:row>
    <x:row r="2392">
      <x:c r="A2392" t="n">
        <x:v>2023</x:v>
      </x:c>
      <x:c r="B2392" t="str">
        <x:v>Marzo</x:v>
      </x:c>
      <x:c r="C2392" t="str">
        <x:v>RE-114809-1</x:v>
      </x:c>
      <x:c r="D2392" t="str">
        <x:v>Parque eólico Monte Tourado</x:v>
      </x:c>
      <x:c r="E2392" t="n">
        <x:v>5.445</x:v>
      </x:c>
      <x:c r="F2392" t="n">
        <x:f>J2392*0.98</x:f>
        <x:v>5.211639999999999</x:v>
      </x:c>
      <x:c r="G2392" t="n">
        <x:v>22.5</x:v>
      </x:c>
      <x:c r="H2392" t="n">
        <x:v>89.61</x:v>
      </x:c>
      <x:c r="I2392" t="n">
        <x:f>F2392*1000*H2392</x:f>
        <x:v>467015.06039999996</x:v>
      </x:c>
      <x:c r="J2392" t="n">
        <x:v>5.318</x:v>
      </x:c>
    </x:row>
    <x:row r="2393">
      <x:c r="A2393" t="n">
        <x:v>2023</x:v>
      </x:c>
      <x:c r="B2393" t="str">
        <x:v>Abril</x:v>
      </x:c>
      <x:c r="C2393" t="str">
        <x:v>RE-114809-1</x:v>
      </x:c>
      <x:c r="D2393" t="str">
        <x:v>Parque eólico Monte Tourado</x:v>
      </x:c>
      <x:c r="E2393" t="n">
        <x:v>4.014</x:v>
      </x:c>
      <x:c r="F2393" t="n">
        <x:f>J2393*0.94</x:f>
        <x:v>3.6631799999999997</x:v>
      </x:c>
      <x:c r="G2393" t="n">
        <x:v>22.5</x:v>
      </x:c>
      <x:c r="H2393" t="n">
        <x:v>73.73</x:v>
      </x:c>
      <x:c r="I2393" t="n">
        <x:f>F2393*1000*H2393</x:f>
        <x:v>270086.2614</x:v>
      </x:c>
      <x:c r="J2393" t="n">
        <x:v>3.897</x:v>
      </x:c>
    </x:row>
    <x:row r="2394">
      <x:c r="A2394" t="n">
        <x:v>2023</x:v>
      </x:c>
      <x:c r="B2394" t="str">
        <x:v>Mayo</x:v>
      </x:c>
      <x:c r="C2394" t="str">
        <x:v>RE-114809-1</x:v>
      </x:c>
      <x:c r="D2394" t="str">
        <x:v>Parque eólico Monte Tourado</x:v>
      </x:c>
      <x:c r="E2394" t="n">
        <x:v>4.229</x:v>
      </x:c>
      <x:c r="F2394" t="n">
        <x:f>J2394*1.01</x:f>
        <x:v>4.1904900000000005</x:v>
      </x:c>
      <x:c r="G2394" t="n">
        <x:v>22.5</x:v>
      </x:c>
      <x:c r="H2394" t="n">
        <x:v>74.21</x:v>
      </x:c>
      <x:c r="I2394" t="n">
        <x:f>F2394*1000*H2394</x:f>
        <x:v>310976.26290000003</x:v>
      </x:c>
      <x:c r="J2394" t="n">
        <x:v>4.149</x:v>
      </x:c>
    </x:row>
    <x:row r="2395">
      <x:c r="A2395" t="n">
        <x:v>2023</x:v>
      </x:c>
      <x:c r="B2395" t="str">
        <x:v>Junio</x:v>
      </x:c>
      <x:c r="C2395" t="str">
        <x:v>RE-114809-1</x:v>
      </x:c>
      <x:c r="D2395" t="str">
        <x:v>Parque eólico Monte Tourado</x:v>
      </x:c>
      <x:c r="E2395" t="n">
        <x:v>3.976</x:v>
      </x:c>
      <x:c r="F2395" t="n">
        <x:f>J2395*0.97</x:f>
        <x:v>3.79464</x:v>
      </x:c>
      <x:c r="G2395" t="n">
        <x:v>22.5</x:v>
      </x:c>
      <x:c r="H2395" t="n">
        <x:v>93.02</x:v>
      </x:c>
      <x:c r="I2395" t="n">
        <x:f>F2395*1000*H2395</x:f>
        <x:v>352977.4128</x:v>
      </x:c>
      <x:c r="J2395" t="n">
        <x:v>3.912</x:v>
      </x:c>
    </x:row>
    <x:row r="2396">
      <x:c r="A2396" t="n">
        <x:v>2023</x:v>
      </x:c>
      <x:c r="B2396" t="str">
        <x:v>Julio</x:v>
      </x:c>
      <x:c r="C2396" t="str">
        <x:v>RE-114809-1</x:v>
      </x:c>
      <x:c r="D2396" t="str">
        <x:v>Parque eólico Monte Tourado</x:v>
      </x:c>
      <x:c r="E2396" t="n">
        <x:v>3.137</x:v>
      </x:c>
      <x:c r="F2396" t="n">
        <x:f>J2396*1.04</x:f>
        <x:v>3.16784</x:v>
      </x:c>
      <x:c r="G2396" t="n">
        <x:v>22.5</x:v>
      </x:c>
      <x:c r="H2396" t="n">
        <x:v>90.47</x:v>
      </x:c>
      <x:c r="I2396" t="n">
        <x:f>F2396*1000*H2396</x:f>
        <x:v>286594.48480000003</x:v>
      </x:c>
      <x:c r="J2396" t="n">
        <x:v>3.046</x:v>
      </x:c>
    </x:row>
    <x:row r="2397">
      <x:c r="A2397" t="n">
        <x:v>2023</x:v>
      </x:c>
      <x:c r="B2397" t="str">
        <x:v>Agosto</x:v>
      </x:c>
      <x:c r="C2397" t="str">
        <x:v>RE-114809-1</x:v>
      </x:c>
      <x:c r="D2397" t="str">
        <x:v>Parque eólico Monte Tourado</x:v>
      </x:c>
      <x:c r="E2397" t="n">
        <x:v>3.487</x:v>
      </x:c>
      <x:c r="F2397" t="n">
        <x:f>J2397*1</x:f>
        <x:v>3.39</x:v>
      </x:c>
      <x:c r="G2397" t="n">
        <x:v>22.5</x:v>
      </x:c>
      <x:c r="H2397" t="n">
        <x:v>96.05</x:v>
      </x:c>
      <x:c r="I2397" t="n">
        <x:f>F2397*1000*H2397</x:f>
        <x:v>325609.5</x:v>
      </x:c>
      <x:c r="J2397" t="n">
        <x:v>3.39</x:v>
      </x:c>
    </x:row>
    <x:row r="2398">
      <x:c r="A2398" t="n">
        <x:v>2023</x:v>
      </x:c>
      <x:c r="B2398" t="str">
        <x:v>Septiembre</x:v>
      </x:c>
      <x:c r="C2398" t="str">
        <x:v>RE-114809-1</x:v>
      </x:c>
      <x:c r="D2398" t="str">
        <x:v>Parque eólico Monte Tourado</x:v>
      </x:c>
      <x:c r="E2398" t="n">
        <x:v>3.909</x:v>
      </x:c>
      <x:c r="F2398" t="n">
        <x:f>J2398*0.96</x:f>
        <x:v>3.66144</x:v>
      </x:c>
      <x:c r="G2398" t="n">
        <x:v>22.5</x:v>
      </x:c>
      <x:c r="H2398" t="n">
        <x:v>103.34</x:v>
      </x:c>
      <x:c r="I2398" t="n">
        <x:f>F2398*1000*H2398</x:f>
        <x:v>378373.20959999994</x:v>
      </x:c>
      <x:c r="J2398" t="n">
        <x:v>3.814</x:v>
      </x:c>
    </x:row>
    <x:row r="2399">
      <x:c r="A2399" t="n">
        <x:v>2023</x:v>
      </x:c>
      <x:c r="B2399" t="str">
        <x:v>Octubre</x:v>
      </x:c>
      <x:c r="C2399" t="str">
        <x:v>RE-114809-1</x:v>
      </x:c>
      <x:c r="D2399" t="str">
        <x:v>Parque eólico Monte Tourado</x:v>
      </x:c>
      <x:c r="E2399" t="n">
        <x:v>5.258</x:v>
      </x:c>
      <x:c r="F2399" t="n">
        <x:f>J2399*1.03</x:f>
        <x:v>5.26227</x:v>
      </x:c>
      <x:c r="G2399" t="n">
        <x:v>22.5</x:v>
      </x:c>
      <x:c r="H2399" t="n">
        <x:v>90.14</x:v>
      </x:c>
      <x:c r="I2399" t="n">
        <x:f>F2399*1000*H2399</x:f>
        <x:v>474341.01780000003</x:v>
      </x:c>
      <x:c r="J2399" t="n">
        <x:v>5.109</x:v>
      </x:c>
    </x:row>
    <x:row r="2400">
      <x:c r="A2400" t="n">
        <x:v>2023</x:v>
      </x:c>
      <x:c r="B2400" t="str">
        <x:v>Noviembre</x:v>
      </x:c>
      <x:c r="C2400" t="str">
        <x:v>RE-114809-1</x:v>
      </x:c>
      <x:c r="D2400" t="str">
        <x:v>Parque eólico Monte Tourado</x:v>
      </x:c>
      <x:c r="E2400" t="n">
        <x:v>6.445</x:v>
      </x:c>
      <x:c r="F2400" t="n">
        <x:f>J2400*0.99</x:f>
        <x:v>6.27561</x:v>
      </x:c>
      <x:c r="G2400" t="n">
        <x:v>22.5</x:v>
      </x:c>
      <x:c r="H2400" t="n">
        <x:v>63.45</x:v>
      </x:c>
      <x:c r="I2400" t="n">
        <x:f>F2400*1000*H2400</x:f>
        <x:v>398187.45450000005</x:v>
      </x:c>
      <x:c r="J2400" t="n">
        <x:v>6.339</x:v>
      </x:c>
    </x:row>
    <x:row r="2401">
      <x:c r="A2401" t="n">
        <x:v>2023</x:v>
      </x:c>
      <x:c r="B2401" t="str">
        <x:v>Diciembre</x:v>
      </x:c>
      <x:c r="C2401" t="str">
        <x:v>RE-114809-1</x:v>
      </x:c>
      <x:c r="D2401" t="str">
        <x:v>Parque eólico Monte Tourado</x:v>
      </x:c>
      <x:c r="E2401" t="n">
        <x:v>7.107</x:v>
      </x:c>
      <x:c r="F2401" t="n">
        <x:f>J2401*0.95</x:f>
        <x:v>6.5958499999999995</x:v>
      </x:c>
      <x:c r="G2401" t="n">
        <x:v>22.5</x:v>
      </x:c>
      <x:c r="H2401" t="n">
        <x:v>72.17</x:v>
      </x:c>
      <x:c r="I2401" t="n">
        <x:f>F2401*1000*H2401</x:f>
        <x:v>476022.4945</x:v>
      </x:c>
      <x:c r="J2401" t="n">
        <x:v>6.943</x:v>
      </x:c>
    </x:row>
    <x:row r="2402">
      <x:c r="A2402" t="n">
        <x:v>2023</x:v>
      </x:c>
      <x:c r="B2402" t="str">
        <x:v>Enero</x:v>
      </x:c>
      <x:c r="C2402" t="str">
        <x:v>RE-115026-1</x:v>
      </x:c>
      <x:c r="D2402" t="str">
        <x:v>Parque eólico Bretoña</x:v>
      </x:c>
      <x:c r="E2402" t="n">
        <x:v>0.789</x:v>
      </x:c>
      <x:c r="F2402" t="n">
        <x:f>J2402*1.02</x:f>
        <x:v>0.7833600000000001</x:v>
      </x:c>
      <x:c r="G2402" t="n">
        <x:v>3</x:v>
      </x:c>
      <x:c r="H2402" t="n">
        <x:v>69.55</x:v>
      </x:c>
      <x:c r="I2402" t="n">
        <x:f>F2402*1000*H2402</x:f>
        <x:v>54482.688</x:v>
      </x:c>
      <x:c r="J2402" t="n">
        <x:v>0.768</x:v>
      </x:c>
    </x:row>
    <x:row r="2403">
      <x:c r="A2403" t="n">
        <x:v>2023</x:v>
      </x:c>
      <x:c r="B2403" t="str">
        <x:v>Febrero</x:v>
      </x:c>
      <x:c r="C2403" t="str">
        <x:v>RE-115026-1</x:v>
      </x:c>
      <x:c r="D2403" t="str">
        <x:v>Parque eólico Bretoña</x:v>
      </x:c>
      <x:c r="E2403" t="n">
        <x:v>0.705</x:v>
      </x:c>
      <x:c r="F2403" t="n">
        <x:f>J2403*0.98</x:f>
        <x:v>0.6752199999999999</x:v>
      </x:c>
      <x:c r="G2403" t="n">
        <x:v>3</x:v>
      </x:c>
      <x:c r="H2403" t="n">
        <x:v>133.47</x:v>
      </x:c>
      <x:c r="I2403" t="n">
        <x:f>F2403*1000*H2403</x:f>
        <x:v>90121.61339999999</x:v>
      </x:c>
      <x:c r="J2403" t="n">
        <x:v>0.689</x:v>
      </x:c>
    </x:row>
    <x:row r="2404">
      <x:c r="A2404" t="n">
        <x:v>2023</x:v>
      </x:c>
      <x:c r="B2404" t="str">
        <x:v>Marzo</x:v>
      </x:c>
      <x:c r="C2404" t="str">
        <x:v>RE-115026-1</x:v>
      </x:c>
      <x:c r="D2404" t="str">
        <x:v>Parque eólico Bretoña</x:v>
      </x:c>
      <x:c r="E2404" t="n">
        <x:v>0.722</x:v>
      </x:c>
      <x:c r="F2404" t="n">
        <x:f>J2404*0.94</x:f>
        <x:v>0.6579999999999999</x:v>
      </x:c>
      <x:c r="G2404" t="n">
        <x:v>3</x:v>
      </x:c>
      <x:c r="H2404" t="n">
        <x:v>89.61</x:v>
      </x:c>
      <x:c r="I2404" t="n">
        <x:f>F2404*1000*H2404</x:f>
        <x:v>58963.37999999999</x:v>
      </x:c>
      <x:c r="J2404" t="n">
        <x:v>0.7</x:v>
      </x:c>
    </x:row>
    <x:row r="2405">
      <x:c r="A2405" t="n">
        <x:v>2023</x:v>
      </x:c>
      <x:c r="B2405" t="str">
        <x:v>Abril</x:v>
      </x:c>
      <x:c r="C2405" t="str">
        <x:v>RE-115026-1</x:v>
      </x:c>
      <x:c r="D2405" t="str">
        <x:v>Parque eólico Bretoña</x:v>
      </x:c>
      <x:c r="E2405" t="n">
        <x:v>0.592</x:v>
      </x:c>
      <x:c r="F2405" t="n">
        <x:f>J2405*1.01</x:f>
        <x:v>0.5868099999999999</x:v>
      </x:c>
      <x:c r="G2405" t="n">
        <x:v>3</x:v>
      </x:c>
      <x:c r="H2405" t="n">
        <x:v>73.73</x:v>
      </x:c>
      <x:c r="I2405" t="n">
        <x:f>F2405*1000*H2405</x:f>
        <x:v>43265.501299999996</x:v>
      </x:c>
      <x:c r="J2405" t="n">
        <x:v>0.581</x:v>
      </x:c>
    </x:row>
    <x:row r="2406">
      <x:c r="A2406" t="n">
        <x:v>2023</x:v>
      </x:c>
      <x:c r="B2406" t="str">
        <x:v>Mayo</x:v>
      </x:c>
      <x:c r="C2406" t="str">
        <x:v>RE-115026-1</x:v>
      </x:c>
      <x:c r="D2406" t="str">
        <x:v>Parque eólico Bretoña</x:v>
      </x:c>
      <x:c r="E2406" t="n">
        <x:v>0.534</x:v>
      </x:c>
      <x:c r="F2406" t="n">
        <x:f>J2406*0.97</x:f>
        <x:v>0.50149</x:v>
      </x:c>
      <x:c r="G2406" t="n">
        <x:v>3</x:v>
      </x:c>
      <x:c r="H2406" t="n">
        <x:v>74.21</x:v>
      </x:c>
      <x:c r="I2406" t="n">
        <x:f>F2406*1000*H2406</x:f>
        <x:v>37215.5729</x:v>
      </x:c>
      <x:c r="J2406" t="n">
        <x:v>0.517</x:v>
      </x:c>
    </x:row>
    <x:row r="2407">
      <x:c r="A2407" t="n">
        <x:v>2023</x:v>
      </x:c>
      <x:c r="B2407" t="str">
        <x:v>Junio</x:v>
      </x:c>
      <x:c r="C2407" t="str">
        <x:v>RE-115026-1</x:v>
      </x:c>
      <x:c r="D2407" t="str">
        <x:v>Parque eólico Bretoña</x:v>
      </x:c>
      <x:c r="E2407" t="n">
        <x:v>0.461</x:v>
      </x:c>
      <x:c r="F2407" t="n">
        <x:f>J2407*1.04</x:f>
        <x:v>0.468</x:v>
      </x:c>
      <x:c r="G2407" t="n">
        <x:v>3</x:v>
      </x:c>
      <x:c r="H2407" t="n">
        <x:v>93.02</x:v>
      </x:c>
      <x:c r="I2407" t="n">
        <x:f>F2407*1000*H2407</x:f>
        <x:v>43533.36</x:v>
      </x:c>
      <x:c r="J2407" t="n">
        <x:v>0.45</x:v>
      </x:c>
    </x:row>
    <x:row r="2408">
      <x:c r="A2408" t="n">
        <x:v>2023</x:v>
      </x:c>
      <x:c r="B2408" t="str">
        <x:v>Julio</x:v>
      </x:c>
      <x:c r="C2408" t="str">
        <x:v>RE-115026-1</x:v>
      </x:c>
      <x:c r="D2408" t="str">
        <x:v>Parque eólico Bretoña</x:v>
      </x:c>
      <x:c r="E2408" t="n">
        <x:v>0.409</x:v>
      </x:c>
      <x:c r="F2408" t="n">
        <x:f>J2408*1</x:f>
        <x:v>0.402</x:v>
      </x:c>
      <x:c r="G2408" t="n">
        <x:v>3</x:v>
      </x:c>
      <x:c r="H2408" t="n">
        <x:v>90.47</x:v>
      </x:c>
      <x:c r="I2408" t="n">
        <x:f>F2408*1000*H2408</x:f>
        <x:v>36368.94</x:v>
      </x:c>
      <x:c r="J2408" t="n">
        <x:v>0.402</x:v>
      </x:c>
    </x:row>
    <x:row r="2409">
      <x:c r="A2409" t="n">
        <x:v>2023</x:v>
      </x:c>
      <x:c r="B2409" t="str">
        <x:v>Agosto</x:v>
      </x:c>
      <x:c r="C2409" t="str">
        <x:v>RE-115026-1</x:v>
      </x:c>
      <x:c r="D2409" t="str">
        <x:v>Parque eólico Bretoña</x:v>
      </x:c>
      <x:c r="E2409" t="n">
        <x:v>0.388</x:v>
      </x:c>
      <x:c r="F2409" t="n">
        <x:f>J2409*0.96</x:f>
        <x:v>0.36576</x:v>
      </x:c>
      <x:c r="G2409" t="n">
        <x:v>3</x:v>
      </x:c>
      <x:c r="H2409" t="n">
        <x:v>96.05</x:v>
      </x:c>
      <x:c r="I2409" t="n">
        <x:f>F2409*1000*H2409</x:f>
        <x:v>35131.248</x:v>
      </x:c>
      <x:c r="J2409" t="n">
        <x:v>0.381</x:v>
      </x:c>
    </x:row>
    <x:row r="2410">
      <x:c r="A2410" t="n">
        <x:v>2023</x:v>
      </x:c>
      <x:c r="B2410" t="str">
        <x:v>Septiembre</x:v>
      </x:c>
      <x:c r="C2410" t="str">
        <x:v>RE-115026-1</x:v>
      </x:c>
      <x:c r="D2410" t="str">
        <x:v>Parque eólico Bretoña</x:v>
      </x:c>
      <x:c r="E2410" t="n">
        <x:v>0.47</x:v>
      </x:c>
      <x:c r="F2410" t="n">
        <x:f>J2410*1.03</x:f>
        <x:v>0.46865</x:v>
      </x:c>
      <x:c r="G2410" t="n">
        <x:v>3</x:v>
      </x:c>
      <x:c r="H2410" t="n">
        <x:v>103.34</x:v>
      </x:c>
      <x:c r="I2410" t="n">
        <x:f>F2410*1000*H2410</x:f>
        <x:v>48430.291000000005</x:v>
      </x:c>
      <x:c r="J2410" t="n">
        <x:v>0.455</x:v>
      </x:c>
    </x:row>
    <x:row r="2411">
      <x:c r="A2411" t="n">
        <x:v>2023</x:v>
      </x:c>
      <x:c r="B2411" t="str">
        <x:v>Octubre</x:v>
      </x:c>
      <x:c r="C2411" t="str">
        <x:v>RE-115026-1</x:v>
      </x:c>
      <x:c r="D2411" t="str">
        <x:v>Parque eólico Bretoña</x:v>
      </x:c>
      <x:c r="E2411" t="n">
        <x:v>0.56</x:v>
      </x:c>
      <x:c r="F2411" t="n">
        <x:f>J2411*0.99</x:f>
        <x:v>0.54549</x:v>
      </x:c>
      <x:c r="G2411" t="n">
        <x:v>3</x:v>
      </x:c>
      <x:c r="H2411" t="n">
        <x:v>90.14</x:v>
      </x:c>
      <x:c r="I2411" t="n">
        <x:f>F2411*1000*H2411</x:f>
        <x:v>49170.4686</x:v>
      </x:c>
      <x:c r="J2411" t="n">
        <x:v>0.551</x:v>
      </x:c>
    </x:row>
    <x:row r="2412">
      <x:c r="A2412" t="n">
        <x:v>2023</x:v>
      </x:c>
      <x:c r="B2412" t="str">
        <x:v>Noviembre</x:v>
      </x:c>
      <x:c r="C2412" t="str">
        <x:v>RE-115026-1</x:v>
      </x:c>
      <x:c r="D2412" t="str">
        <x:v>Parque eólico Bretoña</x:v>
      </x:c>
      <x:c r="E2412" t="n">
        <x:v>0.652</x:v>
      </x:c>
      <x:c r="F2412" t="n">
        <x:f>J2412*0.95</x:f>
        <x:v>0.60515</x:v>
      </x:c>
      <x:c r="G2412" t="n">
        <x:v>3</x:v>
      </x:c>
      <x:c r="H2412" t="n">
        <x:v>63.45</x:v>
      </x:c>
      <x:c r="I2412" t="n">
        <x:f>F2412*1000*H2412</x:f>
        <x:v>38396.7675</x:v>
      </x:c>
      <x:c r="J2412" t="n">
        <x:v>0.637</x:v>
      </x:c>
    </x:row>
    <x:row r="2413">
      <x:c r="A2413" t="n">
        <x:v>2023</x:v>
      </x:c>
      <x:c r="B2413" t="str">
        <x:v>Diciembre</x:v>
      </x:c>
      <x:c r="C2413" t="str">
        <x:v>RE-115026-1</x:v>
      </x:c>
      <x:c r="D2413" t="str">
        <x:v>Parque eólico Bretoña</x:v>
      </x:c>
      <x:c r="E2413" t="n">
        <x:v>0.733</x:v>
      </x:c>
      <x:c r="F2413" t="n">
        <x:f>J2413*1.02</x:f>
        <x:v>0.73644</x:v>
      </x:c>
      <x:c r="G2413" t="n">
        <x:v>3</x:v>
      </x:c>
      <x:c r="H2413" t="n">
        <x:v>72.17</x:v>
      </x:c>
      <x:c r="I2413" t="n">
        <x:f>F2413*1000*H2413</x:f>
        <x:v>53148.8748</x:v>
      </x:c>
      <x:c r="J2413" t="n">
        <x:v>0.722</x:v>
      </x:c>
    </x:row>
    <x:row r="2414">
      <x:c r="A2414" t="n">
        <x:v>2023</x:v>
      </x:c>
      <x:c r="B2414" t="str">
        <x:v>Enero</x:v>
      </x:c>
      <x:c r="C2414" t="str">
        <x:v>RE-115359-1</x:v>
      </x:c>
      <x:c r="D2414" t="str">
        <x:v>Parque eólico Airas</x:v>
      </x:c>
      <x:c r="E2414" t="n">
        <x:v>7.404</x:v>
      </x:c>
      <x:c r="F2414" t="n">
        <x:f>J2414*0.98</x:f>
        <x:v>7.1295</x:v>
      </x:c>
      <x:c r="G2414" t="n">
        <x:v>23.35</x:v>
      </x:c>
      <x:c r="H2414" t="n">
        <x:v>69.55</x:v>
      </x:c>
      <x:c r="I2414" t="n">
        <x:f>F2414*1000*H2414</x:f>
        <x:v>495856.725</x:v>
      </x:c>
      <x:c r="J2414" t="n">
        <x:v>7.275</x:v>
      </x:c>
    </x:row>
    <x:row r="2415">
      <x:c r="A2415" t="n">
        <x:v>2023</x:v>
      </x:c>
      <x:c r="B2415" t="str">
        <x:v>Febrero</x:v>
      </x:c>
      <x:c r="C2415" t="str">
        <x:v>RE-115359-1</x:v>
      </x:c>
      <x:c r="D2415" t="str">
        <x:v>Parque eólico Airas</x:v>
      </x:c>
      <x:c r="E2415" t="n">
        <x:v>5.42</x:v>
      </x:c>
      <x:c r="F2415" t="n">
        <x:f>J2415*0.94</x:f>
        <x:v>4.956619999999999</x:v>
      </x:c>
      <x:c r="G2415" t="n">
        <x:v>23.35</x:v>
      </x:c>
      <x:c r="H2415" t="n">
        <x:v>133.47</x:v>
      </x:c>
      <x:c r="I2415" t="n">
        <x:f>F2415*1000*H2415</x:f>
        <x:v>661560.0713999999</x:v>
      </x:c>
      <x:c r="J2415" t="n">
        <x:v>5.273</x:v>
      </x:c>
    </x:row>
    <x:row r="2416">
      <x:c r="A2416" t="n">
        <x:v>2023</x:v>
      </x:c>
      <x:c r="B2416" t="str">
        <x:v>Marzo</x:v>
      </x:c>
      <x:c r="C2416" t="str">
        <x:v>RE-115359-1</x:v>
      </x:c>
      <x:c r="D2416" t="str">
        <x:v>Parque eólico Airas</x:v>
      </x:c>
      <x:c r="E2416" t="n">
        <x:v>6.311</x:v>
      </x:c>
      <x:c r="F2416" t="n">
        <x:f>J2416*1.01</x:f>
        <x:v>6.25796</x:v>
      </x:c>
      <x:c r="G2416" t="n">
        <x:v>23.35</x:v>
      </x:c>
      <x:c r="H2416" t="n">
        <x:v>89.61</x:v>
      </x:c>
      <x:c r="I2416" t="n">
        <x:f>F2416*1000*H2416</x:f>
        <x:v>560775.7956</x:v>
      </x:c>
      <x:c r="J2416" t="n">
        <x:v>6.196</x:v>
      </x:c>
    </x:row>
    <x:row r="2417">
      <x:c r="A2417" t="n">
        <x:v>2023</x:v>
      </x:c>
      <x:c r="B2417" t="str">
        <x:v>Abril</x:v>
      </x:c>
      <x:c r="C2417" t="str">
        <x:v>RE-115359-1</x:v>
      </x:c>
      <x:c r="D2417" t="str">
        <x:v>Parque eólico Airas</x:v>
      </x:c>
      <x:c r="E2417" t="n">
        <x:v>4.795</x:v>
      </x:c>
      <x:c r="F2417" t="n">
        <x:f>J2417*0.97</x:f>
        <x:v>4.53184</x:v>
      </x:c>
      <x:c r="G2417" t="n">
        <x:v>23.35</x:v>
      </x:c>
      <x:c r="H2417" t="n">
        <x:v>73.73</x:v>
      </x:c>
      <x:c r="I2417" t="n">
        <x:f>F2417*1000*H2417</x:f>
        <x:v>334132.56320000003</x:v>
      </x:c>
      <x:c r="J2417" t="n">
        <x:v>4.672</x:v>
      </x:c>
    </x:row>
    <x:row r="2418">
      <x:c r="A2418" t="n">
        <x:v>2023</x:v>
      </x:c>
      <x:c r="B2418" t="str">
        <x:v>Mayo</x:v>
      </x:c>
      <x:c r="C2418" t="str">
        <x:v>RE-115359-1</x:v>
      </x:c>
      <x:c r="D2418" t="str">
        <x:v>Parque eólico Airas</x:v>
      </x:c>
      <x:c r="E2418" t="n">
        <x:v>5.098</x:v>
      </x:c>
      <x:c r="F2418" t="n">
        <x:f>J2418*1.04</x:f>
        <x:v>5.144880000000001</x:v>
      </x:c>
      <x:c r="G2418" t="n">
        <x:v>23.35</x:v>
      </x:c>
      <x:c r="H2418" t="n">
        <x:v>74.21</x:v>
      </x:c>
      <x:c r="I2418" t="n">
        <x:f>F2418*1000*H2418</x:f>
        <x:v>381801.54480000003</x:v>
      </x:c>
      <x:c r="J2418" t="n">
        <x:v>4.947</x:v>
      </x:c>
    </x:row>
    <x:row r="2419">
      <x:c r="A2419" t="n">
        <x:v>2023</x:v>
      </x:c>
      <x:c r="B2419" t="str">
        <x:v>Junio</x:v>
      </x:c>
      <x:c r="C2419" t="str">
        <x:v>RE-115359-1</x:v>
      </x:c>
      <x:c r="D2419" t="str">
        <x:v>Parque eólico Airas</x:v>
      </x:c>
      <x:c r="E2419" t="n">
        <x:v>3.796</x:v>
      </x:c>
      <x:c r="F2419" t="n">
        <x:f>J2419*1</x:f>
        <x:v>3.695</x:v>
      </x:c>
      <x:c r="G2419" t="n">
        <x:v>23.35</x:v>
      </x:c>
      <x:c r="H2419" t="n">
        <x:v>93.02</x:v>
      </x:c>
      <x:c r="I2419" t="n">
        <x:f>F2419*1000*H2419</x:f>
        <x:v>343708.89999999997</x:v>
      </x:c>
      <x:c r="J2419" t="n">
        <x:v>3.695</x:v>
      </x:c>
    </x:row>
    <x:row r="2420">
      <x:c r="A2420" t="n">
        <x:v>2023</x:v>
      </x:c>
      <x:c r="B2420" t="str">
        <x:v>Julio</x:v>
      </x:c>
      <x:c r="C2420" t="str">
        <x:v>RE-115359-1</x:v>
      </x:c>
      <x:c r="D2420" t="str">
        <x:v>Parque eólico Airas</x:v>
      </x:c>
      <x:c r="E2420" t="n">
        <x:v>3.27</x:v>
      </x:c>
      <x:c r="F2420" t="n">
        <x:f>J2420*0.96</x:f>
        <x:v>3.072</x:v>
      </x:c>
      <x:c r="G2420" t="n">
        <x:v>23.35</x:v>
      </x:c>
      <x:c r="H2420" t="n">
        <x:v>90.47</x:v>
      </x:c>
      <x:c r="I2420" t="n">
        <x:f>F2420*1000*H2420</x:f>
        <x:v>277923.83999999997</x:v>
      </x:c>
      <x:c r="J2420" t="n">
        <x:v>3.2</x:v>
      </x:c>
    </x:row>
    <x:row r="2421">
      <x:c r="A2421" t="n">
        <x:v>2023</x:v>
      </x:c>
      <x:c r="B2421" t="str">
        <x:v>Agosto</x:v>
      </x:c>
      <x:c r="C2421" t="str">
        <x:v>RE-115359-1</x:v>
      </x:c>
      <x:c r="D2421" t="str">
        <x:v>Parque eólico Airas</x:v>
      </x:c>
      <x:c r="E2421" t="n">
        <x:v>3.478</x:v>
      </x:c>
      <x:c r="F2421" t="n">
        <x:f>J2421*1.03</x:f>
        <x:v>3.5226</x:v>
      </x:c>
      <x:c r="G2421" t="n">
        <x:v>23.35</x:v>
      </x:c>
      <x:c r="H2421" t="n">
        <x:v>96.05</x:v>
      </x:c>
      <x:c r="I2421" t="n">
        <x:f>F2421*1000*H2421</x:f>
        <x:v>338345.73000000004</x:v>
      </x:c>
      <x:c r="J2421" t="n">
        <x:v>3.42</x:v>
      </x:c>
    </x:row>
    <x:row r="2422">
      <x:c r="A2422" t="n">
        <x:v>2023</x:v>
      </x:c>
      <x:c r="B2422" t="str">
        <x:v>Septiembre</x:v>
      </x:c>
      <x:c r="C2422" t="str">
        <x:v>RE-115359-1</x:v>
      </x:c>
      <x:c r="D2422" t="str">
        <x:v>Parque eólico Airas</x:v>
      </x:c>
      <x:c r="E2422" t="n">
        <x:v>4.585</x:v>
      </x:c>
      <x:c r="F2422" t="n">
        <x:f>J2422*0.99</x:f>
        <x:v>4.45698</x:v>
      </x:c>
      <x:c r="G2422" t="n">
        <x:v>23.35</x:v>
      </x:c>
      <x:c r="H2422" t="n">
        <x:v>103.34</x:v>
      </x:c>
      <x:c r="I2422" t="n">
        <x:f>F2422*1000*H2422</x:f>
        <x:v>460584.3132</x:v>
      </x:c>
      <x:c r="J2422" t="n">
        <x:v>4.502</x:v>
      </x:c>
    </x:row>
    <x:row r="2423">
      <x:c r="A2423" t="n">
        <x:v>2023</x:v>
      </x:c>
      <x:c r="B2423" t="str">
        <x:v>Octubre</x:v>
      </x:c>
      <x:c r="C2423" t="str">
        <x:v>RE-115359-1</x:v>
      </x:c>
      <x:c r="D2423" t="str">
        <x:v>Parque eólico Airas</x:v>
      </x:c>
      <x:c r="E2423" t="n">
        <x:v>6.053</x:v>
      </x:c>
      <x:c r="F2423" t="n">
        <x:f>J2423*0.95</x:f>
        <x:v>5.623049999999999</x:v>
      </x:c>
      <x:c r="G2423" t="n">
        <x:v>23.35</x:v>
      </x:c>
      <x:c r="H2423" t="n">
        <x:v>90.14</x:v>
      </x:c>
      <x:c r="I2423" t="n">
        <x:f>F2423*1000*H2423</x:f>
        <x:v>506861.72699999996</x:v>
      </x:c>
      <x:c r="J2423" t="n">
        <x:v>5.919</x:v>
      </x:c>
    </x:row>
    <x:row r="2424">
      <x:c r="A2424" t="n">
        <x:v>2023</x:v>
      </x:c>
      <x:c r="B2424" t="str">
        <x:v>Noviembre</x:v>
      </x:c>
      <x:c r="C2424" t="str">
        <x:v>RE-115359-1</x:v>
      </x:c>
      <x:c r="D2424" t="str">
        <x:v>Parque eólico Airas</x:v>
      </x:c>
      <x:c r="E2424" t="n">
        <x:v>7.199</x:v>
      </x:c>
      <x:c r="F2424" t="n">
        <x:f>J2424*1.02</x:f>
        <x:v>7.14306</x:v>
      </x:c>
      <x:c r="G2424" t="n">
        <x:v>23.35</x:v>
      </x:c>
      <x:c r="H2424" t="n">
        <x:v>63.45</x:v>
      </x:c>
      <x:c r="I2424" t="n">
        <x:f>F2424*1000*H2424</x:f>
        <x:v>453227.15700000006</x:v>
      </x:c>
      <x:c r="J2424" t="n">
        <x:v>7.003</x:v>
      </x:c>
    </x:row>
    <x:row r="2425">
      <x:c r="A2425" t="n">
        <x:v>2023</x:v>
      </x:c>
      <x:c r="B2425" t="str">
        <x:v>Diciembre</x:v>
      </x:c>
      <x:c r="C2425" t="str">
        <x:v>RE-115359-1</x:v>
      </x:c>
      <x:c r="D2425" t="str">
        <x:v>Parque eólico Airas</x:v>
      </x:c>
      <x:c r="E2425" t="n">
        <x:v>6.906</x:v>
      </x:c>
      <x:c r="F2425" t="n">
        <x:f>J2425*0.98</x:f>
        <x:v>6.566</x:v>
      </x:c>
      <x:c r="G2425" t="n">
        <x:v>23.35</x:v>
      </x:c>
      <x:c r="H2425" t="n">
        <x:v>72.17</x:v>
      </x:c>
      <x:c r="I2425" t="n">
        <x:f>F2425*1000*H2425</x:f>
        <x:v>473868.22000000003</x:v>
      </x:c>
      <x:c r="J2425" t="n">
        <x:v>6.7</x:v>
      </x:c>
    </x:row>
    <x:row r="2426">
      <x:c r="A2426" t="n">
        <x:v>2023</x:v>
      </x:c>
      <x:c r="B2426" t="str">
        <x:v>Enero</x:v>
      </x:c>
      <x:c r="C2426" t="str">
        <x:v>RE-115797-1</x:v>
      </x:c>
      <x:c r="D2426" t="str">
        <x:v>Parque eólico A Ruña II</x:v>
      </x:c>
      <x:c r="E2426" t="n">
        <x:v>5.537</x:v>
      </x:c>
      <x:c r="F2426" t="n">
        <x:f>J2426*0.94</x:f>
        <x:v>5.123</x:v>
      </x:c>
      <x:c r="G2426" t="n">
        <x:v>21</x:v>
      </x:c>
      <x:c r="H2426" t="n">
        <x:v>69.55</x:v>
      </x:c>
      <x:c r="I2426" t="n">
        <x:f>F2426*1000*H2426</x:f>
        <x:v>356304.64999999997</x:v>
      </x:c>
      <x:c r="J2426" t="n">
        <x:v>5.45</x:v>
      </x:c>
    </x:row>
    <x:row r="2427">
      <x:c r="A2427" t="n">
        <x:v>2023</x:v>
      </x:c>
      <x:c r="B2427" t="str">
        <x:v>Febrero</x:v>
      </x:c>
      <x:c r="C2427" t="str">
        <x:v>RE-115797-1</x:v>
      </x:c>
      <x:c r="D2427" t="str">
        <x:v>Parque eólico A Ruña II</x:v>
      </x:c>
      <x:c r="E2427" t="n">
        <x:v>4.67</x:v>
      </x:c>
      <x:c r="F2427" t="n">
        <x:f>J2427*1.01</x:f>
        <x:v>4.63489</x:v>
      </x:c>
      <x:c r="G2427" t="n">
        <x:v>21</x:v>
      </x:c>
      <x:c r="H2427" t="n">
        <x:v>133.47</x:v>
      </x:c>
      <x:c r="I2427" t="n">
        <x:f>F2427*1000*H2427</x:f>
        <x:v>618618.7683</x:v>
      </x:c>
      <x:c r="J2427" t="n">
        <x:v>4.589</x:v>
      </x:c>
    </x:row>
    <x:row r="2428">
      <x:c r="A2428" t="n">
        <x:v>2023</x:v>
      </x:c>
      <x:c r="B2428" t="str">
        <x:v>Marzo</x:v>
      </x:c>
      <x:c r="C2428" t="str">
        <x:v>RE-115797-1</x:v>
      </x:c>
      <x:c r="D2428" t="str">
        <x:v>Parque eólico A Ruña II</x:v>
      </x:c>
      <x:c r="E2428" t="n">
        <x:v>6.033</x:v>
      </x:c>
      <x:c r="F2428" t="n">
        <x:f>J2428*0.97</x:f>
        <x:v>5.744339999999999</x:v>
      </x:c>
      <x:c r="G2428" t="n">
        <x:v>21</x:v>
      </x:c>
      <x:c r="H2428" t="n">
        <x:v>89.61</x:v>
      </x:c>
      <x:c r="I2428" t="n">
        <x:f>F2428*1000*H2428</x:f>
        <x:v>514750.30739999993</x:v>
      </x:c>
      <x:c r="J2428" t="n">
        <x:v>5.922</x:v>
      </x:c>
    </x:row>
    <x:row r="2429">
      <x:c r="A2429" t="n">
        <x:v>2023</x:v>
      </x:c>
      <x:c r="B2429" t="str">
        <x:v>Abril</x:v>
      </x:c>
      <x:c r="C2429" t="str">
        <x:v>RE-115797-1</x:v>
      </x:c>
      <x:c r="D2429" t="str">
        <x:v>Parque eólico A Ruña II</x:v>
      </x:c>
      <x:c r="E2429" t="n">
        <x:v>4.381</x:v>
      </x:c>
      <x:c r="F2429" t="n">
        <x:f>J2429*1.04</x:f>
        <x:v>4.42</x:v>
      </x:c>
      <x:c r="G2429" t="n">
        <x:v>21</x:v>
      </x:c>
      <x:c r="H2429" t="n">
        <x:v>73.73</x:v>
      </x:c>
      <x:c r="I2429" t="n">
        <x:f>F2429*1000*H2429</x:f>
        <x:v>325886.60000000003</x:v>
      </x:c>
      <x:c r="J2429" t="n">
        <x:v>4.25</x:v>
      </x:c>
    </x:row>
    <x:row r="2430">
      <x:c r="A2430" t="n">
        <x:v>2023</x:v>
      </x:c>
      <x:c r="B2430" t="str">
        <x:v>Mayo</x:v>
      </x:c>
      <x:c r="C2430" t="str">
        <x:v>RE-115797-1</x:v>
      </x:c>
      <x:c r="D2430" t="str">
        <x:v>Parque eólico A Ruña II</x:v>
      </x:c>
      <x:c r="E2430" t="n">
        <x:v>3.913</x:v>
      </x:c>
      <x:c r="F2430" t="n">
        <x:f>J2430*1</x:f>
        <x:v>3.819</x:v>
      </x:c>
      <x:c r="G2430" t="n">
        <x:v>21</x:v>
      </x:c>
      <x:c r="H2430" t="n">
        <x:v>74.21</x:v>
      </x:c>
      <x:c r="I2430" t="n">
        <x:f>F2430*1000*H2430</x:f>
        <x:v>283407.99</x:v>
      </x:c>
      <x:c r="J2430" t="n">
        <x:v>3.819</x:v>
      </x:c>
    </x:row>
    <x:row r="2431">
      <x:c r="A2431" t="n">
        <x:v>2023</x:v>
      </x:c>
      <x:c r="B2431" t="str">
        <x:v>Junio</x:v>
      </x:c>
      <x:c r="C2431" t="str">
        <x:v>RE-115797-1</x:v>
      </x:c>
      <x:c r="D2431" t="str">
        <x:v>Parque eólico A Ruña II</x:v>
      </x:c>
      <x:c r="E2431" t="n">
        <x:v>3.374</x:v>
      </x:c>
      <x:c r="F2431" t="n">
        <x:f>J2431*0.96</x:f>
        <x:v>3.1833599999999995</x:v>
      </x:c>
      <x:c r="G2431" t="n">
        <x:v>21</x:v>
      </x:c>
      <x:c r="H2431" t="n">
        <x:v>93.02</x:v>
      </x:c>
      <x:c r="I2431" t="n">
        <x:f>F2431*1000*H2431</x:f>
        <x:v>296116.14719999995</x:v>
      </x:c>
      <x:c r="J2431" t="n">
        <x:v>3.316</x:v>
      </x:c>
    </x:row>
    <x:row r="2432">
      <x:c r="A2432" t="n">
        <x:v>2023</x:v>
      </x:c>
      <x:c r="B2432" t="str">
        <x:v>Julio</x:v>
      </x:c>
      <x:c r="C2432" t="str">
        <x:v>RE-115797-1</x:v>
      </x:c>
      <x:c r="D2432" t="str">
        <x:v>Parque eólico A Ruña II</x:v>
      </x:c>
      <x:c r="E2432" t="n">
        <x:v>3.505</x:v>
      </x:c>
      <x:c r="F2432" t="n">
        <x:f>J2432*1.03</x:f>
        <x:v>3.52157</x:v>
      </x:c>
      <x:c r="G2432" t="n">
        <x:v>21</x:v>
      </x:c>
      <x:c r="H2432" t="n">
        <x:v>90.47</x:v>
      </x:c>
      <x:c r="I2432" t="n">
        <x:f>F2432*1000*H2432</x:f>
        <x:v>318596.4379</x:v>
      </x:c>
      <x:c r="J2432" t="n">
        <x:v>3.419</x:v>
      </x:c>
    </x:row>
    <x:row r="2433">
      <x:c r="A2433" t="n">
        <x:v>2023</x:v>
      </x:c>
      <x:c r="B2433" t="str">
        <x:v>Agosto</x:v>
      </x:c>
      <x:c r="C2433" t="str">
        <x:v>RE-115797-1</x:v>
      </x:c>
      <x:c r="D2433" t="str">
        <x:v>Parque eólico A Ruña II</x:v>
      </x:c>
      <x:c r="E2433" t="n">
        <x:v>3.786</x:v>
      </x:c>
      <x:c r="F2433" t="n">
        <x:f>J2433*0.99</x:f>
        <x:v>3.66003</x:v>
      </x:c>
      <x:c r="G2433" t="n">
        <x:v>21</x:v>
      </x:c>
      <x:c r="H2433" t="n">
        <x:v>96.05</x:v>
      </x:c>
      <x:c r="I2433" t="n">
        <x:f>F2433*1000*H2433</x:f>
        <x:v>351545.88149999996</x:v>
      </x:c>
      <x:c r="J2433" t="n">
        <x:v>3.697</x:v>
      </x:c>
    </x:row>
    <x:row r="2434">
      <x:c r="A2434" t="n">
        <x:v>2023</x:v>
      </x:c>
      <x:c r="B2434" t="str">
        <x:v>Septiembre</x:v>
      </x:c>
      <x:c r="C2434" t="str">
        <x:v>RE-115797-1</x:v>
      </x:c>
      <x:c r="D2434" t="str">
        <x:v>Parque eólico A Ruña II</x:v>
      </x:c>
      <x:c r="E2434" t="n">
        <x:v>3.707</x:v>
      </x:c>
      <x:c r="F2434" t="n">
        <x:f>J2434*0.95</x:f>
        <x:v>3.43045</x:v>
      </x:c>
      <x:c r="G2434" t="n">
        <x:v>21</x:v>
      </x:c>
      <x:c r="H2434" t="n">
        <x:v>103.34</x:v>
      </x:c>
      <x:c r="I2434" t="n">
        <x:f>F2434*1000*H2434</x:f>
        <x:v>354502.703</x:v>
      </x:c>
      <x:c r="J2434" t="n">
        <x:v>3.611</x:v>
      </x:c>
    </x:row>
    <x:row r="2435">
      <x:c r="A2435" t="n">
        <x:v>2023</x:v>
      </x:c>
      <x:c r="B2435" t="str">
        <x:v>Octubre</x:v>
      </x:c>
      <x:c r="C2435" t="str">
        <x:v>RE-115797-1</x:v>
      </x:c>
      <x:c r="D2435" t="str">
        <x:v>Parque eólico A Ruña II</x:v>
      </x:c>
      <x:c r="E2435" t="n">
        <x:v>5.524</x:v>
      </x:c>
      <x:c r="F2435" t="n">
        <x:f>J2435*1.02</x:f>
        <x:v>5.5335</x:v>
      </x:c>
      <x:c r="G2435" t="n">
        <x:v>21</x:v>
      </x:c>
      <x:c r="H2435" t="n">
        <x:v>90.14</x:v>
      </x:c>
      <x:c r="I2435" t="n">
        <x:f>F2435*1000*H2435</x:f>
        <x:v>498789.69</x:v>
      </x:c>
      <x:c r="J2435" t="n">
        <x:v>5.425</x:v>
      </x:c>
    </x:row>
    <x:row r="2436">
      <x:c r="A2436" t="n">
        <x:v>2023</x:v>
      </x:c>
      <x:c r="B2436" t="str">
        <x:v>Noviembre</x:v>
      </x:c>
      <x:c r="C2436" t="str">
        <x:v>RE-115797-1</x:v>
      </x:c>
      <x:c r="D2436" t="str">
        <x:v>Parque eólico A Ruña II</x:v>
      </x:c>
      <x:c r="E2436" t="n">
        <x:v>6.06</x:v>
      </x:c>
      <x:c r="F2436" t="n">
        <x:f>J2436*0.98</x:f>
        <x:v>5.76044</x:v>
      </x:c>
      <x:c r="G2436" t="n">
        <x:v>21</x:v>
      </x:c>
      <x:c r="H2436" t="n">
        <x:v>63.45</x:v>
      </x:c>
      <x:c r="I2436" t="n">
        <x:f>F2436*1000*H2436</x:f>
        <x:v>365499.918</x:v>
      </x:c>
      <x:c r="J2436" t="n">
        <x:v>5.878</x:v>
      </x:c>
    </x:row>
    <x:row r="2437">
      <x:c r="A2437" t="n">
        <x:v>2023</x:v>
      </x:c>
      <x:c r="B2437" t="str">
        <x:v>Diciembre</x:v>
      </x:c>
      <x:c r="C2437" t="str">
        <x:v>RE-115797-1</x:v>
      </x:c>
      <x:c r="D2437" t="str">
        <x:v>Parque eólico A Ruña II</x:v>
      </x:c>
      <x:c r="E2437" t="n">
        <x:v>5.648</x:v>
      </x:c>
      <x:c r="F2437" t="n">
        <x:f>J2437*0.94</x:f>
        <x:v>5.1465</x:v>
      </x:c>
      <x:c r="G2437" t="n">
        <x:v>21</x:v>
      </x:c>
      <x:c r="H2437" t="n">
        <x:v>72.17</x:v>
      </x:c>
      <x:c r="I2437" t="n">
        <x:f>F2437*1000*H2437</x:f>
        <x:v>371422.905</x:v>
      </x:c>
      <x:c r="J2437" t="n">
        <x:v>5.475</x:v>
      </x:c>
    </x:row>
    <x:row r="2438">
      <x:c r="A2438" t="n">
        <x:v>2023</x:v>
      </x:c>
      <x:c r="B2438" t="str">
        <x:v>Enero</x:v>
      </x:c>
      <x:c r="C2438" t="str">
        <x:v>RE-115804-1</x:v>
      </x:c>
      <x:c r="D2438" t="str">
        <x:v>Parque eólico Mondigo</x:v>
      </x:c>
      <x:c r="E2438" t="n">
        <x:v>14.267</x:v>
      </x:c>
      <x:c r="F2438" t="n">
        <x:f>J2438*1.01</x:f>
        <x:v>14.06627</x:v>
      </x:c>
      <x:c r="G2438" t="n">
        <x:v>49.5</x:v>
      </x:c>
      <x:c r="H2438" t="n">
        <x:v>69.55</x:v>
      </x:c>
      <x:c r="I2438" t="n">
        <x:f>F2438*1000*H2438</x:f>
        <x:v>978309.0784999998</x:v>
      </x:c>
      <x:c r="J2438" t="n">
        <x:v>13.927</x:v>
      </x:c>
    </x:row>
    <x:row r="2439">
      <x:c r="A2439" t="n">
        <x:v>2023</x:v>
      </x:c>
      <x:c r="B2439" t="str">
        <x:v>Febrero</x:v>
      </x:c>
      <x:c r="C2439" t="str">
        <x:v>RE-115804-1</x:v>
      </x:c>
      <x:c r="D2439" t="str">
        <x:v>Parque eólico Mondigo</x:v>
      </x:c>
      <x:c r="E2439" t="n">
        <x:v>10.056</x:v>
      </x:c>
      <x:c r="F2439" t="n">
        <x:f>J2439*0.97</x:f>
        <x:v>9.476899999999999</x:v>
      </x:c>
      <x:c r="G2439" t="n">
        <x:v>49.5</x:v>
      </x:c>
      <x:c r="H2439" t="n">
        <x:v>133.47</x:v>
      </x:c>
      <x:c r="I2439" t="n">
        <x:f>F2439*1000*H2439</x:f>
        <x:v>1264881.8429999999</x:v>
      </x:c>
      <x:c r="J2439" t="n">
        <x:v>9.77</x:v>
      </x:c>
    </x:row>
    <x:row r="2440">
      <x:c r="A2440" t="n">
        <x:v>2023</x:v>
      </x:c>
      <x:c r="B2440" t="str">
        <x:v>Marzo</x:v>
      </x:c>
      <x:c r="C2440" t="str">
        <x:v>RE-115804-1</x:v>
      </x:c>
      <x:c r="D2440" t="str">
        <x:v>Parque eólico Mondigo</x:v>
      </x:c>
      <x:c r="E2440" t="n">
        <x:v>11.32</x:v>
      </x:c>
      <x:c r="F2440" t="n">
        <x:f>J2440*1.04</x:f>
        <x:v>11.54088</x:v>
      </x:c>
      <x:c r="G2440" t="n">
        <x:v>49.5</x:v>
      </x:c>
      <x:c r="H2440" t="n">
        <x:v>89.61</x:v>
      </x:c>
      <x:c r="I2440" t="n">
        <x:f>F2440*1000*H2440</x:f>
        <x:v>1034178.2568</x:v>
      </x:c>
      <x:c r="J2440" t="n">
        <x:v>11.097</x:v>
      </x:c>
    </x:row>
    <x:row r="2441">
      <x:c r="A2441" t="n">
        <x:v>2023</x:v>
      </x:c>
      <x:c r="B2441" t="str">
        <x:v>Abril</x:v>
      </x:c>
      <x:c r="C2441" t="str">
        <x:v>RE-115804-1</x:v>
      </x:c>
      <x:c r="D2441" t="str">
        <x:v>Parque eólico Mondigo</x:v>
      </x:c>
      <x:c r="E2441" t="n">
        <x:v>9.686</x:v>
      </x:c>
      <x:c r="F2441" t="n">
        <x:f>J2441*1</x:f>
        <x:v>9.53</x:v>
      </x:c>
      <x:c r="G2441" t="n">
        <x:v>49.5</x:v>
      </x:c>
      <x:c r="H2441" t="n">
        <x:v>73.73</x:v>
      </x:c>
      <x:c r="I2441" t="n">
        <x:f>F2441*1000*H2441</x:f>
        <x:v>702646.9</x:v>
      </x:c>
      <x:c r="J2441" t="n">
        <x:v>9.53</x:v>
      </x:c>
    </x:row>
    <x:row r="2442">
      <x:c r="A2442" t="n">
        <x:v>2023</x:v>
      </x:c>
      <x:c r="B2442" t="str">
        <x:v>Mayo</x:v>
      </x:c>
      <x:c r="C2442" t="str">
        <x:v>RE-115804-1</x:v>
      </x:c>
      <x:c r="D2442" t="str">
        <x:v>Parque eólico Mondigo</x:v>
      </x:c>
      <x:c r="E2442" t="n">
        <x:v>8.917</x:v>
      </x:c>
      <x:c r="F2442" t="n">
        <x:f>J2442*0.96</x:f>
        <x:v>8.4096</x:v>
      </x:c>
      <x:c r="G2442" t="n">
        <x:v>49.5</x:v>
      </x:c>
      <x:c r="H2442" t="n">
        <x:v>74.21</x:v>
      </x:c>
      <x:c r="I2442" t="n">
        <x:f>F2442*1000*H2442</x:f>
        <x:v>624076.4159999999</x:v>
      </x:c>
      <x:c r="J2442" t="n">
        <x:v>8.76</x:v>
      </x:c>
    </x:row>
    <x:row r="2443">
      <x:c r="A2443" t="n">
        <x:v>2023</x:v>
      </x:c>
      <x:c r="B2443" t="str">
        <x:v>Junio</x:v>
      </x:c>
      <x:c r="C2443" t="str">
        <x:v>RE-115804-1</x:v>
      </x:c>
      <x:c r="D2443" t="str">
        <x:v>Parque eólico Mondigo</x:v>
      </x:c>
      <x:c r="E2443" t="n">
        <x:v>7.889</x:v>
      </x:c>
      <x:c r="F2443" t="n">
        <x:f>J2443*1.03</x:f>
        <x:v>7.93203</x:v>
      </x:c>
      <x:c r="G2443" t="n">
        <x:v>49.5</x:v>
      </x:c>
      <x:c r="H2443" t="n">
        <x:v>93.02</x:v>
      </x:c>
      <x:c r="I2443" t="n">
        <x:f>F2443*1000*H2443</x:f>
        <x:v>737837.4306</x:v>
      </x:c>
      <x:c r="J2443" t="n">
        <x:v>7.701</x:v>
      </x:c>
    </x:row>
    <x:row r="2444">
      <x:c r="A2444" t="n">
        <x:v>2023</x:v>
      </x:c>
      <x:c r="B2444" t="str">
        <x:v>Julio</x:v>
      </x:c>
      <x:c r="C2444" t="str">
        <x:v>RE-115804-1</x:v>
      </x:c>
      <x:c r="D2444" t="str">
        <x:v>Parque eólico Mondigo</x:v>
      </x:c>
      <x:c r="E2444" t="n">
        <x:v>7.467</x:v>
      </x:c>
      <x:c r="F2444" t="n">
        <x:f>J2444*0.99</x:f>
        <x:v>7.1577</x:v>
      </x:c>
      <x:c r="G2444" t="n">
        <x:v>49.5</x:v>
      </x:c>
      <x:c r="H2444" t="n">
        <x:v>90.47</x:v>
      </x:c>
      <x:c r="I2444" t="n">
        <x:f>F2444*1000*H2444</x:f>
        <x:v>647557.119</x:v>
      </x:c>
      <x:c r="J2444" t="n">
        <x:v>7.23</x:v>
      </x:c>
    </x:row>
    <x:row r="2445">
      <x:c r="A2445" t="n">
        <x:v>2023</x:v>
      </x:c>
      <x:c r="B2445" t="str">
        <x:v>Agosto</x:v>
      </x:c>
      <x:c r="C2445" t="str">
        <x:v>RE-115804-1</x:v>
      </x:c>
      <x:c r="D2445" t="str">
        <x:v>Parque eólico Mondigo</x:v>
      </x:c>
      <x:c r="E2445" t="n">
        <x:v>7.632</x:v>
      </x:c>
      <x:c r="F2445" t="n">
        <x:f>J2445*0.95</x:f>
        <x:v>7.031899999999999</x:v>
      </x:c>
      <x:c r="G2445" t="n">
        <x:v>49.5</x:v>
      </x:c>
      <x:c r="H2445" t="n">
        <x:v>96.05</x:v>
      </x:c>
      <x:c r="I2445" t="n">
        <x:f>F2445*1000*H2445</x:f>
        <x:v>675413.995</x:v>
      </x:c>
      <x:c r="J2445" t="n">
        <x:v>7.402</x:v>
      </x:c>
    </x:row>
    <x:row r="2446">
      <x:c r="A2446" t="n">
        <x:v>2023</x:v>
      </x:c>
      <x:c r="B2446" t="str">
        <x:v>Septiembre</x:v>
      </x:c>
      <x:c r="C2446" t="str">
        <x:v>RE-115804-1</x:v>
      </x:c>
      <x:c r="D2446" t="str">
        <x:v>Parque eólico Mondigo</x:v>
      </x:c>
      <x:c r="E2446" t="n">
        <x:v>9.004</x:v>
      </x:c>
      <x:c r="F2446" t="n">
        <x:f>J2446*1.02</x:f>
        <x:v>9.017819999999999</x:v>
      </x:c>
      <x:c r="G2446" t="n">
        <x:v>49.5</x:v>
      </x:c>
      <x:c r="H2446" t="n">
        <x:v>103.34</x:v>
      </x:c>
      <x:c r="I2446" t="n">
        <x:f>F2446*1000*H2446</x:f>
        <x:v>931901.5187999998</x:v>
      </x:c>
      <x:c r="J2446" t="n">
        <x:v>8.841</x:v>
      </x:c>
    </x:row>
    <x:row r="2447">
      <x:c r="A2447" t="n">
        <x:v>2023</x:v>
      </x:c>
      <x:c r="B2447" t="str">
        <x:v>Octubre</x:v>
      </x:c>
      <x:c r="C2447" t="str">
        <x:v>RE-115804-1</x:v>
      </x:c>
      <x:c r="D2447" t="str">
        <x:v>Parque eólico Mondigo</x:v>
      </x:c>
      <x:c r="E2447" t="n">
        <x:v>12.51</x:v>
      </x:c>
      <x:c r="F2447" t="n">
        <x:f>J2447*0.98</x:f>
        <x:v>12.05988</x:v>
      </x:c>
      <x:c r="G2447" t="n">
        <x:v>49.5</x:v>
      </x:c>
      <x:c r="H2447" t="n">
        <x:v>90.14</x:v>
      </x:c>
      <x:c r="I2447" t="n">
        <x:f>F2447*1000*H2447</x:f>
        <x:v>1087077.5832</x:v>
      </x:c>
      <x:c r="J2447" t="n">
        <x:v>12.306</x:v>
      </x:c>
    </x:row>
    <x:row r="2448">
      <x:c r="A2448" t="n">
        <x:v>2023</x:v>
      </x:c>
      <x:c r="B2448" t="str">
        <x:v>Noviembre</x:v>
      </x:c>
      <x:c r="C2448" t="str">
        <x:v>RE-115804-1</x:v>
      </x:c>
      <x:c r="D2448" t="str">
        <x:v>Parque eólico Mondigo</x:v>
      </x:c>
      <x:c r="E2448" t="n">
        <x:v>12.687</x:v>
      </x:c>
      <x:c r="F2448" t="n">
        <x:f>J2448*0.94</x:f>
        <x:v>11.68608</x:v>
      </x:c>
      <x:c r="G2448" t="n">
        <x:v>49.5</x:v>
      </x:c>
      <x:c r="H2448" t="n">
        <x:v>63.45</x:v>
      </x:c>
      <x:c r="I2448" t="n">
        <x:f>F2448*1000*H2448</x:f>
        <x:v>741481.7760000001</x:v>
      </x:c>
      <x:c r="J2448" t="n">
        <x:v>12.432</x:v>
      </x:c>
    </x:row>
    <x:row r="2449">
      <x:c r="A2449" t="n">
        <x:v>2023</x:v>
      </x:c>
      <x:c r="B2449" t="str">
        <x:v>Diciembre</x:v>
      </x:c>
      <x:c r="C2449" t="str">
        <x:v>RE-115804-1</x:v>
      </x:c>
      <x:c r="D2449" t="str">
        <x:v>Parque eólico Mondigo</x:v>
      </x:c>
      <x:c r="E2449" t="n">
        <x:v>12.652</x:v>
      </x:c>
      <x:c r="F2449" t="n">
        <x:f>J2449*1.01</x:f>
        <x:v>12.48865</x:v>
      </x:c>
      <x:c r="G2449" t="n">
        <x:v>49.5</x:v>
      </x:c>
      <x:c r="H2449" t="n">
        <x:v>72.17</x:v>
      </x:c>
      <x:c r="I2449" t="n">
        <x:f>F2449*1000*H2449</x:f>
        <x:v>901305.8705</x:v>
      </x:c>
      <x:c r="J2449" t="n">
        <x:v>12.365</x:v>
      </x:c>
    </x:row>
    <x:row r="2450">
      <x:c r="A2450" t="n">
        <x:v>2023</x:v>
      </x:c>
      <x:c r="B2450" t="str">
        <x:v>Enero</x:v>
      </x:c>
      <x:c r="C2450" t="str">
        <x:v>RE-115869-1</x:v>
      </x:c>
      <x:c r="D2450" t="str">
        <x:v>Propetan nED100</x:v>
      </x:c>
      <x:c r="E2450" t="n">
        <x:v>0.027</x:v>
      </x:c>
      <x:c r="F2450" t="n">
        <x:f>J2450*0.97</x:f>
        <x:v>0.02522</x:v>
      </x:c>
      <x:c r="G2450" t="n">
        <x:v>0.1</x:v>
      </x:c>
      <x:c r="H2450" t="n">
        <x:v>69.55</x:v>
      </x:c>
      <x:c r="I2450" t="n">
        <x:f>F2450*1000*H2450</x:f>
        <x:v>1754.051</x:v>
      </x:c>
      <x:c r="J2450" t="n">
        <x:v>0.026</x:v>
      </x:c>
    </x:row>
    <x:row r="2451">
      <x:c r="A2451" t="n">
        <x:v>2023</x:v>
      </x:c>
      <x:c r="B2451" t="str">
        <x:v>Febrero</x:v>
      </x:c>
      <x:c r="C2451" t="str">
        <x:v>RE-115869-1</x:v>
      </x:c>
      <x:c r="D2451" t="str">
        <x:v>Propetan nED100</x:v>
      </x:c>
      <x:c r="E2451" t="n">
        <x:v>0.027</x:v>
      </x:c>
      <x:c r="F2451" t="n">
        <x:f>J2451*1.04</x:f>
        <x:v>0.027039999999999998</x:v>
      </x:c>
      <x:c r="G2451" t="n">
        <x:v>0.1</x:v>
      </x:c>
      <x:c r="H2451" t="n">
        <x:v>133.47</x:v>
      </x:c>
      <x:c r="I2451" t="n">
        <x:f>F2451*1000*H2451</x:f>
        <x:v>3609.0288</x:v>
      </x:c>
      <x:c r="J2451" t="n">
        <x:v>0.026</x:v>
      </x:c>
    </x:row>
    <x:row r="2452">
      <x:c r="A2452" t="n">
        <x:v>2023</x:v>
      </x:c>
      <x:c r="B2452" t="str">
        <x:v>Marzo</x:v>
      </x:c>
      <x:c r="C2452" t="str">
        <x:v>RE-115869-1</x:v>
      </x:c>
      <x:c r="D2452" t="str">
        <x:v>Propetan nED100</x:v>
      </x:c>
      <x:c r="E2452" t="n">
        <x:v>0.028</x:v>
      </x:c>
      <x:c r="F2452" t="n">
        <x:f>J2452*1</x:f>
        <x:v>0.028</x:v>
      </x:c>
      <x:c r="G2452" t="n">
        <x:v>0.1</x:v>
      </x:c>
      <x:c r="H2452" t="n">
        <x:v>89.61</x:v>
      </x:c>
      <x:c r="I2452" t="n">
        <x:f>F2452*1000*H2452</x:f>
        <x:v>2509.08</x:v>
      </x:c>
      <x:c r="J2452" t="n">
        <x:v>0.028</x:v>
      </x:c>
    </x:row>
    <x:row r="2453">
      <x:c r="A2453" t="n">
        <x:v>2023</x:v>
      </x:c>
      <x:c r="B2453" t="str">
        <x:v>Abril</x:v>
      </x:c>
      <x:c r="C2453" t="str">
        <x:v>RE-115869-1</x:v>
      </x:c>
      <x:c r="D2453" t="str">
        <x:v>Propetan nED100</x:v>
      </x:c>
      <x:c r="E2453" t="n">
        <x:v>0.021</x:v>
      </x:c>
      <x:c r="F2453" t="n">
        <x:f>J2453*0.96</x:f>
        <x:v>0.02016</x:v>
      </x:c>
      <x:c r="G2453" t="n">
        <x:v>0.1</x:v>
      </x:c>
      <x:c r="H2453" t="n">
        <x:v>73.73</x:v>
      </x:c>
      <x:c r="I2453" t="n">
        <x:f>F2453*1000*H2453</x:f>
        <x:v>1486.3968</x:v>
      </x:c>
      <x:c r="J2453" t="n">
        <x:v>0.021</x:v>
      </x:c>
    </x:row>
    <x:row r="2454">
      <x:c r="A2454" t="n">
        <x:v>2023</x:v>
      </x:c>
      <x:c r="B2454" t="str">
        <x:v>Mayo</x:v>
      </x:c>
      <x:c r="C2454" t="str">
        <x:v>RE-115869-1</x:v>
      </x:c>
      <x:c r="D2454" t="str">
        <x:v>Propetan nED100</x:v>
      </x:c>
      <x:c r="E2454" t="n">
        <x:v>0.021</x:v>
      </x:c>
      <x:c r="F2454" t="n">
        <x:f>J2454*1.03</x:f>
        <x:v>0.021630000000000003</x:v>
      </x:c>
      <x:c r="G2454" t="n">
        <x:v>0.1</x:v>
      </x:c>
      <x:c r="H2454" t="n">
        <x:v>74.21</x:v>
      </x:c>
      <x:c r="I2454" t="n">
        <x:f>F2454*1000*H2454</x:f>
        <x:v>1605.1623</x:v>
      </x:c>
      <x:c r="J2454" t="n">
        <x:v>0.021</x:v>
      </x:c>
    </x:row>
    <x:row r="2455">
      <x:c r="A2455" t="n">
        <x:v>2023</x:v>
      </x:c>
      <x:c r="B2455" t="str">
        <x:v>Junio</x:v>
      </x:c>
      <x:c r="C2455" t="str">
        <x:v>RE-115869-1</x:v>
      </x:c>
      <x:c r="D2455" t="str">
        <x:v>Propetan nED100</x:v>
      </x:c>
      <x:c r="E2455" t="n">
        <x:v>0.017</x:v>
      </x:c>
      <x:c r="F2455" t="n">
        <x:f>J2455*0.99</x:f>
        <x:v>0.01683</x:v>
      </x:c>
      <x:c r="G2455" t="n">
        <x:v>0.1</x:v>
      </x:c>
      <x:c r="H2455" t="n">
        <x:v>93.02</x:v>
      </x:c>
      <x:c r="I2455" t="n">
        <x:f>F2455*1000*H2455</x:f>
        <x:v>1565.5266000000001</x:v>
      </x:c>
      <x:c r="J2455" t="n">
        <x:v>0.017</x:v>
      </x:c>
    </x:row>
    <x:row r="2456">
      <x:c r="A2456" t="n">
        <x:v>2023</x:v>
      </x:c>
      <x:c r="B2456" t="str">
        <x:v>Julio</x:v>
      </x:c>
      <x:c r="C2456" t="str">
        <x:v>RE-115869-1</x:v>
      </x:c>
      <x:c r="D2456" t="str">
        <x:v>Propetan nED100</x:v>
      </x:c>
      <x:c r="E2456" t="n">
        <x:v>0.017</x:v>
      </x:c>
      <x:c r="F2456" t="n">
        <x:f>J2456*0.95</x:f>
        <x:v>0.0152</x:v>
      </x:c>
      <x:c r="G2456" t="n">
        <x:v>0.1</x:v>
      </x:c>
      <x:c r="H2456" t="n">
        <x:v>90.47</x:v>
      </x:c>
      <x:c r="I2456" t="n">
        <x:f>F2456*1000*H2456</x:f>
        <x:v>1375.144</x:v>
      </x:c>
      <x:c r="J2456" t="n">
        <x:v>0.016</x:v>
      </x:c>
    </x:row>
    <x:row r="2457">
      <x:c r="A2457" t="n">
        <x:v>2023</x:v>
      </x:c>
      <x:c r="B2457" t="str">
        <x:v>Agosto</x:v>
      </x:c>
      <x:c r="C2457" t="str">
        <x:v>RE-115869-1</x:v>
      </x:c>
      <x:c r="D2457" t="str">
        <x:v>Propetan nED100</x:v>
      </x:c>
      <x:c r="E2457" t="n">
        <x:v>0.014</x:v>
      </x:c>
      <x:c r="F2457" t="n">
        <x:f>J2457*1.02</x:f>
        <x:v>0.014280000000000001</x:v>
      </x:c>
      <x:c r="G2457" t="n">
        <x:v>0.1</x:v>
      </x:c>
      <x:c r="H2457" t="n">
        <x:v>96.05</x:v>
      </x:c>
      <x:c r="I2457" t="n">
        <x:f>F2457*1000*H2457</x:f>
        <x:v>1371.594</x:v>
      </x:c>
      <x:c r="J2457" t="n">
        <x:v>0.014</x:v>
      </x:c>
    </x:row>
    <x:row r="2458">
      <x:c r="A2458" t="n">
        <x:v>2023</x:v>
      </x:c>
      <x:c r="B2458" t="str">
        <x:v>Septiembre</x:v>
      </x:c>
      <x:c r="C2458" t="str">
        <x:v>RE-115869-1</x:v>
      </x:c>
      <x:c r="D2458" t="str">
        <x:v>Propetan nED100</x:v>
      </x:c>
      <x:c r="E2458" t="n">
        <x:v>0.017</x:v>
      </x:c>
      <x:c r="F2458" t="n">
        <x:f>J2458*0.98</x:f>
        <x:v>0.01666</x:v>
      </x:c>
      <x:c r="G2458" t="n">
        <x:v>0.1</x:v>
      </x:c>
      <x:c r="H2458" t="n">
        <x:v>103.34</x:v>
      </x:c>
      <x:c r="I2458" t="n">
        <x:f>F2458*1000*H2458</x:f>
        <x:v>1721.6444000000001</x:v>
      </x:c>
      <x:c r="J2458" t="n">
        <x:v>0.017</x:v>
      </x:c>
    </x:row>
    <x:row r="2459">
      <x:c r="A2459" t="n">
        <x:v>2023</x:v>
      </x:c>
      <x:c r="B2459" t="str">
        <x:v>Octubre</x:v>
      </x:c>
      <x:c r="C2459" t="str">
        <x:v>RE-115869-1</x:v>
      </x:c>
      <x:c r="D2459" t="str">
        <x:v>Propetan nED100</x:v>
      </x:c>
      <x:c r="E2459" t="n">
        <x:v>0.024</x:v>
      </x:c>
      <x:c r="F2459" t="n">
        <x:f>J2459*0.94</x:f>
        <x:v>0.021619999999999997</x:v>
      </x:c>
      <x:c r="G2459" t="n">
        <x:v>0.1</x:v>
      </x:c>
      <x:c r="H2459" t="n">
        <x:v>90.14</x:v>
      </x:c>
      <x:c r="I2459" t="n">
        <x:f>F2459*1000*H2459</x:f>
        <x:v>1948.8267999999998</x:v>
      </x:c>
      <x:c r="J2459" t="n">
        <x:v>0.023</x:v>
      </x:c>
    </x:row>
    <x:row r="2460">
      <x:c r="A2460" t="n">
        <x:v>2023</x:v>
      </x:c>
      <x:c r="B2460" t="str">
        <x:v>Noviembre</x:v>
      </x:c>
      <x:c r="C2460" t="str">
        <x:v>RE-115869-1</x:v>
      </x:c>
      <x:c r="D2460" t="str">
        <x:v>Propetan nED100</x:v>
      </x:c>
      <x:c r="E2460" t="n">
        <x:v>0.026</x:v>
      </x:c>
      <x:c r="F2460" t="n">
        <x:f>J2460*1.01</x:f>
        <x:v>0.02626</x:v>
      </x:c>
      <x:c r="G2460" t="n">
        <x:v>0.1</x:v>
      </x:c>
      <x:c r="H2460" t="n">
        <x:v>63.45</x:v>
      </x:c>
      <x:c r="I2460" t="n">
        <x:f>F2460*1000*H2460</x:f>
        <x:v>1666.197</x:v>
      </x:c>
      <x:c r="J2460" t="n">
        <x:v>0.026</x:v>
      </x:c>
    </x:row>
    <x:row r="2461">
      <x:c r="A2461" t="n">
        <x:v>2023</x:v>
      </x:c>
      <x:c r="B2461" t="str">
        <x:v>Diciembre</x:v>
      </x:c>
      <x:c r="C2461" t="str">
        <x:v>RE-115869-1</x:v>
      </x:c>
      <x:c r="D2461" t="str">
        <x:v>Propetan nED100</x:v>
      </x:c>
      <x:c r="E2461" t="n">
        <x:v>0.035</x:v>
      </x:c>
      <x:c r="F2461" t="n">
        <x:f>J2461*0.97</x:f>
        <x:v>0.03298</x:v>
      </x:c>
      <x:c r="G2461" t="n">
        <x:v>0.1</x:v>
      </x:c>
      <x:c r="H2461" t="n">
        <x:v>72.17</x:v>
      </x:c>
      <x:c r="I2461" t="n">
        <x:f>F2461*1000*H2461</x:f>
        <x:v>2380.1666000000005</x:v>
      </x:c>
      <x:c r="J2461" t="n">
        <x:v>0.034</x:v>
      </x:c>
    </x:row>
    <x:row r="2462">
      <x:c r="A2462" t="n">
        <x:v>2023</x:v>
      </x:c>
      <x:c r="B2462" t="str">
        <x:v>Enero</x:v>
      </x:c>
      <x:c r="C2462" t="str">
        <x:v>RE436-0320-1</x:v>
      </x:c>
      <x:c r="D2462" t="str">
        <x:v>P.E MONSEIVANE</x:v>
      </x:c>
      <x:c r="E2462" t="n">
        <x:v>9.416</x:v>
      </x:c>
      <x:c r="F2462" t="n">
        <x:f>J2462*1.04</x:f>
        <x:v>9.53888</x:v>
      </x:c>
      <x:c r="G2462" t="n">
        <x:v>41.4</x:v>
      </x:c>
      <x:c r="H2462" t="n">
        <x:v>69.55</x:v>
      </x:c>
      <x:c r="I2462" t="n">
        <x:f>F2462*1000*H2462</x:f>
        <x:v>663429.104</x:v>
      </x:c>
      <x:c r="J2462" t="n">
        <x:v>9.172</x:v>
      </x:c>
    </x:row>
    <x:row r="2463">
      <x:c r="A2463" t="n">
        <x:v>2023</x:v>
      </x:c>
      <x:c r="B2463" t="str">
        <x:v>Febrero</x:v>
      </x:c>
      <x:c r="C2463" t="str">
        <x:v>RE436-0320-1</x:v>
      </x:c>
      <x:c r="D2463" t="str">
        <x:v>P.E MONSEIVANE</x:v>
      </x:c>
      <x:c r="E2463" t="n">
        <x:v>8.461</x:v>
      </x:c>
      <x:c r="F2463" t="n">
        <x:f>J2463*1</x:f>
        <x:v>8.231</x:v>
      </x:c>
      <x:c r="G2463" t="n">
        <x:v>41.4</x:v>
      </x:c>
      <x:c r="H2463" t="n">
        <x:v>133.47</x:v>
      </x:c>
      <x:c r="I2463" t="n">
        <x:f>F2463*1000*H2463</x:f>
        <x:v>1098591.57</x:v>
      </x:c>
      <x:c r="J2463" t="n">
        <x:v>8.231</x:v>
      </x:c>
    </x:row>
    <x:row r="2464">
      <x:c r="A2464" t="n">
        <x:v>2023</x:v>
      </x:c>
      <x:c r="B2464" t="str">
        <x:v>Marzo</x:v>
      </x:c>
      <x:c r="C2464" t="str">
        <x:v>RE436-0320-1</x:v>
      </x:c>
      <x:c r="D2464" t="str">
        <x:v>P.E MONSEIVANE</x:v>
      </x:c>
      <x:c r="E2464" t="n">
        <x:v>8.632</x:v>
      </x:c>
      <x:c r="F2464" t="n">
        <x:f>J2464*0.96</x:f>
        <x:v>8.06112</x:v>
      </x:c>
      <x:c r="G2464" t="n">
        <x:v>41.4</x:v>
      </x:c>
      <x:c r="H2464" t="n">
        <x:v>89.61</x:v>
      </x:c>
      <x:c r="I2464" t="n">
        <x:f>F2464*1000*H2464</x:f>
        <x:v>722356.9632000001</x:v>
      </x:c>
      <x:c r="J2464" t="n">
        <x:v>8.397</x:v>
      </x:c>
    </x:row>
    <x:row r="2465">
      <x:c r="A2465" t="n">
        <x:v>2023</x:v>
      </x:c>
      <x:c r="B2465" t="str">
        <x:v>Abril</x:v>
      </x:c>
      <x:c r="C2465" t="str">
        <x:v>RE436-0320-1</x:v>
      </x:c>
      <x:c r="D2465" t="str">
        <x:v>P.E MONSEIVANE</x:v>
      </x:c>
      <x:c r="E2465" t="n">
        <x:v>8.386</x:v>
      </x:c>
      <x:c r="F2465" t="n">
        <x:f>J2465*1.03</x:f>
        <x:v>8.47999</x:v>
      </x:c>
      <x:c r="G2465" t="n">
        <x:v>41.4</x:v>
      </x:c>
      <x:c r="H2465" t="n">
        <x:v>73.73</x:v>
      </x:c>
      <x:c r="I2465" t="n">
        <x:f>F2465*1000*H2465</x:f>
        <x:v>625229.6627000001</x:v>
      </x:c>
      <x:c r="J2465" t="n">
        <x:v>8.233</x:v>
      </x:c>
    </x:row>
    <x:row r="2466">
      <x:c r="A2466" t="n">
        <x:v>2023</x:v>
      </x:c>
      <x:c r="B2466" t="str">
        <x:v>Mayo</x:v>
      </x:c>
      <x:c r="C2466" t="str">
        <x:v>RE436-0320-1</x:v>
      </x:c>
      <x:c r="D2466" t="str">
        <x:v>P.E MONSEIVANE</x:v>
      </x:c>
      <x:c r="E2466" t="n">
        <x:v>7.827</x:v>
      </x:c>
      <x:c r="F2466" t="n">
        <x:f>J2466*0.99</x:f>
        <x:v>7.542809999999999</x:v>
      </x:c>
      <x:c r="G2466" t="n">
        <x:v>41.4</x:v>
      </x:c>
      <x:c r="H2466" t="n">
        <x:v>74.21</x:v>
      </x:c>
      <x:c r="I2466" t="n">
        <x:f>F2466*1000*H2466</x:f>
        <x:v>559751.9300999999</x:v>
      </x:c>
      <x:c r="J2466" t="n">
        <x:v>7.619</x:v>
      </x:c>
    </x:row>
    <x:row r="2467">
      <x:c r="A2467" t="n">
        <x:v>2023</x:v>
      </x:c>
      <x:c r="B2467" t="str">
        <x:v>Junio</x:v>
      </x:c>
      <x:c r="C2467" t="str">
        <x:v>RE436-0320-1</x:v>
      </x:c>
      <x:c r="D2467" t="str">
        <x:v>P.E MONSEIVANE</x:v>
      </x:c>
      <x:c r="E2467" t="n">
        <x:v>6.159</x:v>
      </x:c>
      <x:c r="F2467" t="n">
        <x:f>J2467*0.95</x:f>
        <x:v>5.71805</x:v>
      </x:c>
      <x:c r="G2467" t="n">
        <x:v>41.4</x:v>
      </x:c>
      <x:c r="H2467" t="n">
        <x:v>93.02</x:v>
      </x:c>
      <x:c r="I2467" t="n">
        <x:f>F2467*1000*H2467</x:f>
        <x:v>531893.0109999999</x:v>
      </x:c>
      <x:c r="J2467" t="n">
        <x:v>6.019</x:v>
      </x:c>
    </x:row>
    <x:row r="2468">
      <x:c r="A2468" t="n">
        <x:v>2023</x:v>
      </x:c>
      <x:c r="B2468" t="str">
        <x:v>Julio</x:v>
      </x:c>
      <x:c r="C2468" t="str">
        <x:v>RE436-0320-1</x:v>
      </x:c>
      <x:c r="D2468" t="str">
        <x:v>P.E MONSEIVANE</x:v>
      </x:c>
      <x:c r="E2468" t="n">
        <x:v>5.02</x:v>
      </x:c>
      <x:c r="F2468" t="n">
        <x:f>J2468*1.02</x:f>
        <x:v>5.0255399999999995</x:v>
      </x:c>
      <x:c r="G2468" t="n">
        <x:v>41.4</x:v>
      </x:c>
      <x:c r="H2468" t="n">
        <x:v>90.47</x:v>
      </x:c>
      <x:c r="I2468" t="n">
        <x:f>F2468*1000*H2468</x:f>
        <x:v>454660.6037999999</x:v>
      </x:c>
      <x:c r="J2468" t="n">
        <x:v>4.927</x:v>
      </x:c>
    </x:row>
    <x:row r="2469">
      <x:c r="A2469" t="n">
        <x:v>2023</x:v>
      </x:c>
      <x:c r="B2469" t="str">
        <x:v>Agosto</x:v>
      </x:c>
      <x:c r="C2469" t="str">
        <x:v>RE436-0320-1</x:v>
      </x:c>
      <x:c r="D2469" t="str">
        <x:v>P.E MONSEIVANE</x:v>
      </x:c>
      <x:c r="E2469" t="n">
        <x:v>6.504</x:v>
      </x:c>
      <x:c r="F2469" t="n">
        <x:f>J2469*0.98</x:f>
        <x:v>6.1867399999999995</x:v>
      </x:c>
      <x:c r="G2469" t="n">
        <x:v>41.4</x:v>
      </x:c>
      <x:c r="H2469" t="n">
        <x:v>96.05</x:v>
      </x:c>
      <x:c r="I2469" t="n">
        <x:f>F2469*1000*H2469</x:f>
        <x:v>594236.377</x:v>
      </x:c>
      <x:c r="J2469" t="n">
        <x:v>6.313</x:v>
      </x:c>
    </x:row>
    <x:row r="2470">
      <x:c r="A2470" t="n">
        <x:v>2023</x:v>
      </x:c>
      <x:c r="B2470" t="str">
        <x:v>Septiembre</x:v>
      </x:c>
      <x:c r="C2470" t="str">
        <x:v>RE436-0320-1</x:v>
      </x:c>
      <x:c r="D2470" t="str">
        <x:v>P.E MONSEIVANE</x:v>
      </x:c>
      <x:c r="E2470" t="n">
        <x:v>6.549</x:v>
      </x:c>
      <x:c r="F2470" t="n">
        <x:f>J2470*0.94</x:f>
        <x:v>6.040439999999999</x:v>
      </x:c>
      <x:c r="G2470" t="n">
        <x:v>41.4</x:v>
      </x:c>
      <x:c r="H2470" t="n">
        <x:v>103.34</x:v>
      </x:c>
      <x:c r="I2470" t="n">
        <x:f>F2470*1000*H2470</x:f>
        <x:v>624219.0695999999</x:v>
      </x:c>
      <x:c r="J2470" t="n">
        <x:v>6.426</x:v>
      </x:c>
    </x:row>
    <x:row r="2471">
      <x:c r="A2471" t="n">
        <x:v>2023</x:v>
      </x:c>
      <x:c r="B2471" t="str">
        <x:v>Octubre</x:v>
      </x:c>
      <x:c r="C2471" t="str">
        <x:v>RE436-0320-1</x:v>
      </x:c>
      <x:c r="D2471" t="str">
        <x:v>P.E MONSEIVANE</x:v>
      </x:c>
      <x:c r="E2471" t="n">
        <x:v>9.339</x:v>
      </x:c>
      <x:c r="F2471" t="n">
        <x:f>J2471*1.01</x:f>
        <x:v>9.23746</x:v>
      </x:c>
      <x:c r="G2471" t="n">
        <x:v>41.4</x:v>
      </x:c>
      <x:c r="H2471" t="n">
        <x:v>90.14</x:v>
      </x:c>
      <x:c r="I2471" t="n">
        <x:f>F2471*1000*H2471</x:f>
        <x:v>832664.6444000001</x:v>
      </x:c>
      <x:c r="J2471" t="n">
        <x:v>9.146</x:v>
      </x:c>
    </x:row>
    <x:row r="2472">
      <x:c r="A2472" t="n">
        <x:v>2023</x:v>
      </x:c>
      <x:c r="B2472" t="str">
        <x:v>Noviembre</x:v>
      </x:c>
      <x:c r="C2472" t="str">
        <x:v>RE436-0320-1</x:v>
      </x:c>
      <x:c r="D2472" t="str">
        <x:v>P.E MONSEIVANE</x:v>
      </x:c>
      <x:c r="E2472" t="n">
        <x:v>11.071</x:v>
      </x:c>
      <x:c r="F2472" t="n">
        <x:f>J2472*0.97</x:f>
        <x:v>10.48376</x:v>
      </x:c>
      <x:c r="G2472" t="n">
        <x:v>41.4</x:v>
      </x:c>
      <x:c r="H2472" t="n">
        <x:v>63.45</x:v>
      </x:c>
      <x:c r="I2472" t="n">
        <x:f>F2472*1000*H2472</x:f>
        <x:v>665194.572</x:v>
      </x:c>
      <x:c r="J2472" t="n">
        <x:v>10.808</x:v>
      </x:c>
    </x:row>
    <x:row r="2473">
      <x:c r="A2473" t="n">
        <x:v>2023</x:v>
      </x:c>
      <x:c r="B2473" t="str">
        <x:v>Diciembre</x:v>
      </x:c>
      <x:c r="C2473" t="str">
        <x:v>RE436-0320-1</x:v>
      </x:c>
      <x:c r="D2473" t="str">
        <x:v>P.E MONSEIVANE</x:v>
      </x:c>
      <x:c r="E2473" t="n">
        <x:v>12.272</x:v>
      </x:c>
      <x:c r="F2473" t="n">
        <x:f>J2473*1.04</x:f>
        <x:v>12.506</x:v>
      </x:c>
      <x:c r="G2473" t="n">
        <x:v>41.4</x:v>
      </x:c>
      <x:c r="H2473" t="n">
        <x:v>72.17</x:v>
      </x:c>
      <x:c r="I2473" t="n">
        <x:f>F2473*1000*H2473</x:f>
        <x:v>902558.02</x:v>
      </x:c>
      <x:c r="J2473" t="n">
        <x:v>12.025</x:v>
      </x:c>
    </x:row>
    <x:row r="2474">
      <x:c r="A2474" t="n">
        <x:v>2023</x:v>
      </x:c>
      <x:c r="B2474" t="str">
        <x:v>Enero</x:v>
      </x:c>
      <x:c r="C2474" t="str">
        <x:v>RE436-0353-1</x:v>
      </x:c>
      <x:c r="D2474" t="str">
        <x:v>P.E. AMPLIACION DE ALABE-SOAN (AMPL. DE RE-4387)</x:v>
      </x:c>
      <x:c r="E2474" t="n">
        <x:v>3.278</x:v>
      </x:c>
      <x:c r="F2474" t="n">
        <x:f>J2474*1</x:f>
        <x:v>3.174</x:v>
      </x:c>
      <x:c r="G2474" t="n">
        <x:v>12.75</x:v>
      </x:c>
      <x:c r="H2474" t="n">
        <x:v>69.55</x:v>
      </x:c>
      <x:c r="I2474" t="n">
        <x:f>F2474*1000*H2474</x:f>
        <x:v>220751.69999999998</x:v>
      </x:c>
      <x:c r="J2474" t="n">
        <x:v>3.174</x:v>
      </x:c>
    </x:row>
    <x:row r="2475">
      <x:c r="A2475" t="n">
        <x:v>2023</x:v>
      </x:c>
      <x:c r="B2475" t="str">
        <x:v>Febrero</x:v>
      </x:c>
      <x:c r="C2475" t="str">
        <x:v>RE436-0353-1</x:v>
      </x:c>
      <x:c r="D2475" t="str">
        <x:v>P.E. AMPLIACION DE ALABE-SOAN (AMPL. DE RE-4387)</x:v>
      </x:c>
      <x:c r="E2475" t="n">
        <x:v>2.686</x:v>
      </x:c>
      <x:c r="F2475" t="n">
        <x:f>J2475*0.96</x:f>
        <x:v>2.51328</x:v>
      </x:c>
      <x:c r="G2475" t="n">
        <x:v>12.75</x:v>
      </x:c>
      <x:c r="H2475" t="n">
        <x:v>133.47</x:v>
      </x:c>
      <x:c r="I2475" t="n">
        <x:f>F2475*1000*H2475</x:f>
        <x:v>335447.48159999994</x:v>
      </x:c>
      <x:c r="J2475" t="n">
        <x:v>2.618</x:v>
      </x:c>
    </x:row>
    <x:row r="2476">
      <x:c r="A2476" t="n">
        <x:v>2023</x:v>
      </x:c>
      <x:c r="B2476" t="str">
        <x:v>Marzo</x:v>
      </x:c>
      <x:c r="C2476" t="str">
        <x:v>RE436-0353-1</x:v>
      </x:c>
      <x:c r="D2476" t="str">
        <x:v>P.E. AMPLIACION DE ALABE-SOAN (AMPL. DE RE-4387)</x:v>
      </x:c>
      <x:c r="E2476" t="n">
        <x:v>2.951</x:v>
      </x:c>
      <x:c r="F2476" t="n">
        <x:f>J2476*1.03</x:f>
        <x:v>2.96125</x:v>
      </x:c>
      <x:c r="G2476" t="n">
        <x:v>12.75</x:v>
      </x:c>
      <x:c r="H2476" t="n">
        <x:v>89.61</x:v>
      </x:c>
      <x:c r="I2476" t="n">
        <x:f>F2476*1000*H2476</x:f>
        <x:v>265357.6125</x:v>
      </x:c>
      <x:c r="J2476" t="n">
        <x:v>2.875</x:v>
      </x:c>
    </x:row>
    <x:row r="2477">
      <x:c r="A2477" t="n">
        <x:v>2023</x:v>
      </x:c>
      <x:c r="B2477" t="str">
        <x:v>Abril</x:v>
      </x:c>
      <x:c r="C2477" t="str">
        <x:v>RE436-0353-1</x:v>
      </x:c>
      <x:c r="D2477" t="str">
        <x:v>P.E. AMPLIACION DE ALABE-SOAN (AMPL. DE RE-4387)</x:v>
      </x:c>
      <x:c r="E2477" t="n">
        <x:v>2.609</x:v>
      </x:c>
      <x:c r="F2477" t="n">
        <x:f>J2477*0.99</x:f>
        <x:v>2.51856</x:v>
      </x:c>
      <x:c r="G2477" t="n">
        <x:v>12.75</x:v>
      </x:c>
      <x:c r="H2477" t="n">
        <x:v>73.73</x:v>
      </x:c>
      <x:c r="I2477" t="n">
        <x:f>F2477*1000*H2477</x:f>
        <x:v>185693.4288</x:v>
      </x:c>
      <x:c r="J2477" t="n">
        <x:v>2.544</x:v>
      </x:c>
    </x:row>
    <x:row r="2478">
      <x:c r="A2478" t="n">
        <x:v>2023</x:v>
      </x:c>
      <x:c r="B2478" t="str">
        <x:v>Mayo</x:v>
      </x:c>
      <x:c r="C2478" t="str">
        <x:v>RE436-0353-1</x:v>
      </x:c>
      <x:c r="D2478" t="str">
        <x:v>P.E. AMPLIACION DE ALABE-SOAN (AMPL. DE RE-4387)</x:v>
      </x:c>
      <x:c r="E2478" t="n">
        <x:v>2.256</x:v>
      </x:c>
      <x:c r="F2478" t="n">
        <x:f>J2478*0.95</x:f>
        <x:v>2.0776499999999998</x:v>
      </x:c>
      <x:c r="G2478" t="n">
        <x:v>12.75</x:v>
      </x:c>
      <x:c r="H2478" t="n">
        <x:v>74.21</x:v>
      </x:c>
      <x:c r="I2478" t="n">
        <x:f>F2478*1000*H2478</x:f>
        <x:v>154182.40649999995</x:v>
      </x:c>
      <x:c r="J2478" t="n">
        <x:v>2.187</x:v>
      </x:c>
    </x:row>
    <x:row r="2479">
      <x:c r="A2479" t="n">
        <x:v>2023</x:v>
      </x:c>
      <x:c r="B2479" t="str">
        <x:v>Junio</x:v>
      </x:c>
      <x:c r="C2479" t="str">
        <x:v>RE436-0353-1</x:v>
      </x:c>
      <x:c r="D2479" t="str">
        <x:v>P.E. AMPLIACION DE ALABE-SOAN (AMPL. DE RE-4387)</x:v>
      </x:c>
      <x:c r="E2479" t="n">
        <x:v>1.807</x:v>
      </x:c>
      <x:c r="F2479" t="n">
        <x:f>J2479*1.02</x:f>
        <x:v>1.79112</x:v>
      </x:c>
      <x:c r="G2479" t="n">
        <x:v>12.75</x:v>
      </x:c>
      <x:c r="H2479" t="n">
        <x:v>93.02</x:v>
      </x:c>
      <x:c r="I2479" t="n">
        <x:f>F2479*1000*H2479</x:f>
        <x:v>166609.9824</x:v>
      </x:c>
      <x:c r="J2479" t="n">
        <x:v>1.756</x:v>
      </x:c>
    </x:row>
    <x:row r="2480">
      <x:c r="A2480" t="n">
        <x:v>2023</x:v>
      </x:c>
      <x:c r="B2480" t="str">
        <x:v>Julio</x:v>
      </x:c>
      <x:c r="C2480" t="str">
        <x:v>RE436-0353-1</x:v>
      </x:c>
      <x:c r="D2480" t="str">
        <x:v>P.E. AMPLIACION DE ALABE-SOAN (AMPL. DE RE-4387)</x:v>
      </x:c>
      <x:c r="E2480" t="n">
        <x:v>1.555</x:v>
      </x:c>
      <x:c r="F2480" t="n">
        <x:f>J2480*0.98</x:f>
        <x:v>1.4798</x:v>
      </x:c>
      <x:c r="G2480" t="n">
        <x:v>12.75</x:v>
      </x:c>
      <x:c r="H2480" t="n">
        <x:v>90.47</x:v>
      </x:c>
      <x:c r="I2480" t="n">
        <x:f>F2480*1000*H2480</x:f>
        <x:v>133877.506</x:v>
      </x:c>
      <x:c r="J2480" t="n">
        <x:v>1.51</x:v>
      </x:c>
    </x:row>
    <x:row r="2481">
      <x:c r="A2481" t="n">
        <x:v>2023</x:v>
      </x:c>
      <x:c r="B2481" t="str">
        <x:v>Agosto</x:v>
      </x:c>
      <x:c r="C2481" t="str">
        <x:v>RE436-0353-1</x:v>
      </x:c>
      <x:c r="D2481" t="str">
        <x:v>P.E. AMPLIACION DE ALABE-SOAN (AMPL. DE RE-4387)</x:v>
      </x:c>
      <x:c r="E2481" t="n">
        <x:v>1.685</x:v>
      </x:c>
      <x:c r="F2481" t="n">
        <x:f>J2481*0.94</x:f>
        <x:v>1.55006</x:v>
      </x:c>
      <x:c r="G2481" t="n">
        <x:v>12.75</x:v>
      </x:c>
      <x:c r="H2481" t="n">
        <x:v>96.05</x:v>
      </x:c>
      <x:c r="I2481" t="n">
        <x:f>F2481*1000*H2481</x:f>
        <x:v>148883.26299999998</x:v>
      </x:c>
      <x:c r="J2481" t="n">
        <x:v>1.649</x:v>
      </x:c>
    </x:row>
    <x:row r="2482">
      <x:c r="A2482" t="n">
        <x:v>2023</x:v>
      </x:c>
      <x:c r="B2482" t="str">
        <x:v>Septiembre</x:v>
      </x:c>
      <x:c r="C2482" t="str">
        <x:v>RE436-0353-1</x:v>
      </x:c>
      <x:c r="D2482" t="str">
        <x:v>P.E. AMPLIACION DE ALABE-SOAN (AMPL. DE RE-4387)</x:v>
      </x:c>
      <x:c r="E2482" t="n">
        <x:v>2.043</x:v>
      </x:c>
      <x:c r="F2482" t="n">
        <x:f>J2482*1.01</x:f>
        <x:v>2.01192</x:v>
      </x:c>
      <x:c r="G2482" t="n">
        <x:v>12.75</x:v>
      </x:c>
      <x:c r="H2482" t="n">
        <x:v>103.34</x:v>
      </x:c>
      <x:c r="I2482" t="n">
        <x:f>F2482*1000*H2482</x:f>
        <x:v>207911.81279999999</x:v>
      </x:c>
      <x:c r="J2482" t="n">
        <x:v>1.992</x:v>
      </x:c>
    </x:row>
    <x:row r="2483">
      <x:c r="A2483" t="n">
        <x:v>2023</x:v>
      </x:c>
      <x:c r="B2483" t="str">
        <x:v>Octubre</x:v>
      </x:c>
      <x:c r="C2483" t="str">
        <x:v>RE436-0353-1</x:v>
      </x:c>
      <x:c r="D2483" t="str">
        <x:v>P.E. AMPLIACION DE ALABE-SOAN (AMPL. DE RE-4387)</x:v>
      </x:c>
      <x:c r="E2483" t="n">
        <x:v>2.381</x:v>
      </x:c>
      <x:c r="F2483" t="n">
        <x:f>J2483*0.97</x:f>
        <x:v>2.23973</x:v>
      </x:c>
      <x:c r="G2483" t="n">
        <x:v>12.75</x:v>
      </x:c>
      <x:c r="H2483" t="n">
        <x:v>90.14</x:v>
      </x:c>
      <x:c r="I2483" t="n">
        <x:f>F2483*1000*H2483</x:f>
        <x:v>201889.2622</x:v>
      </x:c>
      <x:c r="J2483" t="n">
        <x:v>2.309</x:v>
      </x:c>
    </x:row>
    <x:row r="2484">
      <x:c r="A2484" t="n">
        <x:v>2023</x:v>
      </x:c>
      <x:c r="B2484" t="str">
        <x:v>Noviembre</x:v>
      </x:c>
      <x:c r="C2484" t="str">
        <x:v>RE436-0353-1</x:v>
      </x:c>
      <x:c r="D2484" t="str">
        <x:v>P.E. AMPLIACION DE ALABE-SOAN (AMPL. DE RE-4387)</x:v>
      </x:c>
      <x:c r="E2484" t="n">
        <x:v>3.297</x:v>
      </x:c>
      <x:c r="F2484" t="n">
        <x:f>J2484*1.04</x:f>
        <x:v>3.3748</x:v>
      </x:c>
      <x:c r="G2484" t="n">
        <x:v>12.75</x:v>
      </x:c>
      <x:c r="H2484" t="n">
        <x:v>63.45</x:v>
      </x:c>
      <x:c r="I2484" t="n">
        <x:f>F2484*1000*H2484</x:f>
        <x:v>214131.06000000003</x:v>
      </x:c>
      <x:c r="J2484" t="n">
        <x:v>3.245</x:v>
      </x:c>
    </x:row>
    <x:row r="2485">
      <x:c r="A2485" t="n">
        <x:v>2023</x:v>
      </x:c>
      <x:c r="B2485" t="str">
        <x:v>Diciembre</x:v>
      </x:c>
      <x:c r="C2485" t="str">
        <x:v>RE436-0353-1</x:v>
      </x:c>
      <x:c r="D2485" t="str">
        <x:v>P.E. AMPLIACION DE ALABE-SOAN (AMPL. DE RE-4387)</x:v>
      </x:c>
      <x:c r="E2485" t="n">
        <x:v>3.594</x:v>
      </x:c>
      <x:c r="F2485" t="n">
        <x:f>J2485*1</x:f>
        <x:v>3.493</x:v>
      </x:c>
      <x:c r="G2485" t="n">
        <x:v>12.75</x:v>
      </x:c>
      <x:c r="H2485" t="n">
        <x:v>72.17</x:v>
      </x:c>
      <x:c r="I2485" t="n">
        <x:f>F2485*1000*H2485</x:f>
        <x:v>252089.81</x:v>
      </x:c>
      <x:c r="J2485" t="n">
        <x:v>3.493</x:v>
      </x:c>
    </x:row>
    <x:row r="2486">
      <x:c r="A2486" t="n">
        <x:v>2023</x:v>
      </x:c>
      <x:c r="B2486" t="str">
        <x:v>Enero</x:v>
      </x:c>
      <x:c r="C2486" t="str">
        <x:v>RE436-0478-1</x:v>
      </x:c>
      <x:c r="D2486" t="str">
        <x:v>P.E. CORZAN</x:v>
      </x:c>
      <x:c r="E2486" t="n">
        <x:v>9.728333333333333</x:v>
      </x:c>
      <x:c r="F2486" t="n">
        <x:f>J2486*0.96</x:f>
        <x:v>9.1616</x:v>
      </x:c>
      <x:c r="G2486" t="n">
        <x:v>36</x:v>
      </x:c>
      <x:c r="H2486" t="n">
        <x:v>69.55</x:v>
      </x:c>
      <x:c r="I2486" t="n">
        <x:f>F2486*1000*H2486</x:f>
        <x:v>637189.28</x:v>
      </x:c>
      <x:c r="J2486" t="n">
        <x:v>9.543333333333333</x:v>
      </x:c>
    </x:row>
    <x:row r="2487">
      <x:c r="A2487" t="n">
        <x:v>2023</x:v>
      </x:c>
      <x:c r="B2487" t="str">
        <x:v>Enero</x:v>
      </x:c>
      <x:c r="C2487" t="str">
        <x:v>RE436-0478-2</x:v>
      </x:c>
      <x:c r="D2487" t="str">
        <x:v>P.E. CORZAN</x:v>
      </x:c>
      <x:c r="E2487" t="n">
        <x:v>1.945666666666666</x:v>
      </x:c>
      <x:c r="F2487" t="n">
        <x:f>J2487*0.96</x:f>
        <x:v>1.8323200000000002</x:v>
      </x:c>
      <x:c r="G2487" t="n">
        <x:v>7.2</x:v>
      </x:c>
      <x:c r="H2487" t="n">
        <x:v>69.55</x:v>
      </x:c>
      <x:c r="I2487" t="n">
        <x:f>F2487*1000*H2487</x:f>
        <x:v>127437.856</x:v>
      </x:c>
      <x:c r="J2487" t="n">
        <x:v>1.908666666666667</x:v>
      </x:c>
    </x:row>
    <x:row r="2488">
      <x:c r="A2488" t="n">
        <x:v>2023</x:v>
      </x:c>
      <x:c r="B2488" t="str">
        <x:v>Febrero</x:v>
      </x:c>
      <x:c r="C2488" t="str">
        <x:v>RE436-0478-1</x:v>
      </x:c>
      <x:c r="D2488" t="str">
        <x:v>P.E. CORZAN</x:v>
      </x:c>
      <x:c r="E2488" t="n">
        <x:v>7.733333333333333</x:v>
      </x:c>
      <x:c r="F2488" t="n">
        <x:f>J2488*1.03</x:f>
        <x:v>7.76105</x:v>
      </x:c>
      <x:c r="G2488" t="n">
        <x:v>36</x:v>
      </x:c>
      <x:c r="H2488" t="n">
        <x:v>133.47</x:v>
      </x:c>
      <x:c r="I2488" t="n">
        <x:f>F2488*1000*H2488</x:f>
        <x:v>1035867.3435</x:v>
      </x:c>
      <x:c r="J2488" t="n">
        <x:v>7.535</x:v>
      </x:c>
    </x:row>
    <x:row r="2489">
      <x:c r="A2489" t="n">
        <x:v>2023</x:v>
      </x:c>
      <x:c r="B2489" t="str">
        <x:v>Febrero</x:v>
      </x:c>
      <x:c r="C2489" t="str">
        <x:v>RE436-0478-2</x:v>
      </x:c>
      <x:c r="D2489" t="str">
        <x:v>P.E. CORZAN</x:v>
      </x:c>
      <x:c r="E2489" t="n">
        <x:v>1.546666666666666</x:v>
      </x:c>
      <x:c r="F2489" t="n">
        <x:f>J2489*1.03</x:f>
        <x:v>1.5522099999999996</x:v>
      </x:c>
      <x:c r="G2489" t="n">
        <x:v>7.2</x:v>
      </x:c>
      <x:c r="H2489" t="n">
        <x:v>133.47</x:v>
      </x:c>
      <x:c r="I2489" t="n">
        <x:f>F2489*1000*H2489</x:f>
        <x:v>207173.46869999994</x:v>
      </x:c>
      <x:c r="J2489" t="n">
        <x:v>1.5069999999999997</x:v>
      </x:c>
    </x:row>
    <x:row r="2490">
      <x:c r="A2490" t="n">
        <x:v>2023</x:v>
      </x:c>
      <x:c r="B2490" t="str">
        <x:v>Marzo</x:v>
      </x:c>
      <x:c r="C2490" t="str">
        <x:v>RE436-0478-1</x:v>
      </x:c>
      <x:c r="D2490" t="str">
        <x:v>P.E. CORZAN</x:v>
      </x:c>
      <x:c r="E2490" t="n">
        <x:v>8.383333333333333</x:v>
      </x:c>
      <x:c r="F2490" t="n">
        <x:f>J2490*0.99</x:f>
        <x:v>8.16915</x:v>
      </x:c>
      <x:c r="G2490" t="n">
        <x:v>36</x:v>
      </x:c>
      <x:c r="H2490" t="n">
        <x:v>89.61</x:v>
      </x:c>
      <x:c r="I2490" t="n">
        <x:f>F2490*1000*H2490</x:f>
        <x:v>732037.5315</x:v>
      </x:c>
      <x:c r="J2490" t="n">
        <x:v>8.251666666666667</x:v>
      </x:c>
    </x:row>
    <x:row r="2491">
      <x:c r="A2491" t="n">
        <x:v>2023</x:v>
      </x:c>
      <x:c r="B2491" t="str">
        <x:v>Marzo</x:v>
      </x:c>
      <x:c r="C2491" t="str">
        <x:v>RE436-0478-2</x:v>
      </x:c>
      <x:c r="D2491" t="str">
        <x:v>P.E. CORZAN</x:v>
      </x:c>
      <x:c r="E2491" t="n">
        <x:v>1.6766666666666676</x:v>
      </x:c>
      <x:c r="F2491" t="n">
        <x:f>J2491*0.99</x:f>
        <x:v>1.633829999999999</x:v>
      </x:c>
      <x:c r="G2491" t="n">
        <x:v>7.2</x:v>
      </x:c>
      <x:c r="H2491" t="n">
        <x:v>89.61</x:v>
      </x:c>
      <x:c r="I2491" t="n">
        <x:f>F2491*1000*H2491</x:f>
        <x:v>146407.50629999992</x:v>
      </x:c>
      <x:c r="J2491" t="n">
        <x:v>1.6503333333333323</x:v>
      </x:c>
    </x:row>
    <x:row r="2492">
      <x:c r="A2492" t="n">
        <x:v>2023</x:v>
      </x:c>
      <x:c r="B2492" t="str">
        <x:v>Abril</x:v>
      </x:c>
      <x:c r="C2492" t="str">
        <x:v>RE436-0478-1</x:v>
      </x:c>
      <x:c r="D2492" t="str">
        <x:v>P.E. CORZAN</x:v>
      </x:c>
      <x:c r="E2492" t="n">
        <x:v>8.203333333333333</x:v>
      </x:c>
      <x:c r="F2492" t="n">
        <x:f>J2492*0.95</x:f>
        <x:v>7.606333333333332</x:v>
      </x:c>
      <x:c r="G2492" t="n">
        <x:v>36</x:v>
      </x:c>
      <x:c r="H2492" t="n">
        <x:v>73.73</x:v>
      </x:c>
      <x:c r="I2492" t="n">
        <x:f>F2492*1000*H2492</x:f>
        <x:v>560814.9566666667</x:v>
      </x:c>
      <x:c r="J2492" t="n">
        <x:v>8.006666666666666</x:v>
      </x:c>
    </x:row>
    <x:row r="2493">
      <x:c r="A2493" t="n">
        <x:v>2023</x:v>
      </x:c>
      <x:c r="B2493" t="str">
        <x:v>Abril</x:v>
      </x:c>
      <x:c r="C2493" t="str">
        <x:v>RE436-0478-2</x:v>
      </x:c>
      <x:c r="D2493" t="str">
        <x:v>P.E. CORZAN</x:v>
      </x:c>
      <x:c r="E2493" t="n">
        <x:v>1.6406666666666663</x:v>
      </x:c>
      <x:c r="F2493" t="n">
        <x:f>J2493*0.95</x:f>
        <x:v>1.5212666666666679</x:v>
      </x:c>
      <x:c r="G2493" t="n">
        <x:v>7.2</x:v>
      </x:c>
      <x:c r="H2493" t="n">
        <x:v>73.73</x:v>
      </x:c>
      <x:c r="I2493" t="n">
        <x:f>F2493*1000*H2493</x:f>
        <x:v>112162.99133333343</x:v>
      </x:c>
      <x:c r="J2493" t="n">
        <x:v>1.6013333333333346</x:v>
      </x:c>
    </x:row>
    <x:row r="2494">
      <x:c r="A2494" t="n">
        <x:v>2023</x:v>
      </x:c>
      <x:c r="B2494" t="str">
        <x:v>Mayo</x:v>
      </x:c>
      <x:c r="C2494" t="str">
        <x:v>RE436-0478-1</x:v>
      </x:c>
      <x:c r="D2494" t="str">
        <x:v>P.E. CORZAN</x:v>
      </x:c>
      <x:c r="E2494" t="n">
        <x:v>6.163333333333333</x:v>
      </x:c>
      <x:c r="F2494" t="n">
        <x:f>J2494*1.02</x:f>
        <x:v>6.18885</x:v>
      </x:c>
      <x:c r="G2494" t="n">
        <x:v>36</x:v>
      </x:c>
      <x:c r="H2494" t="n">
        <x:v>74.21</x:v>
      </x:c>
      <x:c r="I2494" t="n">
        <x:f>F2494*1000*H2494</x:f>
        <x:v>459274.5585</x:v>
      </x:c>
      <x:c r="J2494" t="n">
        <x:v>6.0675</x:v>
      </x:c>
    </x:row>
    <x:row r="2495">
      <x:c r="A2495" t="n">
        <x:v>2023</x:v>
      </x:c>
      <x:c r="B2495" t="str">
        <x:v>Mayo</x:v>
      </x:c>
      <x:c r="C2495" t="str">
        <x:v>RE436-0478-2</x:v>
      </x:c>
      <x:c r="D2495" t="str">
        <x:v>P.E. CORZAN</x:v>
      </x:c>
      <x:c r="E2495" t="n">
        <x:v>1.2326666666666668</x:v>
      </x:c>
      <x:c r="F2495" t="n">
        <x:f>J2495*1.02</x:f>
        <x:v>1.2377699999999998</x:v>
      </x:c>
      <x:c r="G2495" t="n">
        <x:v>7.2</x:v>
      </x:c>
      <x:c r="H2495" t="n">
        <x:v>74.21</x:v>
      </x:c>
      <x:c r="I2495" t="n">
        <x:f>F2495*1000*H2495</x:f>
        <x:v>91854.91169999997</x:v>
      </x:c>
      <x:c r="J2495" t="n">
        <x:v>1.2134999999999998</x:v>
      </x:c>
    </x:row>
    <x:row r="2496">
      <x:c r="A2496" t="n">
        <x:v>2023</x:v>
      </x:c>
      <x:c r="B2496" t="str">
        <x:v>Junio</x:v>
      </x:c>
      <x:c r="C2496" t="str">
        <x:v>RE436-0478-1</x:v>
      </x:c>
      <x:c r="D2496" t="str">
        <x:v>P.E. CORZAN</x:v>
      </x:c>
      <x:c r="E2496" t="n">
        <x:v>5.210833333333333</x:v>
      </x:c>
      <x:c r="F2496" t="n">
        <x:f>J2496*0.98</x:f>
        <x:v>4.9833</x:v>
      </x:c>
      <x:c r="G2496" t="n">
        <x:v>36</x:v>
      </x:c>
      <x:c r="H2496" t="n">
        <x:v>93.02</x:v>
      </x:c>
      <x:c r="I2496" t="n">
        <x:f>F2496*1000*H2496</x:f>
        <x:v>463546.566</x:v>
      </x:c>
      <x:c r="J2496" t="n">
        <x:v>5.085</x:v>
      </x:c>
    </x:row>
    <x:row r="2497">
      <x:c r="A2497" t="n">
        <x:v>2023</x:v>
      </x:c>
      <x:c r="B2497" t="str">
        <x:v>Junio</x:v>
      </x:c>
      <x:c r="C2497" t="str">
        <x:v>RE436-0478-2</x:v>
      </x:c>
      <x:c r="D2497" t="str">
        <x:v>P.E. CORZAN</x:v>
      </x:c>
      <x:c r="E2497" t="n">
        <x:v>1.0421666666666667</x:v>
      </x:c>
      <x:c r="F2497" t="n">
        <x:f>J2497*0.98</x:f>
        <x:v>0.9966600000000003</x:v>
      </x:c>
      <x:c r="G2497" t="n">
        <x:v>7.2</x:v>
      </x:c>
      <x:c r="H2497" t="n">
        <x:v>93.02</x:v>
      </x:c>
      <x:c r="I2497" t="n">
        <x:f>F2497*1000*H2497</x:f>
        <x:v>92709.31320000002</x:v>
      </x:c>
      <x:c r="J2497" t="n">
        <x:v>1.0170000000000003</x:v>
      </x:c>
    </x:row>
    <x:row r="2498">
      <x:c r="A2498" t="n">
        <x:v>2023</x:v>
      </x:c>
      <x:c r="B2498" t="str">
        <x:v>Julio</x:v>
      </x:c>
      <x:c r="C2498" t="str">
        <x:v>RE436-0478-1</x:v>
      </x:c>
      <x:c r="D2498" t="str">
        <x:v>P.E. CORZAN</x:v>
      </x:c>
      <x:c r="E2498" t="n">
        <x:v>4.69</x:v>
      </x:c>
      <x:c r="F2498" t="n">
        <x:f>J2498*0.94</x:f>
        <x:v>4.299716666666667</x:v>
      </x:c>
      <x:c r="G2498" t="n">
        <x:v>36</x:v>
      </x:c>
      <x:c r="H2498" t="n">
        <x:v>90.47</x:v>
      </x:c>
      <x:c r="I2498" t="n">
        <x:f>F2498*1000*H2498</x:f>
        <x:v>388995.3668333334</x:v>
      </x:c>
      <x:c r="J2498" t="n">
        <x:v>4.574166666666667</x:v>
      </x:c>
    </x:row>
    <x:row r="2499">
      <x:c r="A2499" t="n">
        <x:v>2023</x:v>
      </x:c>
      <x:c r="B2499" t="str">
        <x:v>Julio</x:v>
      </x:c>
      <x:c r="C2499" t="str">
        <x:v>RE436-0478-2</x:v>
      </x:c>
      <x:c r="D2499" t="str">
        <x:v>P.E. CORZAN</x:v>
      </x:c>
      <x:c r="E2499" t="n">
        <x:v>0.9379999999999997</x:v>
      </x:c>
      <x:c r="F2499" t="n">
        <x:f>J2499*0.94</x:f>
        <x:v>0.8599433333333332</x:v>
      </x:c>
      <x:c r="G2499" t="n">
        <x:v>7.2</x:v>
      </x:c>
      <x:c r="H2499" t="n">
        <x:v>90.47</x:v>
      </x:c>
      <x:c r="I2499" t="n">
        <x:f>F2499*1000*H2499</x:f>
        <x:v>77799.07336666665</x:v>
      </x:c>
      <x:c r="J2499" t="n">
        <x:v>0.9148333333333332</x:v>
      </x:c>
    </x:row>
    <x:row r="2500">
      <x:c r="A2500" t="n">
        <x:v>2023</x:v>
      </x:c>
      <x:c r="B2500" t="str">
        <x:v>Agosto</x:v>
      </x:c>
      <x:c r="C2500" t="str">
        <x:v>RE436-0478-1</x:v>
      </x:c>
      <x:c r="D2500" t="str">
        <x:v>P.E. CORZAN</x:v>
      </x:c>
      <x:c r="E2500" t="n">
        <x:v>5.6825</x:v>
      </x:c>
      <x:c r="F2500" t="n">
        <x:f>J2500*1.01</x:f>
        <x:v>5.581933333333333</x:v>
      </x:c>
      <x:c r="G2500" t="n">
        <x:v>36</x:v>
      </x:c>
      <x:c r="H2500" t="n">
        <x:v>96.05</x:v>
      </x:c>
      <x:c r="I2500" t="n">
        <x:f>F2500*1000*H2500</x:f>
        <x:v>536144.6966666665</x:v>
      </x:c>
      <x:c r="J2500" t="n">
        <x:v>5.526666666666666</x:v>
      </x:c>
    </x:row>
    <x:row r="2501">
      <x:c r="A2501" t="n">
        <x:v>2023</x:v>
      </x:c>
      <x:c r="B2501" t="str">
        <x:v>Agosto</x:v>
      </x:c>
      <x:c r="C2501" t="str">
        <x:v>RE436-0478-2</x:v>
      </x:c>
      <x:c r="D2501" t="str">
        <x:v>P.E. CORZAN</x:v>
      </x:c>
      <x:c r="E2501" t="n">
        <x:v>1.1364999999999998</x:v>
      </x:c>
      <x:c r="F2501" t="n">
        <x:f>J2501*1.01</x:f>
        <x:v>1.1163866666666666</x:v>
      </x:c>
      <x:c r="G2501" t="n">
        <x:v>7.2</x:v>
      </x:c>
      <x:c r="H2501" t="n">
        <x:v>96.05</x:v>
      </x:c>
      <x:c r="I2501" t="n">
        <x:f>F2501*1000*H2501</x:f>
        <x:v>107228.93933333331</x:v>
      </x:c>
      <x:c r="J2501" t="n">
        <x:v>1.1053333333333333</x:v>
      </x:c>
    </x:row>
    <x:row r="2502">
      <x:c r="A2502" t="n">
        <x:v>2023</x:v>
      </x:c>
      <x:c r="B2502" t="str">
        <x:v>Septiembre</x:v>
      </x:c>
      <x:c r="C2502" t="str">
        <x:v>RE436-0478-1</x:v>
      </x:c>
      <x:c r="D2502" t="str">
        <x:v>P.E. CORZAN</x:v>
      </x:c>
      <x:c r="E2502" t="n">
        <x:v>7.274166666666667</x:v>
      </x:c>
      <x:c r="F2502" t="n">
        <x:f>J2502*0.97</x:f>
        <x:v>6.854666666666667</x:v>
      </x:c>
      <x:c r="G2502" t="n">
        <x:v>36</x:v>
      </x:c>
      <x:c r="H2502" t="n">
        <x:v>103.34</x:v>
      </x:c>
      <x:c r="I2502" t="n">
        <x:f>F2502*1000*H2502</x:f>
        <x:v>708361.2533333334</x:v>
      </x:c>
      <x:c r="J2502" t="n">
        <x:v>7.066666666666666</x:v>
      </x:c>
    </x:row>
    <x:row r="2503">
      <x:c r="A2503" t="n">
        <x:v>2023</x:v>
      </x:c>
      <x:c r="B2503" t="str">
        <x:v>Septiembre</x:v>
      </x:c>
      <x:c r="C2503" t="str">
        <x:v>RE436-0478-2</x:v>
      </x:c>
      <x:c r="D2503" t="str">
        <x:v>P.E. CORZAN</x:v>
      </x:c>
      <x:c r="E2503" t="n">
        <x:v>1.4548333333333323</x:v>
      </x:c>
      <x:c r="F2503" t="n">
        <x:f>J2503*0.97</x:f>
        <x:v>1.370933333333334</x:v>
      </x:c>
      <x:c r="G2503" t="n">
        <x:v>7.2</x:v>
      </x:c>
      <x:c r="H2503" t="n">
        <x:v>103.34</x:v>
      </x:c>
      <x:c r="I2503" t="n">
        <x:f>F2503*1000*H2503</x:f>
        <x:v>141672.25066666675</x:v>
      </x:c>
      <x:c r="J2503" t="n">
        <x:v>1.413333333333334</x:v>
      </x:c>
    </x:row>
    <x:row r="2504">
      <x:c r="A2504" t="n">
        <x:v>2023</x:v>
      </x:c>
      <x:c r="B2504" t="str">
        <x:v>Octubre</x:v>
      </x:c>
      <x:c r="C2504" t="str">
        <x:v>RE436-0478-1</x:v>
      </x:c>
      <x:c r="D2504" t="str">
        <x:v>P.E. CORZAN</x:v>
      </x:c>
      <x:c r="E2504" t="n">
        <x:v>7.335833333333334</x:v>
      </x:c>
      <x:c r="F2504" t="n">
        <x:f>J2504*1.04</x:f>
        <x:v>7.4888666666666674</x:v>
      </x:c>
      <x:c r="G2504" t="n">
        <x:v>36</x:v>
      </x:c>
      <x:c r="H2504" t="n">
        <x:v>90.14</x:v>
      </x:c>
      <x:c r="I2504" t="n">
        <x:f>F2504*1000*H2504</x:f>
        <x:v>675046.4413333334</x:v>
      </x:c>
      <x:c r="J2504" t="n">
        <x:v>7.200833333333334</x:v>
      </x:c>
    </x:row>
    <x:row r="2505">
      <x:c r="A2505" t="n">
        <x:v>2023</x:v>
      </x:c>
      <x:c r="B2505" t="str">
        <x:v>Octubre</x:v>
      </x:c>
      <x:c r="C2505" t="str">
        <x:v>RE436-0478-2</x:v>
      </x:c>
      <x:c r="D2505" t="str">
        <x:v>P.E. CORZAN</x:v>
      </x:c>
      <x:c r="E2505" t="n">
        <x:v>1.4671666666666665</x:v>
      </x:c>
      <x:c r="F2505" t="n">
        <x:f>J2505*1.04</x:f>
        <x:v>1.4977733333333332</x:v>
      </x:c>
      <x:c r="G2505" t="n">
        <x:v>7.2</x:v>
      </x:c>
      <x:c r="H2505" t="n">
        <x:v>90.14</x:v>
      </x:c>
      <x:c r="I2505" t="n">
        <x:f>F2505*1000*H2505</x:f>
        <x:v>135009.28826666664</x:v>
      </x:c>
      <x:c r="J2505" t="n">
        <x:v>1.4401666666666664</x:v>
      </x:c>
    </x:row>
    <x:row r="2506">
      <x:c r="A2506" t="n">
        <x:v>2023</x:v>
      </x:c>
      <x:c r="B2506" t="str">
        <x:v>Noviembre</x:v>
      </x:c>
      <x:c r="C2506" t="str">
        <x:v>RE436-0478-1</x:v>
      </x:c>
      <x:c r="D2506" t="str">
        <x:v>P.E. CORZAN</x:v>
      </x:c>
      <x:c r="E2506" t="n">
        <x:v>10.318333333333333</x:v>
      </x:c>
      <x:c r="F2506" t="n">
        <x:f>J2506*1</x:f>
        <x:v>10.0525</x:v>
      </x:c>
      <x:c r="G2506" t="n">
        <x:v>36</x:v>
      </x:c>
      <x:c r="H2506" t="n">
        <x:v>63.45</x:v>
      </x:c>
      <x:c r="I2506" t="n">
        <x:f>F2506*1000*H2506</x:f>
        <x:v>637831.125</x:v>
      </x:c>
      <x:c r="J2506" t="n">
        <x:v>10.0525</x:v>
      </x:c>
    </x:row>
    <x:row r="2507">
      <x:c r="A2507" t="n">
        <x:v>2023</x:v>
      </x:c>
      <x:c r="B2507" t="str">
        <x:v>Noviembre</x:v>
      </x:c>
      <x:c r="C2507" t="str">
        <x:v>RE436-0478-2</x:v>
      </x:c>
      <x:c r="D2507" t="str">
        <x:v>P.E. CORZAN</x:v>
      </x:c>
      <x:c r="E2507" t="n">
        <x:v>2.0636666666666663</x:v>
      </x:c>
      <x:c r="F2507" t="n">
        <x:f>J2507*1</x:f>
        <x:v>2.0105000000000004</x:v>
      </x:c>
      <x:c r="G2507" t="n">
        <x:v>7.2</x:v>
      </x:c>
      <x:c r="H2507" t="n">
        <x:v>63.45</x:v>
      </x:c>
      <x:c r="I2507" t="n">
        <x:f>F2507*1000*H2507</x:f>
        <x:v>127566.22500000003</x:v>
      </x:c>
      <x:c r="J2507" t="n">
        <x:v>2.0105000000000004</x:v>
      </x:c>
    </x:row>
    <x:row r="2508">
      <x:c r="A2508" t="n">
        <x:v>2023</x:v>
      </x:c>
      <x:c r="B2508" t="str">
        <x:v>Diciembre</x:v>
      </x:c>
      <x:c r="C2508" t="str">
        <x:v>RE436-0478-1</x:v>
      </x:c>
      <x:c r="D2508" t="str">
        <x:v>P.E. CORZAN</x:v>
      </x:c>
      <x:c r="E2508" t="n">
        <x:v>11.1225</x:v>
      </x:c>
      <x:c r="F2508" t="n">
        <x:f>J2508*0.96</x:f>
        <x:v>10.362400000000001</x:v>
      </x:c>
      <x:c r="G2508" t="n">
        <x:v>36</x:v>
      </x:c>
      <x:c r="H2508" t="n">
        <x:v>72.17</x:v>
      </x:c>
      <x:c r="I2508" t="n">
        <x:f>F2508*1000*H2508</x:f>
        <x:v>747854.4080000002</x:v>
      </x:c>
      <x:c r="J2508" t="n">
        <x:v>10.794166666666667</x:v>
      </x:c>
    </x:row>
    <x:row r="2509">
      <x:c r="A2509" t="n">
        <x:v>2023</x:v>
      </x:c>
      <x:c r="B2509" t="str">
        <x:v>Diciembre</x:v>
      </x:c>
      <x:c r="C2509" t="str">
        <x:v>RE436-0478-2</x:v>
      </x:c>
      <x:c r="D2509" t="str">
        <x:v>P.E. CORZAN</x:v>
      </x:c>
      <x:c r="E2509" t="n">
        <x:v>2.224499999999999</x:v>
      </x:c>
      <x:c r="F2509" t="n">
        <x:f>J2509*0.96</x:f>
        <x:v>2.0724799999999988</x:v>
      </x:c>
      <x:c r="G2509" t="n">
        <x:v>7.2</x:v>
      </x:c>
      <x:c r="H2509" t="n">
        <x:v>72.17</x:v>
      </x:c>
      <x:c r="I2509" t="n">
        <x:f>F2509*1000*H2509</x:f>
        <x:v>149570.8815999999</x:v>
      </x:c>
      <x:c r="J2509" t="n">
        <x:v>2.158833333333332</x:v>
      </x:c>
    </x:row>
    <x:row r="2510">
      <x:c r="A2510" t="n">
        <x:v>2023</x:v>
      </x:c>
      <x:c r="B2510" t="str">
        <x:v>Enero</x:v>
      </x:c>
      <x:c r="C2510" t="str">
        <x:v>RE436-0604-1</x:v>
      </x:c>
      <x:c r="D2510" t="str">
        <x:v>P.E. LA CELAYA</x:v>
      </x:c>
      <x:c r="E2510" t="n">
        <x:v>8.872</x:v>
      </x:c>
      <x:c r="F2510" t="n">
        <x:f>J2510*1.03</x:f>
        <x:v>8.849760000000002</x:v>
      </x:c>
      <x:c r="G2510" t="n">
        <x:v>28.8</x:v>
      </x:c>
      <x:c r="H2510" t="n">
        <x:v>69.55</x:v>
      </x:c>
      <x:c r="I2510" t="n">
        <x:f>F2510*1000*H2510</x:f>
        <x:v>615500.8080000001</x:v>
      </x:c>
      <x:c r="J2510" t="n">
        <x:v>8.592</x:v>
      </x:c>
    </x:row>
    <x:row r="2511">
      <x:c r="A2511" t="n">
        <x:v>2023</x:v>
      </x:c>
      <x:c r="B2511" t="str">
        <x:v>Febrero</x:v>
      </x:c>
      <x:c r="C2511" t="str">
        <x:v>RE436-0604-1</x:v>
      </x:c>
      <x:c r="D2511" t="str">
        <x:v>P.E. LA CELAYA</x:v>
      </x:c>
      <x:c r="E2511" t="n">
        <x:v>8.133</x:v>
      </x:c>
      <x:c r="F2511" t="n">
        <x:f>J2511*0.99</x:f>
        <x:v>7.84872</x:v>
      </x:c>
      <x:c r="G2511" t="n">
        <x:v>28.8</x:v>
      </x:c>
      <x:c r="H2511" t="n">
        <x:v>133.47</x:v>
      </x:c>
      <x:c r="I2511" t="n">
        <x:f>F2511*1000*H2511</x:f>
        <x:v>1047568.6584000001</x:v>
      </x:c>
      <x:c r="J2511" t="n">
        <x:v>7.928</x:v>
      </x:c>
    </x:row>
    <x:row r="2512">
      <x:c r="A2512" t="n">
        <x:v>2023</x:v>
      </x:c>
      <x:c r="B2512" t="str">
        <x:v>Marzo</x:v>
      </x:c>
      <x:c r="C2512" t="str">
        <x:v>RE436-0604-1</x:v>
      </x:c>
      <x:c r="D2512" t="str">
        <x:v>P.E. LA CELAYA</x:v>
      </x:c>
      <x:c r="E2512" t="n">
        <x:v>7.36</x:v>
      </x:c>
      <x:c r="F2512" t="n">
        <x:f>J2512*0.95</x:f>
        <x:v>6.818149999999999</x:v>
      </x:c>
      <x:c r="G2512" t="n">
        <x:v>28.8</x:v>
      </x:c>
      <x:c r="H2512" t="n">
        <x:v>89.61</x:v>
      </x:c>
      <x:c r="I2512" t="n">
        <x:f>F2512*1000*H2512</x:f>
        <x:v>610974.4214999999</x:v>
      </x:c>
      <x:c r="J2512" t="n">
        <x:v>7.177</x:v>
      </x:c>
    </x:row>
    <x:row r="2513">
      <x:c r="A2513" t="n">
        <x:v>2023</x:v>
      </x:c>
      <x:c r="B2513" t="str">
        <x:v>Abril</x:v>
      </x:c>
      <x:c r="C2513" t="str">
        <x:v>RE436-0604-1</x:v>
      </x:c>
      <x:c r="D2513" t="str">
        <x:v>P.E. LA CELAYA</x:v>
      </x:c>
      <x:c r="E2513" t="n">
        <x:v>6.102</x:v>
      </x:c>
      <x:c r="F2513" t="n">
        <x:f>J2513*1.02</x:f>
        <x:v>6.0639</x:v>
      </x:c>
      <x:c r="G2513" t="n">
        <x:v>28.8</x:v>
      </x:c>
      <x:c r="H2513" t="n">
        <x:v>73.73</x:v>
      </x:c>
      <x:c r="I2513" t="n">
        <x:f>F2513*1000*H2513</x:f>
        <x:v>447091.34700000007</x:v>
      </x:c>
      <x:c r="J2513" t="n">
        <x:v>5.945</x:v>
      </x:c>
    </x:row>
    <x:row r="2514">
      <x:c r="A2514" t="n">
        <x:v>2023</x:v>
      </x:c>
      <x:c r="B2514" t="str">
        <x:v>Mayo</x:v>
      </x:c>
      <x:c r="C2514" t="str">
        <x:v>RE436-0604-1</x:v>
      </x:c>
      <x:c r="D2514" t="str">
        <x:v>P.E. LA CELAYA</x:v>
      </x:c>
      <x:c r="E2514" t="n">
        <x:v>6.153</x:v>
      </x:c>
      <x:c r="F2514" t="n">
        <x:f>J2514*0.98</x:f>
        <x:v>5.93782</x:v>
      </x:c>
      <x:c r="G2514" t="n">
        <x:v>28.8</x:v>
      </x:c>
      <x:c r="H2514" t="n">
        <x:v>74.21</x:v>
      </x:c>
      <x:c r="I2514" t="n">
        <x:f>F2514*1000*H2514</x:f>
        <x:v>440645.6222</x:v>
      </x:c>
      <x:c r="J2514" t="n">
        <x:v>6.059</x:v>
      </x:c>
    </x:row>
    <x:row r="2515">
      <x:c r="A2515" t="n">
        <x:v>2023</x:v>
      </x:c>
      <x:c r="B2515" t="str">
        <x:v>Junio</x:v>
      </x:c>
      <x:c r="C2515" t="str">
        <x:v>RE436-0604-1</x:v>
      </x:c>
      <x:c r="D2515" t="str">
        <x:v>P.E. LA CELAYA</x:v>
      </x:c>
      <x:c r="E2515" t="n">
        <x:v>5.125</x:v>
      </x:c>
      <x:c r="F2515" t="n">
        <x:f>J2515*0.94</x:f>
        <x:v>4.718799999999999</x:v>
      </x:c>
      <x:c r="G2515" t="n">
        <x:v>28.8</x:v>
      </x:c>
      <x:c r="H2515" t="n">
        <x:v>93.02</x:v>
      </x:c>
      <x:c r="I2515" t="n">
        <x:f>F2515*1000*H2515</x:f>
        <x:v>438942.7759999999</x:v>
      </x:c>
      <x:c r="J2515" t="n">
        <x:v>5.02</x:v>
      </x:c>
    </x:row>
    <x:row r="2516">
      <x:c r="A2516" t="n">
        <x:v>2023</x:v>
      </x:c>
      <x:c r="B2516" t="str">
        <x:v>Julio</x:v>
      </x:c>
      <x:c r="C2516" t="str">
        <x:v>RE436-0604-1</x:v>
      </x:c>
      <x:c r="D2516" t="str">
        <x:v>P.E. LA CELAYA</x:v>
      </x:c>
      <x:c r="E2516" t="n">
        <x:v>4.658</x:v>
      </x:c>
      <x:c r="F2516" t="n">
        <x:f>J2516*1.01</x:f>
        <x:v>4.58944</x:v>
      </x:c>
      <x:c r="G2516" t="n">
        <x:v>28.8</x:v>
      </x:c>
      <x:c r="H2516" t="n">
        <x:v>90.47</x:v>
      </x:c>
      <x:c r="I2516" t="n">
        <x:f>F2516*1000*H2516</x:f>
        <x:v>415206.6368</x:v>
      </x:c>
      <x:c r="J2516" t="n">
        <x:v>4.544</x:v>
      </x:c>
    </x:row>
    <x:row r="2517">
      <x:c r="A2517" t="n">
        <x:v>2023</x:v>
      </x:c>
      <x:c r="B2517" t="str">
        <x:v>Agosto</x:v>
      </x:c>
      <x:c r="C2517" t="str">
        <x:v>RE436-0604-1</x:v>
      </x:c>
      <x:c r="D2517" t="str">
        <x:v>P.E. LA CELAYA</x:v>
      </x:c>
      <x:c r="E2517" t="n">
        <x:v>4.037</x:v>
      </x:c>
      <x:c r="F2517" t="n">
        <x:f>J2517*0.97</x:f>
        <x:v>3.83344</x:v>
      </x:c>
      <x:c r="G2517" t="n">
        <x:v>28.8</x:v>
      </x:c>
      <x:c r="H2517" t="n">
        <x:v>96.05</x:v>
      </x:c>
      <x:c r="I2517" t="n">
        <x:f>F2517*1000*H2517</x:f>
        <x:v>368201.912</x:v>
      </x:c>
      <x:c r="J2517" t="n">
        <x:v>3.952</x:v>
      </x:c>
    </x:row>
    <x:row r="2518">
      <x:c r="A2518" t="n">
        <x:v>2023</x:v>
      </x:c>
      <x:c r="B2518" t="str">
        <x:v>Septiembre</x:v>
      </x:c>
      <x:c r="C2518" t="str">
        <x:v>RE436-0604-1</x:v>
      </x:c>
      <x:c r="D2518" t="str">
        <x:v>P.E. LA CELAYA</x:v>
      </x:c>
      <x:c r="E2518" t="n">
        <x:v>5.079</x:v>
      </x:c>
      <x:c r="F2518" t="n">
        <x:f>J2518*1.04</x:f>
        <x:v>5.11368</x:v>
      </x:c>
      <x:c r="G2518" t="n">
        <x:v>28.8</x:v>
      </x:c>
      <x:c r="H2518" t="n">
        <x:v>103.34</x:v>
      </x:c>
      <x:c r="I2518" t="n">
        <x:f>F2518*1000*H2518</x:f>
        <x:v>528447.6912</x:v>
      </x:c>
      <x:c r="J2518" t="n">
        <x:v>4.917</x:v>
      </x:c>
    </x:row>
    <x:row r="2519">
      <x:c r="A2519" t="n">
        <x:v>2023</x:v>
      </x:c>
      <x:c r="B2519" t="str">
        <x:v>Octubre</x:v>
      </x:c>
      <x:c r="C2519" t="str">
        <x:v>RE436-0604-1</x:v>
      </x:c>
      <x:c r="D2519" t="str">
        <x:v>P.E. LA CELAYA</x:v>
      </x:c>
      <x:c r="E2519" t="n">
        <x:v>7.587</x:v>
      </x:c>
      <x:c r="F2519" t="n">
        <x:f>J2519*1</x:f>
        <x:v>7.43</x:v>
      </x:c>
      <x:c r="G2519" t="n">
        <x:v>28.8</x:v>
      </x:c>
      <x:c r="H2519" t="n">
        <x:v>90.14</x:v>
      </x:c>
      <x:c r="I2519" t="n">
        <x:f>F2519*1000*H2519</x:f>
        <x:v>669740.2</x:v>
      </x:c>
      <x:c r="J2519" t="n">
        <x:v>7.43</x:v>
      </x:c>
    </x:row>
    <x:row r="2520">
      <x:c r="A2520" t="n">
        <x:v>2023</x:v>
      </x:c>
      <x:c r="B2520" t="str">
        <x:v>Noviembre</x:v>
      </x:c>
      <x:c r="C2520" t="str">
        <x:v>RE436-0604-1</x:v>
      </x:c>
      <x:c r="D2520" t="str">
        <x:v>P.E. LA CELAYA</x:v>
      </x:c>
      <x:c r="E2520" t="n">
        <x:v>8.673</x:v>
      </x:c>
      <x:c r="F2520" t="n">
        <x:f>J2520*0.96</x:f>
        <x:v>8.088000000000001</x:v>
      </x:c>
      <x:c r="G2520" t="n">
        <x:v>28.8</x:v>
      </x:c>
      <x:c r="H2520" t="n">
        <x:v>63.45</x:v>
      </x:c>
      <x:c r="I2520" t="n">
        <x:f>F2520*1000*H2520</x:f>
        <x:v>513183.6000000001</x:v>
      </x:c>
      <x:c r="J2520" t="n">
        <x:v>8.425</x:v>
      </x:c>
    </x:row>
    <x:row r="2521">
      <x:c r="A2521" t="n">
        <x:v>2023</x:v>
      </x:c>
      <x:c r="B2521" t="str">
        <x:v>Diciembre</x:v>
      </x:c>
      <x:c r="C2521" t="str">
        <x:v>RE436-0604-1</x:v>
      </x:c>
      <x:c r="D2521" t="str">
        <x:v>P.E. LA CELAYA</x:v>
      </x:c>
      <x:c r="E2521" t="n">
        <x:v>9.854</x:v>
      </x:c>
      <x:c r="F2521" t="n">
        <x:f>J2521*1.03</x:f>
        <x:v>9.93641</x:v>
      </x:c>
      <x:c r="G2521" t="n">
        <x:v>28.8</x:v>
      </x:c>
      <x:c r="H2521" t="n">
        <x:v>72.17</x:v>
      </x:c>
      <x:c r="I2521" t="n">
        <x:f>F2521*1000*H2521</x:f>
        <x:v>717110.7097</x:v>
      </x:c>
      <x:c r="J2521" t="n">
        <x:v>9.647</x:v>
      </x:c>
    </x:row>
  </x:sheetData>
  <x:pageMargins left="0.7" right="0.7" top="0.75" bottom="0.75" header="0.3" footer="0.3"/>
  <x:tableParts count="1">
    <x:tablePart xmlns:r="http://schemas.openxmlformats.org/officeDocument/2006/relationships" r:id="Rec9577a399fd4d80"/>
  </x:tableParts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16.69921875" customWidth="1"/>
    <x:col min="2" max="2" width="60" customWidth="1"/>
    <x:col min="3" max="4" width="65" customWidth="1"/>
  </x:cols>
  <x:sheetData>
    <x:row r="1">
      <x:c r="A1" s="1" t="s">
        <x:v>10</x:v>
      </x:c>
      <x:c r="B1" s="1" t="s">
        <x:v>11</x:v>
      </x:c>
      <x:c r="C1" s="1" t="s">
        <x:v>12</x:v>
      </x:c>
      <x:c r="D1" s="1" t="s">
        <x:v>13</x:v>
      </x:c>
    </x:row>
    <x:row r="2">
      <x:c r="A2" s="7" t="s">
        <x:v>0</x:v>
      </x:c>
      <x:c r="B2" s="7" t="s">
        <x:v>14</x:v>
      </x:c>
      <x:c r="C2" s="7" t="s">
        <x:v>15</x:v>
      </x:c>
      <x:c r="D2" s="7"/>
    </x:row>
    <x:row r="3" ht="27.600000381469727">
      <x:c r="A3" s="7" t="s">
        <x:v>16</x:v>
      </x:c>
      <x:c r="B3" s="7" t="str">
        <x:v>Un registro por instalación (fase), mes y año</x:v>
      </x:c>
      <x:c r="C3" s="7" t="str">
        <x:v>Clave_Registro coincide con Id_Instalacion del maestro. Potencia por fase = Potencia_kw / 1.000.</x:v>
      </x:c>
      <x:c r="D3" s="7" t="str">
        <x:v>MaestroInstalacionesGalicia.xlsx</x:v>
      </x:c>
    </x:row>
    <x:row r="4" ht="27.600000381469727">
      <x:c r="A4" s="7" t="s">
        <x:v>17</x:v>
      </x:c>
      <x:c r="B4" s="7" t="str">
        <x:v>Generación sintética original repartida por potencia de cada fase</x:v>
      </x:c>
      <x:c r="C4" s="7" t="str">
        <x:v>Se mantienen los totales por parque y mes, sin redondeo intermedio.</x:v>
      </x:c>
      <x:c r="D4" s="7" t="s">
        <x:v>18</x:v>
      </x:c>
    </x:row>
    <x:row r="5" ht="27.600000381469727">
      <x:c r="A5" s="7" t="s">
        <x:v>19</x:v>
      </x:c>
      <x:c r="B5" s="7" t="str">
        <x:v>Base auxiliar de 2024 repartida por potencia de cada fase</x:v>
      </x:c>
      <x:c r="C5" s="7" t="str">
        <x:v>Se conserva la fórmula y el factor original de cada parque y mes. Fases con potencia cero reciben cero.</x:v>
      </x:c>
      <x:c r="D5" s="7" t="s">
        <x:v>18</x:v>
      </x:c>
    </x:row>
    <x:row r="6" ht="27.600000381469727">
      <x:c r="A6" s="7" t="s">
        <x:v>20</x:v>
      </x:c>
      <x:c r="B6" s="7" t="s">
        <x:v>21</x:v>
      </x:c>
      <x:c r="C6" s="7" t="s">
        <x:v>22</x:v>
      </x:c>
      <x:c r="D6" s="7" t="s">
        <x:v>23</x:v>
      </x:c>
    </x:row>
    <x:row r="7" ht="41.400001525878906">
      <x:c r="A7" s="7" t="s">
        <x:v>24</x:v>
      </x:c>
      <x:c r="B7" s="7" t="s">
        <x:v>25</x:v>
      </x:c>
      <x:c r="C7" s="7" t="str">
        <x:v>Se conserva la fórmula: energía vendida × 1.000 × precio. El reparto mantiene los totales originales, sin redondeo intermedio.</x:v>
      </x:c>
      <x:c r="D7" s="7" t="s">
        <x:v>26</x:v>
      </x:c>
    </x:row>
    <x:row r="8" ht="27.600000381469727">
      <x:c r="A8" s="7" t="s">
        <x:v>27</x:v>
      </x:c>
      <x:c r="B8" s="7" t="s">
        <x:v>28</x:v>
      </x:c>
      <x:c r="C8" s="7" t="s">
        <x:v>29</x:v>
      </x:c>
      <x:c r="D8" s="7" t="s">
        <x:v>30</x:v>
      </x:c>
    </x:row>
    <x:row r="9" ht="27.600000381469727">
      <x:c r="A9" s="7" t="s">
        <x:v>8</x:v>
      </x:c>
      <x:c r="B9" s="7" t="s">
        <x:v>31</x:v>
      </x:c>
      <x:c r="C9" s="7" t="s">
        <x:v>32</x:v>
      </x:c>
      <x:c r="D9" s="7" t="s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c513b949664f4082"/>
  </x:tableParts>
</x:worksheet>
</file>